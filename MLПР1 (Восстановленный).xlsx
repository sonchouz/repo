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kon\OneDrive\Рабочий стол\"/>
    </mc:Choice>
  </mc:AlternateContent>
  <xr:revisionPtr revIDLastSave="0" documentId="13_ncr:1_{6C394F44-C7AB-4606-AF96-8D8E2D1EC6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s2015_county_data" sheetId="2" r:id="rId1"/>
    <sheet name="Описательные характеристики" sheetId="1" r:id="rId2"/>
    <sheet name="Визуализация" sheetId="3" r:id="rId3"/>
    <sheet name="Качественные признаки" sheetId="4" r:id="rId4"/>
  </sheets>
  <definedNames>
    <definedName name="_xlchart.v1.0" hidden="1">Визуализация!$A$1</definedName>
    <definedName name="_xlchart.v1.1" hidden="1">Визуализация!$A$2:$A$3221</definedName>
    <definedName name="_xlchart.v1.2" hidden="1">Визуализация!$C$2:$C$3221</definedName>
    <definedName name="_xlnm._FilterDatabase" localSheetId="0" hidden="1">acs2015_county_data!$C$2:$C$3221</definedName>
    <definedName name="ExternalData_1" localSheetId="0" hidden="1">acs2015_county_data!$A$1:$L$3221</definedName>
    <definedName name="_xlnm.Extract" localSheetId="0">acs2015_county_data!#REF!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23" i="2" l="1"/>
  <c r="L3224" i="2"/>
  <c r="L3222" i="2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I6" i="1"/>
  <c r="H6" i="1"/>
  <c r="G6" i="1"/>
  <c r="F6" i="1"/>
  <c r="E6" i="1"/>
  <c r="D6" i="1"/>
  <c r="C6" i="1"/>
  <c r="B6" i="1"/>
  <c r="I5" i="1"/>
  <c r="N2827" i="2" s="1"/>
  <c r="H5" i="1"/>
  <c r="G5" i="1"/>
  <c r="F5" i="1"/>
  <c r="M687" i="2" s="1"/>
  <c r="E5" i="1"/>
  <c r="D5" i="1"/>
  <c r="C5" i="1"/>
  <c r="B5" i="1"/>
  <c r="I4" i="1"/>
  <c r="H4" i="1"/>
  <c r="G4" i="1"/>
  <c r="F4" i="1"/>
  <c r="E4" i="1"/>
  <c r="D4" i="1"/>
  <c r="C4" i="1"/>
  <c r="B4" i="1"/>
  <c r="I3" i="1"/>
  <c r="H3" i="1"/>
  <c r="G3" i="1"/>
  <c r="F3" i="1"/>
  <c r="E3" i="1"/>
  <c r="D3" i="1"/>
  <c r="C3" i="1"/>
  <c r="B3" i="1"/>
  <c r="I2" i="1"/>
  <c r="H2" i="1"/>
  <c r="G2" i="1"/>
  <c r="F2" i="1"/>
  <c r="E2" i="1"/>
  <c r="D2" i="1"/>
  <c r="C2" i="1"/>
  <c r="B2" i="1"/>
  <c r="K3222" i="2"/>
  <c r="J3222" i="2"/>
  <c r="I3222" i="2"/>
  <c r="H3222" i="2"/>
  <c r="G3222" i="2"/>
  <c r="F3222" i="2"/>
  <c r="E3222" i="2"/>
  <c r="D3222" i="2"/>
  <c r="M21" i="2" l="1"/>
  <c r="M3175" i="2"/>
  <c r="M3111" i="2"/>
  <c r="M3046" i="2"/>
  <c r="M2934" i="2"/>
  <c r="M2815" i="2"/>
  <c r="M2627" i="2"/>
  <c r="M2379" i="2"/>
  <c r="M2108" i="2"/>
  <c r="M1737" i="2"/>
  <c r="M945" i="2"/>
  <c r="M10" i="2"/>
  <c r="M3164" i="2"/>
  <c r="M3101" i="2"/>
  <c r="M3031" i="2"/>
  <c r="M2917" i="2"/>
  <c r="M2799" i="2"/>
  <c r="M2626" i="2"/>
  <c r="M2373" i="2"/>
  <c r="M2106" i="2"/>
  <c r="M1736" i="2"/>
  <c r="M944" i="2"/>
  <c r="M5" i="2"/>
  <c r="M3157" i="2"/>
  <c r="M3093" i="2"/>
  <c r="M3015" i="2"/>
  <c r="M2901" i="2"/>
  <c r="M2781" i="2"/>
  <c r="M2595" i="2"/>
  <c r="M2332" i="2"/>
  <c r="M2066" i="2"/>
  <c r="M1648" i="2"/>
  <c r="M777" i="2"/>
  <c r="M4" i="2"/>
  <c r="M3155" i="2"/>
  <c r="M3092" i="2"/>
  <c r="M3013" i="2"/>
  <c r="M2895" i="2"/>
  <c r="M2780" i="2"/>
  <c r="M2575" i="2"/>
  <c r="M2307" i="2"/>
  <c r="M2041" i="2"/>
  <c r="M1594" i="2"/>
  <c r="M700" i="2"/>
  <c r="M3" i="2"/>
  <c r="M3214" i="2"/>
  <c r="M3151" i="2"/>
  <c r="M3087" i="2"/>
  <c r="M3007" i="2"/>
  <c r="M2893" i="2"/>
  <c r="M2775" i="2"/>
  <c r="M2574" i="2"/>
  <c r="M2306" i="2"/>
  <c r="M2040" i="2"/>
  <c r="M1582" i="2"/>
  <c r="M187" i="2"/>
  <c r="M418" i="2"/>
  <c r="M701" i="2"/>
  <c r="M951" i="2"/>
  <c r="M1195" i="2"/>
  <c r="M1427" i="2"/>
  <c r="M1598" i="2"/>
  <c r="M1738" i="2"/>
  <c r="M1861" i="2"/>
  <c r="M1970" i="2"/>
  <c r="M2042" i="2"/>
  <c r="M2109" i="2"/>
  <c r="M2175" i="2"/>
  <c r="M2242" i="2"/>
  <c r="M2314" i="2"/>
  <c r="M2380" i="2"/>
  <c r="M2447" i="2"/>
  <c r="M2513" i="2"/>
  <c r="M2576" i="2"/>
  <c r="M2631" i="2"/>
  <c r="M2684" i="2"/>
  <c r="M2734" i="2"/>
  <c r="M2782" i="2"/>
  <c r="M2828" i="2"/>
  <c r="M2863" i="2"/>
  <c r="M2902" i="2"/>
  <c r="M2941" i="2"/>
  <c r="M2982" i="2"/>
  <c r="M3020" i="2"/>
  <c r="M3051" i="2"/>
  <c r="M3070" i="2"/>
  <c r="M3094" i="2"/>
  <c r="M3115" i="2"/>
  <c r="M3135" i="2"/>
  <c r="M3159" i="2"/>
  <c r="M3178" i="2"/>
  <c r="M3199" i="2"/>
  <c r="M6" i="2"/>
  <c r="M24" i="2"/>
  <c r="M43" i="2"/>
  <c r="M121" i="2"/>
  <c r="M462" i="2"/>
  <c r="M739" i="2"/>
  <c r="M989" i="2"/>
  <c r="M1244" i="2"/>
  <c r="M1465" i="2"/>
  <c r="M1623" i="2"/>
  <c r="M1761" i="2"/>
  <c r="M1883" i="2"/>
  <c r="M1988" i="2"/>
  <c r="M2054" i="2"/>
  <c r="M2121" i="2"/>
  <c r="M2187" i="2"/>
  <c r="M2254" i="2"/>
  <c r="M2320" i="2"/>
  <c r="M2392" i="2"/>
  <c r="M2459" i="2"/>
  <c r="M2525" i="2"/>
  <c r="M2586" i="2"/>
  <c r="M2638" i="2"/>
  <c r="M2694" i="2"/>
  <c r="M2743" i="2"/>
  <c r="M2791" i="2"/>
  <c r="M2829" i="2"/>
  <c r="M2869" i="2"/>
  <c r="M2909" i="2"/>
  <c r="M2943" i="2"/>
  <c r="M2983" i="2"/>
  <c r="M3021" i="2"/>
  <c r="M3053" i="2"/>
  <c r="M3077" i="2"/>
  <c r="M3095" i="2"/>
  <c r="M3116" i="2"/>
  <c r="M3140" i="2"/>
  <c r="M3161" i="2"/>
  <c r="M3179" i="2"/>
  <c r="M3203" i="2"/>
  <c r="M7" i="2"/>
  <c r="M26" i="2"/>
  <c r="M47" i="2"/>
  <c r="M160" i="2"/>
  <c r="M508" i="2"/>
  <c r="M765" i="2"/>
  <c r="M1015" i="2"/>
  <c r="M1263" i="2"/>
  <c r="M1480" i="2"/>
  <c r="M1646" i="2"/>
  <c r="M1776" i="2"/>
  <c r="M1898" i="2"/>
  <c r="M1992" i="2"/>
  <c r="M2058" i="2"/>
  <c r="M2130" i="2"/>
  <c r="M2197" i="2"/>
  <c r="M2264" i="2"/>
  <c r="M2330" i="2"/>
  <c r="M2397" i="2"/>
  <c r="M2463" i="2"/>
  <c r="M2530" i="2"/>
  <c r="M2590" i="2"/>
  <c r="M2646" i="2"/>
  <c r="M2698" i="2"/>
  <c r="M2747" i="2"/>
  <c r="M2795" i="2"/>
  <c r="M2830" i="2"/>
  <c r="M2871" i="2"/>
  <c r="M2910" i="2"/>
  <c r="M2949" i="2"/>
  <c r="M2987" i="2"/>
  <c r="M3022" i="2"/>
  <c r="M3054" i="2"/>
  <c r="M3078" i="2"/>
  <c r="M3097" i="2"/>
  <c r="M3117" i="2"/>
  <c r="M3141" i="2"/>
  <c r="M3162" i="2"/>
  <c r="M3181" i="2"/>
  <c r="M3205" i="2"/>
  <c r="M8" i="2"/>
  <c r="M28" i="2"/>
  <c r="M48" i="2"/>
  <c r="M183" i="2"/>
  <c r="M510" i="2"/>
  <c r="M771" i="2"/>
  <c r="M1026" i="2"/>
  <c r="M1269" i="2"/>
  <c r="M1489" i="2"/>
  <c r="M1647" i="2"/>
  <c r="M1777" i="2"/>
  <c r="M1904" i="2"/>
  <c r="M1993" i="2"/>
  <c r="M2065" i="2"/>
  <c r="M2132" i="2"/>
  <c r="M2198" i="2"/>
  <c r="M2265" i="2"/>
  <c r="M2331" i="2"/>
  <c r="M2398" i="2"/>
  <c r="M2464" i="2"/>
  <c r="M2536" i="2"/>
  <c r="M2591" i="2"/>
  <c r="M2647" i="2"/>
  <c r="M2699" i="2"/>
  <c r="M2749" i="2"/>
  <c r="M2797" i="2"/>
  <c r="M2838" i="2"/>
  <c r="M2876" i="2"/>
  <c r="M2911" i="2"/>
  <c r="M2950" i="2"/>
  <c r="M2989" i="2"/>
  <c r="M3030" i="2"/>
  <c r="M3055" i="2"/>
  <c r="M3079" i="2"/>
  <c r="M3099" i="2"/>
  <c r="M3118" i="2"/>
  <c r="M3142" i="2"/>
  <c r="M3163" i="2"/>
  <c r="M3183" i="2"/>
  <c r="M3207" i="2"/>
  <c r="M9" i="2"/>
  <c r="M29" i="2"/>
  <c r="M50" i="2"/>
  <c r="M238" i="2"/>
  <c r="M553" i="2"/>
  <c r="M825" i="2"/>
  <c r="M1087" i="2"/>
  <c r="M1316" i="2"/>
  <c r="M1515" i="2"/>
  <c r="M1672" i="2"/>
  <c r="M1800" i="2"/>
  <c r="M1921" i="2"/>
  <c r="M2006" i="2"/>
  <c r="M2078" i="2"/>
  <c r="M2145" i="2"/>
  <c r="M2211" i="2"/>
  <c r="M2278" i="2"/>
  <c r="M2344" i="2"/>
  <c r="M2411" i="2"/>
  <c r="M2477" i="2"/>
  <c r="M2549" i="2"/>
  <c r="M2602" i="2"/>
  <c r="M2658" i="2"/>
  <c r="M2710" i="2"/>
  <c r="M2758" i="2"/>
  <c r="M2805" i="2"/>
  <c r="M2843" i="2"/>
  <c r="M2878" i="2"/>
  <c r="M2919" i="2"/>
  <c r="M2958" i="2"/>
  <c r="M2997" i="2"/>
  <c r="M3035" i="2"/>
  <c r="M3061" i="2"/>
  <c r="M3081" i="2"/>
  <c r="M3102" i="2"/>
  <c r="M3126" i="2"/>
  <c r="M3145" i="2"/>
  <c r="M3165" i="2"/>
  <c r="M3189" i="2"/>
  <c r="M3210" i="2"/>
  <c r="M12" i="2"/>
  <c r="M34" i="2"/>
  <c r="M53" i="2"/>
  <c r="M286" i="2"/>
  <c r="M592" i="2"/>
  <c r="M846" i="2"/>
  <c r="M1111" i="2"/>
  <c r="M1340" i="2"/>
  <c r="M1532" i="2"/>
  <c r="M1688" i="2"/>
  <c r="M1820" i="2"/>
  <c r="M1934" i="2"/>
  <c r="M2016" i="2"/>
  <c r="M2082" i="2"/>
  <c r="M2149" i="2"/>
  <c r="M2216" i="2"/>
  <c r="M2288" i="2"/>
  <c r="M2354" i="2"/>
  <c r="M2421" i="2"/>
  <c r="M2487" i="2"/>
  <c r="M2553" i="2"/>
  <c r="M2610" i="2"/>
  <c r="M2662" i="2"/>
  <c r="M2717" i="2"/>
  <c r="M2765" i="2"/>
  <c r="M2806" i="2"/>
  <c r="M2845" i="2"/>
  <c r="M2886" i="2"/>
  <c r="M2924" i="2"/>
  <c r="M2959" i="2"/>
  <c r="M2998" i="2"/>
  <c r="M3037" i="2"/>
  <c r="M3063" i="2"/>
  <c r="M3082" i="2"/>
  <c r="M3103" i="2"/>
  <c r="M3127" i="2"/>
  <c r="M3147" i="2"/>
  <c r="M3166" i="2"/>
  <c r="M3190" i="2"/>
  <c r="M3211" i="2"/>
  <c r="M14" i="2"/>
  <c r="M35" i="2"/>
  <c r="M54" i="2"/>
  <c r="M616" i="2"/>
  <c r="M2085" i="2"/>
  <c r="M2356" i="2"/>
  <c r="M2555" i="2"/>
  <c r="M2667" i="2"/>
  <c r="M2767" i="2"/>
  <c r="M2853" i="2"/>
  <c r="M2926" i="2"/>
  <c r="M2967" i="2"/>
  <c r="M3045" i="2"/>
  <c r="M3085" i="2"/>
  <c r="M3109" i="2"/>
  <c r="M3150" i="2"/>
  <c r="M3193" i="2"/>
  <c r="M3213" i="2"/>
  <c r="M38" i="2"/>
  <c r="M287" i="2"/>
  <c r="M594" i="2"/>
  <c r="M867" i="2"/>
  <c r="M1119" i="2"/>
  <c r="M1341" i="2"/>
  <c r="M1539" i="2"/>
  <c r="M1689" i="2"/>
  <c r="M1821" i="2"/>
  <c r="M1938" i="2"/>
  <c r="M2017" i="2"/>
  <c r="M2084" i="2"/>
  <c r="M2150" i="2"/>
  <c r="M2222" i="2"/>
  <c r="M2289" i="2"/>
  <c r="M2355" i="2"/>
  <c r="M2422" i="2"/>
  <c r="M2488" i="2"/>
  <c r="M2554" i="2"/>
  <c r="M2611" i="2"/>
  <c r="M2663" i="2"/>
  <c r="M2718" i="2"/>
  <c r="M2766" i="2"/>
  <c r="M2813" i="2"/>
  <c r="M2847" i="2"/>
  <c r="M2887" i="2"/>
  <c r="M2925" i="2"/>
  <c r="M2965" i="2"/>
  <c r="M3005" i="2"/>
  <c r="M3039" i="2"/>
  <c r="M3065" i="2"/>
  <c r="M3083" i="2"/>
  <c r="M3107" i="2"/>
  <c r="M3128" i="2"/>
  <c r="M3149" i="2"/>
  <c r="M3173" i="2"/>
  <c r="M3191" i="2"/>
  <c r="M3212" i="2"/>
  <c r="M19" i="2"/>
  <c r="M36" i="2"/>
  <c r="M55" i="2"/>
  <c r="M288" i="2"/>
  <c r="M870" i="2"/>
  <c r="M1120" i="2"/>
  <c r="M1351" i="2"/>
  <c r="M1540" i="2"/>
  <c r="M1696" i="2"/>
  <c r="M1822" i="2"/>
  <c r="M1940" i="2"/>
  <c r="M2018" i="2"/>
  <c r="M2157" i="2"/>
  <c r="M2223" i="2"/>
  <c r="M2290" i="2"/>
  <c r="M2423" i="2"/>
  <c r="M2489" i="2"/>
  <c r="M2612" i="2"/>
  <c r="M2719" i="2"/>
  <c r="M2814" i="2"/>
  <c r="M2891" i="2"/>
  <c r="M3006" i="2"/>
  <c r="M3066" i="2"/>
  <c r="M3129" i="2"/>
  <c r="M3174" i="2"/>
  <c r="M20" i="2"/>
  <c r="M56" i="2"/>
  <c r="M355" i="2"/>
  <c r="M663" i="2"/>
  <c r="M908" i="2"/>
  <c r="M1158" i="2"/>
  <c r="M1377" i="2"/>
  <c r="M1570" i="2"/>
  <c r="M1714" i="2"/>
  <c r="M1844" i="2"/>
  <c r="M1955" i="2"/>
  <c r="M2030" i="2"/>
  <c r="M2097" i="2"/>
  <c r="M2163" i="2"/>
  <c r="M2235" i="2"/>
  <c r="M2302" i="2"/>
  <c r="M2368" i="2"/>
  <c r="M2435" i="2"/>
  <c r="M2501" i="2"/>
  <c r="M2566" i="2"/>
  <c r="M2622" i="2"/>
  <c r="M2674" i="2"/>
  <c r="M2727" i="2"/>
  <c r="M52" i="2"/>
  <c r="M3209" i="2"/>
  <c r="M3143" i="2"/>
  <c r="M3080" i="2"/>
  <c r="M2991" i="2"/>
  <c r="M2877" i="2"/>
  <c r="M2751" i="2"/>
  <c r="M2537" i="2"/>
  <c r="M2266" i="2"/>
  <c r="M2000" i="2"/>
  <c r="M1490" i="2"/>
  <c r="M511" i="2"/>
  <c r="M42" i="2"/>
  <c r="M3198" i="2"/>
  <c r="M3133" i="2"/>
  <c r="M3069" i="2"/>
  <c r="M2974" i="2"/>
  <c r="M2862" i="2"/>
  <c r="M2733" i="2"/>
  <c r="M2512" i="2"/>
  <c r="M2241" i="2"/>
  <c r="M1969" i="2"/>
  <c r="M1411" i="2"/>
  <c r="M397" i="2"/>
  <c r="M41" i="2"/>
  <c r="M3197" i="2"/>
  <c r="M3131" i="2"/>
  <c r="M3068" i="2"/>
  <c r="M2973" i="2"/>
  <c r="M2861" i="2"/>
  <c r="M2732" i="2"/>
  <c r="M2511" i="2"/>
  <c r="M2240" i="2"/>
  <c r="M1968" i="2"/>
  <c r="M1410" i="2"/>
  <c r="M379" i="2"/>
  <c r="M33" i="2"/>
  <c r="M3188" i="2"/>
  <c r="M3125" i="2"/>
  <c r="M3059" i="2"/>
  <c r="M2957" i="2"/>
  <c r="M2839" i="2"/>
  <c r="M2683" i="2"/>
  <c r="M2446" i="2"/>
  <c r="M2174" i="2"/>
  <c r="M1860" i="2"/>
  <c r="M1194" i="2"/>
  <c r="M23" i="2"/>
  <c r="M3177" i="2"/>
  <c r="M3114" i="2"/>
  <c r="M3049" i="2"/>
  <c r="M2939" i="2"/>
  <c r="M2823" i="2"/>
  <c r="M2682" i="2"/>
  <c r="M2445" i="2"/>
  <c r="M2173" i="2"/>
  <c r="M1859" i="2"/>
  <c r="M1193" i="2"/>
  <c r="M22" i="2"/>
  <c r="M3176" i="2"/>
  <c r="M3113" i="2"/>
  <c r="M3047" i="2"/>
  <c r="M2935" i="2"/>
  <c r="M2821" i="2"/>
  <c r="M2648" i="2"/>
  <c r="M2399" i="2"/>
  <c r="M2133" i="2"/>
  <c r="M1778" i="2"/>
  <c r="M1037" i="2"/>
  <c r="M40" i="2"/>
  <c r="M3195" i="2"/>
  <c r="M3130" i="2"/>
  <c r="M3067" i="2"/>
  <c r="M2972" i="2"/>
  <c r="M2854" i="2"/>
  <c r="M2703" i="2"/>
  <c r="M2471" i="2"/>
  <c r="M2199" i="2"/>
  <c r="M1905" i="2"/>
  <c r="M1281" i="2"/>
  <c r="M184" i="2"/>
  <c r="N3151" i="2"/>
  <c r="N3102" i="2"/>
  <c r="N3103" i="2"/>
  <c r="N2983" i="2"/>
  <c r="N2838" i="2"/>
  <c r="N3221" i="2"/>
  <c r="N13" i="2"/>
  <c r="N25" i="2"/>
  <c r="N37" i="2"/>
  <c r="N49" i="2"/>
  <c r="N61" i="2"/>
  <c r="N73" i="2"/>
  <c r="N85" i="2"/>
  <c r="N97" i="2"/>
  <c r="N109" i="2"/>
  <c r="N121" i="2"/>
  <c r="N133" i="2"/>
  <c r="N145" i="2"/>
  <c r="N157" i="2"/>
  <c r="N169" i="2"/>
  <c r="N181" i="2"/>
  <c r="N193" i="2"/>
  <c r="N205" i="2"/>
  <c r="N217" i="2"/>
  <c r="N229" i="2"/>
  <c r="N241" i="2"/>
  <c r="N253" i="2"/>
  <c r="N265" i="2"/>
  <c r="N277" i="2"/>
  <c r="N289" i="2"/>
  <c r="N301" i="2"/>
  <c r="N313" i="2"/>
  <c r="N325" i="2"/>
  <c r="N337" i="2"/>
  <c r="N349" i="2"/>
  <c r="N361" i="2"/>
  <c r="N373" i="2"/>
  <c r="N385" i="2"/>
  <c r="N397" i="2"/>
  <c r="N409" i="2"/>
  <c r="N421" i="2"/>
  <c r="N433" i="2"/>
  <c r="N445" i="2"/>
  <c r="N457" i="2"/>
  <c r="N469" i="2"/>
  <c r="N481" i="2"/>
  <c r="N493" i="2"/>
  <c r="N505" i="2"/>
  <c r="N517" i="2"/>
  <c r="N529" i="2"/>
  <c r="N541" i="2"/>
  <c r="N553" i="2"/>
  <c r="N565" i="2"/>
  <c r="N577" i="2"/>
  <c r="N589" i="2"/>
  <c r="N601" i="2"/>
  <c r="N613" i="2"/>
  <c r="N625" i="2"/>
  <c r="N637" i="2"/>
  <c r="N649" i="2"/>
  <c r="N661" i="2"/>
  <c r="N673" i="2"/>
  <c r="N685" i="2"/>
  <c r="N697" i="2"/>
  <c r="N709" i="2"/>
  <c r="N721" i="2"/>
  <c r="N733" i="2"/>
  <c r="N745" i="2"/>
  <c r="N757" i="2"/>
  <c r="N769" i="2"/>
  <c r="N781" i="2"/>
  <c r="N793" i="2"/>
  <c r="N805" i="2"/>
  <c r="N817" i="2"/>
  <c r="N829" i="2"/>
  <c r="N841" i="2"/>
  <c r="N853" i="2"/>
  <c r="N865" i="2"/>
  <c r="N877" i="2"/>
  <c r="N889" i="2"/>
  <c r="N901" i="2"/>
  <c r="N913" i="2"/>
  <c r="N925" i="2"/>
  <c r="N937" i="2"/>
  <c r="N949" i="2"/>
  <c r="N961" i="2"/>
  <c r="N973" i="2"/>
  <c r="N985" i="2"/>
  <c r="N997" i="2"/>
  <c r="N1009" i="2"/>
  <c r="N14" i="2"/>
  <c r="N26" i="2"/>
  <c r="N38" i="2"/>
  <c r="N50" i="2"/>
  <c r="N62" i="2"/>
  <c r="N74" i="2"/>
  <c r="N86" i="2"/>
  <c r="N98" i="2"/>
  <c r="N110" i="2"/>
  <c r="N122" i="2"/>
  <c r="N134" i="2"/>
  <c r="N146" i="2"/>
  <c r="N158" i="2"/>
  <c r="N170" i="2"/>
  <c r="N182" i="2"/>
  <c r="N194" i="2"/>
  <c r="N206" i="2"/>
  <c r="N218" i="2"/>
  <c r="N230" i="2"/>
  <c r="N242" i="2"/>
  <c r="N254" i="2"/>
  <c r="N266" i="2"/>
  <c r="N278" i="2"/>
  <c r="N290" i="2"/>
  <c r="N302" i="2"/>
  <c r="N314" i="2"/>
  <c r="N326" i="2"/>
  <c r="N338" i="2"/>
  <c r="N350" i="2"/>
  <c r="N362" i="2"/>
  <c r="N374" i="2"/>
  <c r="N386" i="2"/>
  <c r="N398" i="2"/>
  <c r="N410" i="2"/>
  <c r="N422" i="2"/>
  <c r="N434" i="2"/>
  <c r="N446" i="2"/>
  <c r="N458" i="2"/>
  <c r="N470" i="2"/>
  <c r="N482" i="2"/>
  <c r="N494" i="2"/>
  <c r="N506" i="2"/>
  <c r="N518" i="2"/>
  <c r="N530" i="2"/>
  <c r="N542" i="2"/>
  <c r="N554" i="2"/>
  <c r="N566" i="2"/>
  <c r="N578" i="2"/>
  <c r="N590" i="2"/>
  <c r="N602" i="2"/>
  <c r="N614" i="2"/>
  <c r="N626" i="2"/>
  <c r="N638" i="2"/>
  <c r="N650" i="2"/>
  <c r="N662" i="2"/>
  <c r="N674" i="2"/>
  <c r="N686" i="2"/>
  <c r="N698" i="2"/>
  <c r="N710" i="2"/>
  <c r="N722" i="2"/>
  <c r="N734" i="2"/>
  <c r="N746" i="2"/>
  <c r="N758" i="2"/>
  <c r="N770" i="2"/>
  <c r="N782" i="2"/>
  <c r="N794" i="2"/>
  <c r="N806" i="2"/>
  <c r="N818" i="2"/>
  <c r="N830" i="2"/>
  <c r="N842" i="2"/>
  <c r="N854" i="2"/>
  <c r="N866" i="2"/>
  <c r="N878" i="2"/>
  <c r="N890" i="2"/>
  <c r="N902" i="2"/>
  <c r="N914" i="2"/>
  <c r="N926" i="2"/>
  <c r="N938" i="2"/>
  <c r="N950" i="2"/>
  <c r="N962" i="2"/>
  <c r="N974" i="2"/>
  <c r="N986" i="2"/>
  <c r="N998" i="2"/>
  <c r="N1010" i="2"/>
  <c r="N3" i="2"/>
  <c r="N15" i="2"/>
  <c r="N27" i="2"/>
  <c r="N39" i="2"/>
  <c r="N51" i="2"/>
  <c r="N63" i="2"/>
  <c r="N75" i="2"/>
  <c r="N87" i="2"/>
  <c r="N99" i="2"/>
  <c r="N111" i="2"/>
  <c r="N123" i="2"/>
  <c r="N135" i="2"/>
  <c r="N147" i="2"/>
  <c r="N159" i="2"/>
  <c r="N171" i="2"/>
  <c r="N183" i="2"/>
  <c r="N195" i="2"/>
  <c r="N207" i="2"/>
  <c r="N219" i="2"/>
  <c r="N231" i="2"/>
  <c r="N243" i="2"/>
  <c r="N255" i="2"/>
  <c r="N267" i="2"/>
  <c r="N279" i="2"/>
  <c r="N291" i="2"/>
  <c r="N303" i="2"/>
  <c r="N315" i="2"/>
  <c r="N327" i="2"/>
  <c r="N339" i="2"/>
  <c r="N351" i="2"/>
  <c r="N363" i="2"/>
  <c r="N375" i="2"/>
  <c r="N387" i="2"/>
  <c r="N399" i="2"/>
  <c r="N411" i="2"/>
  <c r="N423" i="2"/>
  <c r="N435" i="2"/>
  <c r="N447" i="2"/>
  <c r="N459" i="2"/>
  <c r="N471" i="2"/>
  <c r="N483" i="2"/>
  <c r="N495" i="2"/>
  <c r="N507" i="2"/>
  <c r="N519" i="2"/>
  <c r="N531" i="2"/>
  <c r="N543" i="2"/>
  <c r="N555" i="2"/>
  <c r="N567" i="2"/>
  <c r="N4" i="2"/>
  <c r="N16" i="2"/>
  <c r="N28" i="2"/>
  <c r="N40" i="2"/>
  <c r="N52" i="2"/>
  <c r="N64" i="2"/>
  <c r="N76" i="2"/>
  <c r="N88" i="2"/>
  <c r="N100" i="2"/>
  <c r="N112" i="2"/>
  <c r="N124" i="2"/>
  <c r="N136" i="2"/>
  <c r="N148" i="2"/>
  <c r="N160" i="2"/>
  <c r="N172" i="2"/>
  <c r="N184" i="2"/>
  <c r="N196" i="2"/>
  <c r="N208" i="2"/>
  <c r="N220" i="2"/>
  <c r="N232" i="2"/>
  <c r="N244" i="2"/>
  <c r="N256" i="2"/>
  <c r="N268" i="2"/>
  <c r="N280" i="2"/>
  <c r="N292" i="2"/>
  <c r="N304" i="2"/>
  <c r="N316" i="2"/>
  <c r="N328" i="2"/>
  <c r="N340" i="2"/>
  <c r="N352" i="2"/>
  <c r="N364" i="2"/>
  <c r="N376" i="2"/>
  <c r="N388" i="2"/>
  <c r="N400" i="2"/>
  <c r="N412" i="2"/>
  <c r="N424" i="2"/>
  <c r="N436" i="2"/>
  <c r="N448" i="2"/>
  <c r="N460" i="2"/>
  <c r="N472" i="2"/>
  <c r="N484" i="2"/>
  <c r="N496" i="2"/>
  <c r="N508" i="2"/>
  <c r="N520" i="2"/>
  <c r="N532" i="2"/>
  <c r="N544" i="2"/>
  <c r="N556" i="2"/>
  <c r="N568" i="2"/>
  <c r="N580" i="2"/>
  <c r="N592" i="2"/>
  <c r="N604" i="2"/>
  <c r="N616" i="2"/>
  <c r="N628" i="2"/>
  <c r="N640" i="2"/>
  <c r="N652" i="2"/>
  <c r="N664" i="2"/>
  <c r="N676" i="2"/>
  <c r="N688" i="2"/>
  <c r="N700" i="2"/>
  <c r="N712" i="2"/>
  <c r="N724" i="2"/>
  <c r="N736" i="2"/>
  <c r="N748" i="2"/>
  <c r="N760" i="2"/>
  <c r="N772" i="2"/>
  <c r="N784" i="2"/>
  <c r="N796" i="2"/>
  <c r="N808" i="2"/>
  <c r="N820" i="2"/>
  <c r="N7" i="2"/>
  <c r="N19" i="2"/>
  <c r="N31" i="2"/>
  <c r="N43" i="2"/>
  <c r="N55" i="2"/>
  <c r="N67" i="2"/>
  <c r="N79" i="2"/>
  <c r="N91" i="2"/>
  <c r="N103" i="2"/>
  <c r="N115" i="2"/>
  <c r="N127" i="2"/>
  <c r="N139" i="2"/>
  <c r="N151" i="2"/>
  <c r="N163" i="2"/>
  <c r="N175" i="2"/>
  <c r="N187" i="2"/>
  <c r="N199" i="2"/>
  <c r="N211" i="2"/>
  <c r="N223" i="2"/>
  <c r="N235" i="2"/>
  <c r="N247" i="2"/>
  <c r="N259" i="2"/>
  <c r="N271" i="2"/>
  <c r="N283" i="2"/>
  <c r="N295" i="2"/>
  <c r="N307" i="2"/>
  <c r="N319" i="2"/>
  <c r="N331" i="2"/>
  <c r="N343" i="2"/>
  <c r="N355" i="2"/>
  <c r="N367" i="2"/>
  <c r="N379" i="2"/>
  <c r="N391" i="2"/>
  <c r="N403" i="2"/>
  <c r="N415" i="2"/>
  <c r="N427" i="2"/>
  <c r="N439" i="2"/>
  <c r="N451" i="2"/>
  <c r="N463" i="2"/>
  <c r="N475" i="2"/>
  <c r="N487" i="2"/>
  <c r="N499" i="2"/>
  <c r="N511" i="2"/>
  <c r="N523" i="2"/>
  <c r="N535" i="2"/>
  <c r="N547" i="2"/>
  <c r="N559" i="2"/>
  <c r="N571" i="2"/>
  <c r="N583" i="2"/>
  <c r="N595" i="2"/>
  <c r="N607" i="2"/>
  <c r="N619" i="2"/>
  <c r="N631" i="2"/>
  <c r="N643" i="2"/>
  <c r="N655" i="2"/>
  <c r="N667" i="2"/>
  <c r="N679" i="2"/>
  <c r="N691" i="2"/>
  <c r="N703" i="2"/>
  <c r="N8" i="2"/>
  <c r="N20" i="2"/>
  <c r="N32" i="2"/>
  <c r="N44" i="2"/>
  <c r="N56" i="2"/>
  <c r="N68" i="2"/>
  <c r="N80" i="2"/>
  <c r="N92" i="2"/>
  <c r="N104" i="2"/>
  <c r="N116" i="2"/>
  <c r="N128" i="2"/>
  <c r="N140" i="2"/>
  <c r="N152" i="2"/>
  <c r="N164" i="2"/>
  <c r="N176" i="2"/>
  <c r="N188" i="2"/>
  <c r="N200" i="2"/>
  <c r="N212" i="2"/>
  <c r="N224" i="2"/>
  <c r="N236" i="2"/>
  <c r="N248" i="2"/>
  <c r="N260" i="2"/>
  <c r="N272" i="2"/>
  <c r="N284" i="2"/>
  <c r="N296" i="2"/>
  <c r="N308" i="2"/>
  <c r="N320" i="2"/>
  <c r="N332" i="2"/>
  <c r="N344" i="2"/>
  <c r="N356" i="2"/>
  <c r="N368" i="2"/>
  <c r="N380" i="2"/>
  <c r="N392" i="2"/>
  <c r="N404" i="2"/>
  <c r="N416" i="2"/>
  <c r="N428" i="2"/>
  <c r="N440" i="2"/>
  <c r="N452" i="2"/>
  <c r="N464" i="2"/>
  <c r="N476" i="2"/>
  <c r="N488" i="2"/>
  <c r="N500" i="2"/>
  <c r="N512" i="2"/>
  <c r="N524" i="2"/>
  <c r="N536" i="2"/>
  <c r="N548" i="2"/>
  <c r="N560" i="2"/>
  <c r="N572" i="2"/>
  <c r="N584" i="2"/>
  <c r="N596" i="2"/>
  <c r="N608" i="2"/>
  <c r="N620" i="2"/>
  <c r="N632" i="2"/>
  <c r="N644" i="2"/>
  <c r="N656" i="2"/>
  <c r="N668" i="2"/>
  <c r="N680" i="2"/>
  <c r="N692" i="2"/>
  <c r="N9" i="2"/>
  <c r="N21" i="2"/>
  <c r="N33" i="2"/>
  <c r="N45" i="2"/>
  <c r="N57" i="2"/>
  <c r="N69" i="2"/>
  <c r="N81" i="2"/>
  <c r="N93" i="2"/>
  <c r="N105" i="2"/>
  <c r="N117" i="2"/>
  <c r="N129" i="2"/>
  <c r="N141" i="2"/>
  <c r="N153" i="2"/>
  <c r="N165" i="2"/>
  <c r="N177" i="2"/>
  <c r="N189" i="2"/>
  <c r="N201" i="2"/>
  <c r="N5" i="2"/>
  <c r="N34" i="2"/>
  <c r="N60" i="2"/>
  <c r="N90" i="2"/>
  <c r="N119" i="2"/>
  <c r="N149" i="2"/>
  <c r="N178" i="2"/>
  <c r="N204" i="2"/>
  <c r="N228" i="2"/>
  <c r="N252" i="2"/>
  <c r="N276" i="2"/>
  <c r="N300" i="2"/>
  <c r="N324" i="2"/>
  <c r="N348" i="2"/>
  <c r="N372" i="2"/>
  <c r="N396" i="2"/>
  <c r="N420" i="2"/>
  <c r="N444" i="2"/>
  <c r="N468" i="2"/>
  <c r="N492" i="2"/>
  <c r="N516" i="2"/>
  <c r="N540" i="2"/>
  <c r="N564" i="2"/>
  <c r="N587" i="2"/>
  <c r="N609" i="2"/>
  <c r="N629" i="2"/>
  <c r="N648" i="2"/>
  <c r="N670" i="2"/>
  <c r="N690" i="2"/>
  <c r="N708" i="2"/>
  <c r="N726" i="2"/>
  <c r="N741" i="2"/>
  <c r="N756" i="2"/>
  <c r="N774" i="2"/>
  <c r="N789" i="2"/>
  <c r="N804" i="2"/>
  <c r="N822" i="2"/>
  <c r="N836" i="2"/>
  <c r="N850" i="2"/>
  <c r="N864" i="2"/>
  <c r="N880" i="2"/>
  <c r="N894" i="2"/>
  <c r="N908" i="2"/>
  <c r="N922" i="2"/>
  <c r="N936" i="2"/>
  <c r="N952" i="2"/>
  <c r="N966" i="2"/>
  <c r="N980" i="2"/>
  <c r="N994" i="2"/>
  <c r="N1008" i="2"/>
  <c r="N1022" i="2"/>
  <c r="N1034" i="2"/>
  <c r="N1046" i="2"/>
  <c r="N1058" i="2"/>
  <c r="N1070" i="2"/>
  <c r="N1082" i="2"/>
  <c r="N1094" i="2"/>
  <c r="N1106" i="2"/>
  <c r="N1118" i="2"/>
  <c r="N1130" i="2"/>
  <c r="N1142" i="2"/>
  <c r="N1154" i="2"/>
  <c r="N1166" i="2"/>
  <c r="N1178" i="2"/>
  <c r="N1190" i="2"/>
  <c r="N1202" i="2"/>
  <c r="N1214" i="2"/>
  <c r="N1226" i="2"/>
  <c r="N1238" i="2"/>
  <c r="N1250" i="2"/>
  <c r="N1262" i="2"/>
  <c r="N1274" i="2"/>
  <c r="N1286" i="2"/>
  <c r="N1298" i="2"/>
  <c r="N1310" i="2"/>
  <c r="N1322" i="2"/>
  <c r="N1334" i="2"/>
  <c r="N1346" i="2"/>
  <c r="N1358" i="2"/>
  <c r="N1370" i="2"/>
  <c r="N1382" i="2"/>
  <c r="N1394" i="2"/>
  <c r="N1406" i="2"/>
  <c r="N1418" i="2"/>
  <c r="N1430" i="2"/>
  <c r="N6" i="2"/>
  <c r="N35" i="2"/>
  <c r="N65" i="2"/>
  <c r="N94" i="2"/>
  <c r="N120" i="2"/>
  <c r="N150" i="2"/>
  <c r="N179" i="2"/>
  <c r="N209" i="2"/>
  <c r="N233" i="2"/>
  <c r="N257" i="2"/>
  <c r="N281" i="2"/>
  <c r="N305" i="2"/>
  <c r="N329" i="2"/>
  <c r="N353" i="2"/>
  <c r="N377" i="2"/>
  <c r="N401" i="2"/>
  <c r="N425" i="2"/>
  <c r="N449" i="2"/>
  <c r="N473" i="2"/>
  <c r="N497" i="2"/>
  <c r="N521" i="2"/>
  <c r="N545" i="2"/>
  <c r="N569" i="2"/>
  <c r="N588" i="2"/>
  <c r="N610" i="2"/>
  <c r="N630" i="2"/>
  <c r="N651" i="2"/>
  <c r="N671" i="2"/>
  <c r="N693" i="2"/>
  <c r="N711" i="2"/>
  <c r="N727" i="2"/>
  <c r="N742" i="2"/>
  <c r="N759" i="2"/>
  <c r="N775" i="2"/>
  <c r="N790" i="2"/>
  <c r="N807" i="2"/>
  <c r="N823" i="2"/>
  <c r="N837" i="2"/>
  <c r="N851" i="2"/>
  <c r="N867" i="2"/>
  <c r="N881" i="2"/>
  <c r="N895" i="2"/>
  <c r="N909" i="2"/>
  <c r="N923" i="2"/>
  <c r="N939" i="2"/>
  <c r="N953" i="2"/>
  <c r="N967" i="2"/>
  <c r="N981" i="2"/>
  <c r="N995" i="2"/>
  <c r="N1011" i="2"/>
  <c r="N1023" i="2"/>
  <c r="N1035" i="2"/>
  <c r="N1047" i="2"/>
  <c r="N1059" i="2"/>
  <c r="N1071" i="2"/>
  <c r="N1083" i="2"/>
  <c r="N1095" i="2"/>
  <c r="N1107" i="2"/>
  <c r="N1119" i="2"/>
  <c r="N1131" i="2"/>
  <c r="N1143" i="2"/>
  <c r="N1155" i="2"/>
  <c r="N1167" i="2"/>
  <c r="N1179" i="2"/>
  <c r="N1191" i="2"/>
  <c r="N1203" i="2"/>
  <c r="N1215" i="2"/>
  <c r="N1227" i="2"/>
  <c r="N1239" i="2"/>
  <c r="N1251" i="2"/>
  <c r="N1263" i="2"/>
  <c r="N1275" i="2"/>
  <c r="N1287" i="2"/>
  <c r="N1299" i="2"/>
  <c r="N1311" i="2"/>
  <c r="N1323" i="2"/>
  <c r="N1335" i="2"/>
  <c r="N1347" i="2"/>
  <c r="N1359" i="2"/>
  <c r="N1371" i="2"/>
  <c r="N1383" i="2"/>
  <c r="N1395" i="2"/>
  <c r="N1407" i="2"/>
  <c r="N1419" i="2"/>
  <c r="N1431" i="2"/>
  <c r="N10" i="2"/>
  <c r="N36" i="2"/>
  <c r="N66" i="2"/>
  <c r="N95" i="2"/>
  <c r="N125" i="2"/>
  <c r="N154" i="2"/>
  <c r="N180" i="2"/>
  <c r="N210" i="2"/>
  <c r="N234" i="2"/>
  <c r="N258" i="2"/>
  <c r="N282" i="2"/>
  <c r="N306" i="2"/>
  <c r="N330" i="2"/>
  <c r="N354" i="2"/>
  <c r="N378" i="2"/>
  <c r="N402" i="2"/>
  <c r="N426" i="2"/>
  <c r="N450" i="2"/>
  <c r="N474" i="2"/>
  <c r="N498" i="2"/>
  <c r="N522" i="2"/>
  <c r="N546" i="2"/>
  <c r="N570" i="2"/>
  <c r="N591" i="2"/>
  <c r="N611" i="2"/>
  <c r="N633" i="2"/>
  <c r="N653" i="2"/>
  <c r="N672" i="2"/>
  <c r="N694" i="2"/>
  <c r="N713" i="2"/>
  <c r="N728" i="2"/>
  <c r="N743" i="2"/>
  <c r="N761" i="2"/>
  <c r="N776" i="2"/>
  <c r="N791" i="2"/>
  <c r="N809" i="2"/>
  <c r="N824" i="2"/>
  <c r="N838" i="2"/>
  <c r="N852" i="2"/>
  <c r="N868" i="2"/>
  <c r="N882" i="2"/>
  <c r="N896" i="2"/>
  <c r="N910" i="2"/>
  <c r="N924" i="2"/>
  <c r="N940" i="2"/>
  <c r="N954" i="2"/>
  <c r="N968" i="2"/>
  <c r="N982" i="2"/>
  <c r="N996" i="2"/>
  <c r="N1012" i="2"/>
  <c r="N1024" i="2"/>
  <c r="N1036" i="2"/>
  <c r="N1048" i="2"/>
  <c r="N1060" i="2"/>
  <c r="N1072" i="2"/>
  <c r="N1084" i="2"/>
  <c r="N1096" i="2"/>
  <c r="N1108" i="2"/>
  <c r="N1120" i="2"/>
  <c r="N1132" i="2"/>
  <c r="N1144" i="2"/>
  <c r="N1156" i="2"/>
  <c r="N1168" i="2"/>
  <c r="N1180" i="2"/>
  <c r="N1192" i="2"/>
  <c r="N1204" i="2"/>
  <c r="N1216" i="2"/>
  <c r="N1228" i="2"/>
  <c r="N1240" i="2"/>
  <c r="N1252" i="2"/>
  <c r="N1264" i="2"/>
  <c r="N1276" i="2"/>
  <c r="N1288" i="2"/>
  <c r="N1300" i="2"/>
  <c r="N1312" i="2"/>
  <c r="N1324" i="2"/>
  <c r="N1336" i="2"/>
  <c r="N1348" i="2"/>
  <c r="N1360" i="2"/>
  <c r="N1372" i="2"/>
  <c r="N1384" i="2"/>
  <c r="N1396" i="2"/>
  <c r="N1408" i="2"/>
  <c r="N1420" i="2"/>
  <c r="N1432" i="2"/>
  <c r="N11" i="2"/>
  <c r="N41" i="2"/>
  <c r="N70" i="2"/>
  <c r="N96" i="2"/>
  <c r="N126" i="2"/>
  <c r="N155" i="2"/>
  <c r="N185" i="2"/>
  <c r="N213" i="2"/>
  <c r="N237" i="2"/>
  <c r="N261" i="2"/>
  <c r="N285" i="2"/>
  <c r="N309" i="2"/>
  <c r="N333" i="2"/>
  <c r="N357" i="2"/>
  <c r="N381" i="2"/>
  <c r="N405" i="2"/>
  <c r="N429" i="2"/>
  <c r="N453" i="2"/>
  <c r="N477" i="2"/>
  <c r="N501" i="2"/>
  <c r="N525" i="2"/>
  <c r="N549" i="2"/>
  <c r="N573" i="2"/>
  <c r="N593" i="2"/>
  <c r="N612" i="2"/>
  <c r="N634" i="2"/>
  <c r="N654" i="2"/>
  <c r="N675" i="2"/>
  <c r="N695" i="2"/>
  <c r="N714" i="2"/>
  <c r="N729" i="2"/>
  <c r="N744" i="2"/>
  <c r="N762" i="2"/>
  <c r="N777" i="2"/>
  <c r="N792" i="2"/>
  <c r="N810" i="2"/>
  <c r="N825" i="2"/>
  <c r="N839" i="2"/>
  <c r="N855" i="2"/>
  <c r="N869" i="2"/>
  <c r="N883" i="2"/>
  <c r="N897" i="2"/>
  <c r="N911" i="2"/>
  <c r="N927" i="2"/>
  <c r="N941" i="2"/>
  <c r="N955" i="2"/>
  <c r="N969" i="2"/>
  <c r="N983" i="2"/>
  <c r="N999" i="2"/>
  <c r="N1013" i="2"/>
  <c r="N1025" i="2"/>
  <c r="N1037" i="2"/>
  <c r="N1049" i="2"/>
  <c r="N1061" i="2"/>
  <c r="N1073" i="2"/>
  <c r="N1085" i="2"/>
  <c r="N1097" i="2"/>
  <c r="N1109" i="2"/>
  <c r="N1121" i="2"/>
  <c r="N1133" i="2"/>
  <c r="N1145" i="2"/>
  <c r="N1157" i="2"/>
  <c r="N1169" i="2"/>
  <c r="N1181" i="2"/>
  <c r="N1193" i="2"/>
  <c r="N1205" i="2"/>
  <c r="N1217" i="2"/>
  <c r="N1229" i="2"/>
  <c r="N1241" i="2"/>
  <c r="N1253" i="2"/>
  <c r="N1265" i="2"/>
  <c r="N1277" i="2"/>
  <c r="N1289" i="2"/>
  <c r="N1301" i="2"/>
  <c r="N1313" i="2"/>
  <c r="N1325" i="2"/>
  <c r="N1337" i="2"/>
  <c r="N1349" i="2"/>
  <c r="N1361" i="2"/>
  <c r="N1373" i="2"/>
  <c r="N1385" i="2"/>
  <c r="N1397" i="2"/>
  <c r="N1409" i="2"/>
  <c r="N1421" i="2"/>
  <c r="N1433" i="2"/>
  <c r="N12" i="2"/>
  <c r="N42" i="2"/>
  <c r="N71" i="2"/>
  <c r="N101" i="2"/>
  <c r="N130" i="2"/>
  <c r="N156" i="2"/>
  <c r="N186" i="2"/>
  <c r="N214" i="2"/>
  <c r="N238" i="2"/>
  <c r="N262" i="2"/>
  <c r="N286" i="2"/>
  <c r="N310" i="2"/>
  <c r="N334" i="2"/>
  <c r="N358" i="2"/>
  <c r="N382" i="2"/>
  <c r="N406" i="2"/>
  <c r="N430" i="2"/>
  <c r="N454" i="2"/>
  <c r="N478" i="2"/>
  <c r="N502" i="2"/>
  <c r="N526" i="2"/>
  <c r="N550" i="2"/>
  <c r="N574" i="2"/>
  <c r="N594" i="2"/>
  <c r="N615" i="2"/>
  <c r="N635" i="2"/>
  <c r="N657" i="2"/>
  <c r="N677" i="2"/>
  <c r="N696" i="2"/>
  <c r="N715" i="2"/>
  <c r="N730" i="2"/>
  <c r="N747" i="2"/>
  <c r="N763" i="2"/>
  <c r="N778" i="2"/>
  <c r="N795" i="2"/>
  <c r="N811" i="2"/>
  <c r="N826" i="2"/>
  <c r="N840" i="2"/>
  <c r="N856" i="2"/>
  <c r="N870" i="2"/>
  <c r="N884" i="2"/>
  <c r="N898" i="2"/>
  <c r="N912" i="2"/>
  <c r="N928" i="2"/>
  <c r="N942" i="2"/>
  <c r="N956" i="2"/>
  <c r="N970" i="2"/>
  <c r="N984" i="2"/>
  <c r="N1000" i="2"/>
  <c r="N1014" i="2"/>
  <c r="N1026" i="2"/>
  <c r="N1038" i="2"/>
  <c r="N1050" i="2"/>
  <c r="N1062" i="2"/>
  <c r="N1074" i="2"/>
  <c r="N1086" i="2"/>
  <c r="N1098" i="2"/>
  <c r="N1110" i="2"/>
  <c r="N1122" i="2"/>
  <c r="N1134" i="2"/>
  <c r="N1146" i="2"/>
  <c r="N1158" i="2"/>
  <c r="N1170" i="2"/>
  <c r="N1182" i="2"/>
  <c r="N1194" i="2"/>
  <c r="N1206" i="2"/>
  <c r="N1218" i="2"/>
  <c r="N1230" i="2"/>
  <c r="N1242" i="2"/>
  <c r="N1254" i="2"/>
  <c r="N1266" i="2"/>
  <c r="N1278" i="2"/>
  <c r="N1290" i="2"/>
  <c r="N1302" i="2"/>
  <c r="N1314" i="2"/>
  <c r="N1326" i="2"/>
  <c r="N1338" i="2"/>
  <c r="N1350" i="2"/>
  <c r="N1362" i="2"/>
  <c r="N18" i="2"/>
  <c r="N47" i="2"/>
  <c r="N77" i="2"/>
  <c r="N106" i="2"/>
  <c r="N132" i="2"/>
  <c r="N162" i="2"/>
  <c r="N191" i="2"/>
  <c r="N216" i="2"/>
  <c r="N240" i="2"/>
  <c r="N264" i="2"/>
  <c r="N288" i="2"/>
  <c r="N312" i="2"/>
  <c r="N336" i="2"/>
  <c r="N360" i="2"/>
  <c r="N384" i="2"/>
  <c r="N408" i="2"/>
  <c r="N17" i="2"/>
  <c r="N72" i="2"/>
  <c r="N131" i="2"/>
  <c r="N190" i="2"/>
  <c r="N239" i="2"/>
  <c r="N287" i="2"/>
  <c r="N335" i="2"/>
  <c r="N383" i="2"/>
  <c r="N431" i="2"/>
  <c r="N466" i="2"/>
  <c r="N510" i="2"/>
  <c r="N552" i="2"/>
  <c r="N586" i="2"/>
  <c r="N623" i="2"/>
  <c r="N660" i="2"/>
  <c r="N699" i="2"/>
  <c r="N723" i="2"/>
  <c r="N752" i="2"/>
  <c r="N780" i="2"/>
  <c r="N803" i="2"/>
  <c r="N833" i="2"/>
  <c r="N859" i="2"/>
  <c r="N885" i="2"/>
  <c r="N906" i="2"/>
  <c r="N932" i="2"/>
  <c r="N958" i="2"/>
  <c r="N979" i="2"/>
  <c r="N1005" i="2"/>
  <c r="N1029" i="2"/>
  <c r="N1051" i="2"/>
  <c r="N1068" i="2"/>
  <c r="N1090" i="2"/>
  <c r="N1112" i="2"/>
  <c r="N1129" i="2"/>
  <c r="N1151" i="2"/>
  <c r="N1173" i="2"/>
  <c r="N1195" i="2"/>
  <c r="N1212" i="2"/>
  <c r="N1234" i="2"/>
  <c r="N1256" i="2"/>
  <c r="N1273" i="2"/>
  <c r="N1295" i="2"/>
  <c r="N1317" i="2"/>
  <c r="N1339" i="2"/>
  <c r="N1356" i="2"/>
  <c r="N1377" i="2"/>
  <c r="N1393" i="2"/>
  <c r="N1413" i="2"/>
  <c r="N1429" i="2"/>
  <c r="N1445" i="2"/>
  <c r="N1457" i="2"/>
  <c r="N1469" i="2"/>
  <c r="N1481" i="2"/>
  <c r="N1493" i="2"/>
  <c r="N1505" i="2"/>
  <c r="N1517" i="2"/>
  <c r="N1529" i="2"/>
  <c r="N1541" i="2"/>
  <c r="N1553" i="2"/>
  <c r="N1565" i="2"/>
  <c r="N1577" i="2"/>
  <c r="N1589" i="2"/>
  <c r="N1601" i="2"/>
  <c r="N1613" i="2"/>
  <c r="N1625" i="2"/>
  <c r="N1637" i="2"/>
  <c r="N1649" i="2"/>
  <c r="N1661" i="2"/>
  <c r="N1673" i="2"/>
  <c r="N1685" i="2"/>
  <c r="N1697" i="2"/>
  <c r="N1709" i="2"/>
  <c r="N1721" i="2"/>
  <c r="N1733" i="2"/>
  <c r="N1745" i="2"/>
  <c r="N1757" i="2"/>
  <c r="N1769" i="2"/>
  <c r="N1781" i="2"/>
  <c r="N22" i="2"/>
  <c r="N78" i="2"/>
  <c r="N137" i="2"/>
  <c r="N192" i="2"/>
  <c r="N245" i="2"/>
  <c r="N293" i="2"/>
  <c r="N341" i="2"/>
  <c r="N389" i="2"/>
  <c r="N432" i="2"/>
  <c r="N467" i="2"/>
  <c r="N513" i="2"/>
  <c r="N557" i="2"/>
  <c r="N597" i="2"/>
  <c r="N624" i="2"/>
  <c r="N663" i="2"/>
  <c r="N701" i="2"/>
  <c r="N725" i="2"/>
  <c r="N753" i="2"/>
  <c r="N783" i="2"/>
  <c r="N812" i="2"/>
  <c r="N834" i="2"/>
  <c r="N860" i="2"/>
  <c r="N886" i="2"/>
  <c r="N907" i="2"/>
  <c r="N933" i="2"/>
  <c r="N959" i="2"/>
  <c r="N987" i="2"/>
  <c r="N1006" i="2"/>
  <c r="N1030" i="2"/>
  <c r="N1052" i="2"/>
  <c r="N1069" i="2"/>
  <c r="N1091" i="2"/>
  <c r="N1113" i="2"/>
  <c r="N1135" i="2"/>
  <c r="N1152" i="2"/>
  <c r="N1174" i="2"/>
  <c r="N1196" i="2"/>
  <c r="N1213" i="2"/>
  <c r="N1235" i="2"/>
  <c r="N1257" i="2"/>
  <c r="N1279" i="2"/>
  <c r="N1296" i="2"/>
  <c r="N1318" i="2"/>
  <c r="N1340" i="2"/>
  <c r="N1357" i="2"/>
  <c r="N1378" i="2"/>
  <c r="N1398" i="2"/>
  <c r="N1414" i="2"/>
  <c r="N1434" i="2"/>
  <c r="N1446" i="2"/>
  <c r="N1458" i="2"/>
  <c r="N1470" i="2"/>
  <c r="N1482" i="2"/>
  <c r="N1494" i="2"/>
  <c r="N1506" i="2"/>
  <c r="N1518" i="2"/>
  <c r="N1530" i="2"/>
  <c r="N1542" i="2"/>
  <c r="N1554" i="2"/>
  <c r="N1566" i="2"/>
  <c r="N1578" i="2"/>
  <c r="N1590" i="2"/>
  <c r="N1602" i="2"/>
  <c r="N1614" i="2"/>
  <c r="N1626" i="2"/>
  <c r="N1638" i="2"/>
  <c r="N1650" i="2"/>
  <c r="N1662" i="2"/>
  <c r="N1674" i="2"/>
  <c r="N1686" i="2"/>
  <c r="N1698" i="2"/>
  <c r="N1710" i="2"/>
  <c r="N1722" i="2"/>
  <c r="N1734" i="2"/>
  <c r="N1746" i="2"/>
  <c r="N1758" i="2"/>
  <c r="N1770" i="2"/>
  <c r="N1782" i="2"/>
  <c r="N23" i="2"/>
  <c r="N82" i="2"/>
  <c r="N138" i="2"/>
  <c r="N197" i="2"/>
  <c r="N246" i="2"/>
  <c r="N294" i="2"/>
  <c r="N342" i="2"/>
  <c r="N390" i="2"/>
  <c r="N437" i="2"/>
  <c r="N479" i="2"/>
  <c r="N514" i="2"/>
  <c r="N558" i="2"/>
  <c r="N598" i="2"/>
  <c r="N627" i="2"/>
  <c r="N665" i="2"/>
  <c r="N702" i="2"/>
  <c r="N731" i="2"/>
  <c r="N754" i="2"/>
  <c r="N785" i="2"/>
  <c r="N813" i="2"/>
  <c r="N835" i="2"/>
  <c r="N861" i="2"/>
  <c r="N887" i="2"/>
  <c r="N915" i="2"/>
  <c r="N934" i="2"/>
  <c r="N960" i="2"/>
  <c r="N988" i="2"/>
  <c r="N1007" i="2"/>
  <c r="N1031" i="2"/>
  <c r="N1053" i="2"/>
  <c r="N1075" i="2"/>
  <c r="N1092" i="2"/>
  <c r="N1114" i="2"/>
  <c r="N1136" i="2"/>
  <c r="N1153" i="2"/>
  <c r="N1175" i="2"/>
  <c r="N1197" i="2"/>
  <c r="N1219" i="2"/>
  <c r="N1236" i="2"/>
  <c r="N1258" i="2"/>
  <c r="N1280" i="2"/>
  <c r="N1297" i="2"/>
  <c r="N1319" i="2"/>
  <c r="N1341" i="2"/>
  <c r="N1363" i="2"/>
  <c r="N1379" i="2"/>
  <c r="N1399" i="2"/>
  <c r="N1415" i="2"/>
  <c r="N1435" i="2"/>
  <c r="N1447" i="2"/>
  <c r="N1459" i="2"/>
  <c r="N1471" i="2"/>
  <c r="N1483" i="2"/>
  <c r="N1495" i="2"/>
  <c r="N1507" i="2"/>
  <c r="N1519" i="2"/>
  <c r="N1531" i="2"/>
  <c r="N1543" i="2"/>
  <c r="N1555" i="2"/>
  <c r="N1567" i="2"/>
  <c r="N1579" i="2"/>
  <c r="N1591" i="2"/>
  <c r="N1603" i="2"/>
  <c r="N1615" i="2"/>
  <c r="N1627" i="2"/>
  <c r="N1639" i="2"/>
  <c r="N1651" i="2"/>
  <c r="N1663" i="2"/>
  <c r="N1675" i="2"/>
  <c r="N1687" i="2"/>
  <c r="N1699" i="2"/>
  <c r="N1711" i="2"/>
  <c r="N1723" i="2"/>
  <c r="N1735" i="2"/>
  <c r="N1747" i="2"/>
  <c r="N1759" i="2"/>
  <c r="N29" i="2"/>
  <c r="N84" i="2"/>
  <c r="N143" i="2"/>
  <c r="N202" i="2"/>
  <c r="N250" i="2"/>
  <c r="N298" i="2"/>
  <c r="N346" i="2"/>
  <c r="N394" i="2"/>
  <c r="N441" i="2"/>
  <c r="N485" i="2"/>
  <c r="N527" i="2"/>
  <c r="N562" i="2"/>
  <c r="N600" i="2"/>
  <c r="N639" i="2"/>
  <c r="N669" i="2"/>
  <c r="N705" i="2"/>
  <c r="N735" i="2"/>
  <c r="N764" i="2"/>
  <c r="N787" i="2"/>
  <c r="N815" i="2"/>
  <c r="N844" i="2"/>
  <c r="N863" i="2"/>
  <c r="N891" i="2"/>
  <c r="N917" i="2"/>
  <c r="N943" i="2"/>
  <c r="N964" i="2"/>
  <c r="N990" i="2"/>
  <c r="N1016" i="2"/>
  <c r="N1033" i="2"/>
  <c r="N1055" i="2"/>
  <c r="N1077" i="2"/>
  <c r="N1099" i="2"/>
  <c r="N1116" i="2"/>
  <c r="N1138" i="2"/>
  <c r="N1160" i="2"/>
  <c r="N1177" i="2"/>
  <c r="N1199" i="2"/>
  <c r="N1221" i="2"/>
  <c r="N1243" i="2"/>
  <c r="N1260" i="2"/>
  <c r="N1282" i="2"/>
  <c r="N1304" i="2"/>
  <c r="N1321" i="2"/>
  <c r="N1343" i="2"/>
  <c r="N1365" i="2"/>
  <c r="N1381" i="2"/>
  <c r="N1401" i="2"/>
  <c r="N1417" i="2"/>
  <c r="N1437" i="2"/>
  <c r="N1449" i="2"/>
  <c r="N1461" i="2"/>
  <c r="N1473" i="2"/>
  <c r="N1485" i="2"/>
  <c r="N1497" i="2"/>
  <c r="N1509" i="2"/>
  <c r="N1521" i="2"/>
  <c r="N1533" i="2"/>
  <c r="N1545" i="2"/>
  <c r="N1557" i="2"/>
  <c r="N1569" i="2"/>
  <c r="N1581" i="2"/>
  <c r="N1593" i="2"/>
  <c r="N1605" i="2"/>
  <c r="N1617" i="2"/>
  <c r="N1629" i="2"/>
  <c r="N1641" i="2"/>
  <c r="N1653" i="2"/>
  <c r="N1665" i="2"/>
  <c r="N1677" i="2"/>
  <c r="N1689" i="2"/>
  <c r="N1701" i="2"/>
  <c r="N1713" i="2"/>
  <c r="N1725" i="2"/>
  <c r="N1737" i="2"/>
  <c r="N1749" i="2"/>
  <c r="N1761" i="2"/>
  <c r="N1773" i="2"/>
  <c r="N1785" i="2"/>
  <c r="N1797" i="2"/>
  <c r="N1809" i="2"/>
  <c r="N1821" i="2"/>
  <c r="N1833" i="2"/>
  <c r="N1845" i="2"/>
  <c r="N1857" i="2"/>
  <c r="N1869" i="2"/>
  <c r="N46" i="2"/>
  <c r="N102" i="2"/>
  <c r="N161" i="2"/>
  <c r="N215" i="2"/>
  <c r="N263" i="2"/>
  <c r="N311" i="2"/>
  <c r="N359" i="2"/>
  <c r="N407" i="2"/>
  <c r="N443" i="2"/>
  <c r="N489" i="2"/>
  <c r="N533" i="2"/>
  <c r="N575" i="2"/>
  <c r="N605" i="2"/>
  <c r="N642" i="2"/>
  <c r="N681" i="2"/>
  <c r="N707" i="2"/>
  <c r="N738" i="2"/>
  <c r="N766" i="2"/>
  <c r="N797" i="2"/>
  <c r="N819" i="2"/>
  <c r="N846" i="2"/>
  <c r="N872" i="2"/>
  <c r="N893" i="2"/>
  <c r="N919" i="2"/>
  <c r="N945" i="2"/>
  <c r="N971" i="2"/>
  <c r="N992" i="2"/>
  <c r="N1018" i="2"/>
  <c r="N1040" i="2"/>
  <c r="N1057" i="2"/>
  <c r="N1079" i="2"/>
  <c r="N1101" i="2"/>
  <c r="N1123" i="2"/>
  <c r="N1140" i="2"/>
  <c r="N1162" i="2"/>
  <c r="N1184" i="2"/>
  <c r="N1201" i="2"/>
  <c r="N1223" i="2"/>
  <c r="N1245" i="2"/>
  <c r="N1267" i="2"/>
  <c r="N1284" i="2"/>
  <c r="N1306" i="2"/>
  <c r="N1328" i="2"/>
  <c r="N1345" i="2"/>
  <c r="N1367" i="2"/>
  <c r="N1387" i="2"/>
  <c r="N1403" i="2"/>
  <c r="N1423" i="2"/>
  <c r="N1439" i="2"/>
  <c r="N1451" i="2"/>
  <c r="N1463" i="2"/>
  <c r="N1475" i="2"/>
  <c r="N1487" i="2"/>
  <c r="N1499" i="2"/>
  <c r="N24" i="2"/>
  <c r="N114" i="2"/>
  <c r="N222" i="2"/>
  <c r="N299" i="2"/>
  <c r="N371" i="2"/>
  <c r="N461" i="2"/>
  <c r="N534" i="2"/>
  <c r="N599" i="2"/>
  <c r="N658" i="2"/>
  <c r="N717" i="2"/>
  <c r="N765" i="2"/>
  <c r="N802" i="2"/>
  <c r="N849" i="2"/>
  <c r="N899" i="2"/>
  <c r="N935" i="2"/>
  <c r="N977" i="2"/>
  <c r="N1020" i="2"/>
  <c r="N1056" i="2"/>
  <c r="N1089" i="2"/>
  <c r="N1126" i="2"/>
  <c r="N1163" i="2"/>
  <c r="N1198" i="2"/>
  <c r="N1232" i="2"/>
  <c r="N1269" i="2"/>
  <c r="N1305" i="2"/>
  <c r="N1333" i="2"/>
  <c r="N1374" i="2"/>
  <c r="N1404" i="2"/>
  <c r="N1436" i="2"/>
  <c r="N1455" i="2"/>
  <c r="N1477" i="2"/>
  <c r="N1498" i="2"/>
  <c r="N1515" i="2"/>
  <c r="N1535" i="2"/>
  <c r="N1551" i="2"/>
  <c r="N1571" i="2"/>
  <c r="N1587" i="2"/>
  <c r="N1607" i="2"/>
  <c r="N1623" i="2"/>
  <c r="N1643" i="2"/>
  <c r="N1659" i="2"/>
  <c r="N1679" i="2"/>
  <c r="N1695" i="2"/>
  <c r="N1715" i="2"/>
  <c r="N1731" i="2"/>
  <c r="N1751" i="2"/>
  <c r="N1767" i="2"/>
  <c r="N1784" i="2"/>
  <c r="N1798" i="2"/>
  <c r="N1811" i="2"/>
  <c r="N1824" i="2"/>
  <c r="N1837" i="2"/>
  <c r="N1850" i="2"/>
  <c r="N1863" i="2"/>
  <c r="N1876" i="2"/>
  <c r="N1888" i="2"/>
  <c r="N1900" i="2"/>
  <c r="N1912" i="2"/>
  <c r="N1924" i="2"/>
  <c r="N1936" i="2"/>
  <c r="N1948" i="2"/>
  <c r="N1960" i="2"/>
  <c r="N1972" i="2"/>
  <c r="N1984" i="2"/>
  <c r="N1996" i="2"/>
  <c r="N2008" i="2"/>
  <c r="N2020" i="2"/>
  <c r="N2032" i="2"/>
  <c r="N2044" i="2"/>
  <c r="N2056" i="2"/>
  <c r="N2068" i="2"/>
  <c r="N2080" i="2"/>
  <c r="N2092" i="2"/>
  <c r="N2104" i="2"/>
  <c r="N2116" i="2"/>
  <c r="N2128" i="2"/>
  <c r="N2140" i="2"/>
  <c r="N2152" i="2"/>
  <c r="N2164" i="2"/>
  <c r="N2176" i="2"/>
  <c r="N2188" i="2"/>
  <c r="N2200" i="2"/>
  <c r="N2212" i="2"/>
  <c r="N2224" i="2"/>
  <c r="N2236" i="2"/>
  <c r="N2248" i="2"/>
  <c r="N30" i="2"/>
  <c r="N118" i="2"/>
  <c r="N225" i="2"/>
  <c r="N317" i="2"/>
  <c r="N393" i="2"/>
  <c r="N462" i="2"/>
  <c r="N537" i="2"/>
  <c r="N603" i="2"/>
  <c r="N659" i="2"/>
  <c r="N718" i="2"/>
  <c r="N767" i="2"/>
  <c r="N814" i="2"/>
  <c r="N857" i="2"/>
  <c r="N900" i="2"/>
  <c r="N944" i="2"/>
  <c r="N978" i="2"/>
  <c r="N1021" i="2"/>
  <c r="N1063" i="2"/>
  <c r="N1093" i="2"/>
  <c r="N1127" i="2"/>
  <c r="N1164" i="2"/>
  <c r="N1200" i="2"/>
  <c r="N1233" i="2"/>
  <c r="N1270" i="2"/>
  <c r="N1307" i="2"/>
  <c r="N1342" i="2"/>
  <c r="N1375" i="2"/>
  <c r="N1405" i="2"/>
  <c r="N1438" i="2"/>
  <c r="N1456" i="2"/>
  <c r="N1478" i="2"/>
  <c r="N1500" i="2"/>
  <c r="N1516" i="2"/>
  <c r="N1536" i="2"/>
  <c r="N1552" i="2"/>
  <c r="N1572" i="2"/>
  <c r="N1588" i="2"/>
  <c r="N1608" i="2"/>
  <c r="N1624" i="2"/>
  <c r="N1644" i="2"/>
  <c r="N1660" i="2"/>
  <c r="N1680" i="2"/>
  <c r="N1696" i="2"/>
  <c r="N1716" i="2"/>
  <c r="N1732" i="2"/>
  <c r="N1752" i="2"/>
  <c r="N1768" i="2"/>
  <c r="N1786" i="2"/>
  <c r="N1799" i="2"/>
  <c r="N1812" i="2"/>
  <c r="N1825" i="2"/>
  <c r="N1838" i="2"/>
  <c r="N1851" i="2"/>
  <c r="N1864" i="2"/>
  <c r="N1877" i="2"/>
  <c r="N1889" i="2"/>
  <c r="N1901" i="2"/>
  <c r="N1913" i="2"/>
  <c r="N1925" i="2"/>
  <c r="N1937" i="2"/>
  <c r="N1949" i="2"/>
  <c r="N1961" i="2"/>
  <c r="N1973" i="2"/>
  <c r="N1985" i="2"/>
  <c r="N1997" i="2"/>
  <c r="N2009" i="2"/>
  <c r="N2021" i="2"/>
  <c r="N2033" i="2"/>
  <c r="N2045" i="2"/>
  <c r="N2057" i="2"/>
  <c r="N2069" i="2"/>
  <c r="N2081" i="2"/>
  <c r="N2093" i="2"/>
  <c r="N2105" i="2"/>
  <c r="N2117" i="2"/>
  <c r="N2129" i="2"/>
  <c r="N2141" i="2"/>
  <c r="N2153" i="2"/>
  <c r="N2165" i="2"/>
  <c r="N2177" i="2"/>
  <c r="N2189" i="2"/>
  <c r="N2201" i="2"/>
  <c r="N2213" i="2"/>
  <c r="N2225" i="2"/>
  <c r="N2237" i="2"/>
  <c r="N48" i="2"/>
  <c r="N142" i="2"/>
  <c r="N226" i="2"/>
  <c r="N318" i="2"/>
  <c r="N395" i="2"/>
  <c r="N465" i="2"/>
  <c r="N538" i="2"/>
  <c r="N606" i="2"/>
  <c r="N666" i="2"/>
  <c r="N719" i="2"/>
  <c r="N768" i="2"/>
  <c r="N816" i="2"/>
  <c r="N858" i="2"/>
  <c r="N903" i="2"/>
  <c r="N946" i="2"/>
  <c r="N989" i="2"/>
  <c r="N1027" i="2"/>
  <c r="N1064" i="2"/>
  <c r="N1100" i="2"/>
  <c r="N1128" i="2"/>
  <c r="N1165" i="2"/>
  <c r="N1207" i="2"/>
  <c r="N1237" i="2"/>
  <c r="N1271" i="2"/>
  <c r="N1308" i="2"/>
  <c r="N1344" i="2"/>
  <c r="N1376" i="2"/>
  <c r="N1410" i="2"/>
  <c r="N1440" i="2"/>
  <c r="N1460" i="2"/>
  <c r="N1479" i="2"/>
  <c r="N1501" i="2"/>
  <c r="N1520" i="2"/>
  <c r="N1537" i="2"/>
  <c r="N1556" i="2"/>
  <c r="N1573" i="2"/>
  <c r="N1592" i="2"/>
  <c r="N1609" i="2"/>
  <c r="N1628" i="2"/>
  <c r="N1645" i="2"/>
  <c r="N1664" i="2"/>
  <c r="N1681" i="2"/>
  <c r="N1700" i="2"/>
  <c r="N1717" i="2"/>
  <c r="N1736" i="2"/>
  <c r="N1753" i="2"/>
  <c r="N1771" i="2"/>
  <c r="N1787" i="2"/>
  <c r="N1800" i="2"/>
  <c r="N1813" i="2"/>
  <c r="N1826" i="2"/>
  <c r="N1839" i="2"/>
  <c r="N1852" i="2"/>
  <c r="N1865" i="2"/>
  <c r="N1878" i="2"/>
  <c r="N1890" i="2"/>
  <c r="N1902" i="2"/>
  <c r="N1914" i="2"/>
  <c r="N1926" i="2"/>
  <c r="N1938" i="2"/>
  <c r="N1950" i="2"/>
  <c r="N1962" i="2"/>
  <c r="N1974" i="2"/>
  <c r="N1986" i="2"/>
  <c r="N1998" i="2"/>
  <c r="N2010" i="2"/>
  <c r="N2022" i="2"/>
  <c r="N2034" i="2"/>
  <c r="N2046" i="2"/>
  <c r="N2058" i="2"/>
  <c r="N2070" i="2"/>
  <c r="N2082" i="2"/>
  <c r="N2094" i="2"/>
  <c r="N2106" i="2"/>
  <c r="N2118" i="2"/>
  <c r="N2130" i="2"/>
  <c r="N2142" i="2"/>
  <c r="N2154" i="2"/>
  <c r="N2166" i="2"/>
  <c r="N2178" i="2"/>
  <c r="N2190" i="2"/>
  <c r="N2202" i="2"/>
  <c r="N2214" i="2"/>
  <c r="N2226" i="2"/>
  <c r="N2238" i="2"/>
  <c r="N2250" i="2"/>
  <c r="N53" i="2"/>
  <c r="N144" i="2"/>
  <c r="N227" i="2"/>
  <c r="N321" i="2"/>
  <c r="N413" i="2"/>
  <c r="N480" i="2"/>
  <c r="N539" i="2"/>
  <c r="N617" i="2"/>
  <c r="N678" i="2"/>
  <c r="N720" i="2"/>
  <c r="N771" i="2"/>
  <c r="N821" i="2"/>
  <c r="N862" i="2"/>
  <c r="N904" i="2"/>
  <c r="N947" i="2"/>
  <c r="N991" i="2"/>
  <c r="N1028" i="2"/>
  <c r="N1065" i="2"/>
  <c r="N1102" i="2"/>
  <c r="N1137" i="2"/>
  <c r="N1171" i="2"/>
  <c r="N1208" i="2"/>
  <c r="N1244" i="2"/>
  <c r="N1272" i="2"/>
  <c r="N1309" i="2"/>
  <c r="N1351" i="2"/>
  <c r="N1380" i="2"/>
  <c r="N1411" i="2"/>
  <c r="N1441" i="2"/>
  <c r="N1462" i="2"/>
  <c r="N1480" i="2"/>
  <c r="N1502" i="2"/>
  <c r="N1522" i="2"/>
  <c r="N1538" i="2"/>
  <c r="N1558" i="2"/>
  <c r="N1574" i="2"/>
  <c r="N1594" i="2"/>
  <c r="N1610" i="2"/>
  <c r="N1630" i="2"/>
  <c r="N1646" i="2"/>
  <c r="N1666" i="2"/>
  <c r="N1682" i="2"/>
  <c r="N1702" i="2"/>
  <c r="N1718" i="2"/>
  <c r="N1738" i="2"/>
  <c r="N1754" i="2"/>
  <c r="N1772" i="2"/>
  <c r="N1788" i="2"/>
  <c r="N1801" i="2"/>
  <c r="N1814" i="2"/>
  <c r="N1827" i="2"/>
  <c r="N1840" i="2"/>
  <c r="N1853" i="2"/>
  <c r="N1866" i="2"/>
  <c r="N1879" i="2"/>
  <c r="N1891" i="2"/>
  <c r="N1903" i="2"/>
  <c r="N1915" i="2"/>
  <c r="N1927" i="2"/>
  <c r="N1939" i="2"/>
  <c r="N1951" i="2"/>
  <c r="N1963" i="2"/>
  <c r="N1975" i="2"/>
  <c r="N1987" i="2"/>
  <c r="N1999" i="2"/>
  <c r="N2011" i="2"/>
  <c r="N2023" i="2"/>
  <c r="N2035" i="2"/>
  <c r="N2047" i="2"/>
  <c r="N2059" i="2"/>
  <c r="N2071" i="2"/>
  <c r="N2083" i="2"/>
  <c r="N2095" i="2"/>
  <c r="N2107" i="2"/>
  <c r="N2119" i="2"/>
  <c r="N2131" i="2"/>
  <c r="N2143" i="2"/>
  <c r="N2155" i="2"/>
  <c r="N2167" i="2"/>
  <c r="N2179" i="2"/>
  <c r="N2191" i="2"/>
  <c r="N2203" i="2"/>
  <c r="N2215" i="2"/>
  <c r="N2227" i="2"/>
  <c r="N2239" i="2"/>
  <c r="N54" i="2"/>
  <c r="N166" i="2"/>
  <c r="N249" i="2"/>
  <c r="N322" i="2"/>
  <c r="N414" i="2"/>
  <c r="N486" i="2"/>
  <c r="N551" i="2"/>
  <c r="N618" i="2"/>
  <c r="N682" i="2"/>
  <c r="N732" i="2"/>
  <c r="N773" i="2"/>
  <c r="N827" i="2"/>
  <c r="N871" i="2"/>
  <c r="N905" i="2"/>
  <c r="N948" i="2"/>
  <c r="N993" i="2"/>
  <c r="N1032" i="2"/>
  <c r="N1066" i="2"/>
  <c r="N1103" i="2"/>
  <c r="N1139" i="2"/>
  <c r="N1172" i="2"/>
  <c r="N1209" i="2"/>
  <c r="N1246" i="2"/>
  <c r="N1281" i="2"/>
  <c r="N1315" i="2"/>
  <c r="N1352" i="2"/>
  <c r="N1386" i="2"/>
  <c r="N1412" i="2"/>
  <c r="N1442" i="2"/>
  <c r="N1464" i="2"/>
  <c r="N1484" i="2"/>
  <c r="N1503" i="2"/>
  <c r="N1523" i="2"/>
  <c r="N1539" i="2"/>
  <c r="N1559" i="2"/>
  <c r="N1575" i="2"/>
  <c r="N1595" i="2"/>
  <c r="N1611" i="2"/>
  <c r="N1631" i="2"/>
  <c r="N1647" i="2"/>
  <c r="N1667" i="2"/>
  <c r="N1683" i="2"/>
  <c r="N1703" i="2"/>
  <c r="N1719" i="2"/>
  <c r="N1739" i="2"/>
  <c r="N1755" i="2"/>
  <c r="N1774" i="2"/>
  <c r="N1789" i="2"/>
  <c r="N1802" i="2"/>
  <c r="N1815" i="2"/>
  <c r="N1828" i="2"/>
  <c r="N1841" i="2"/>
  <c r="N1854" i="2"/>
  <c r="N1867" i="2"/>
  <c r="N1880" i="2"/>
  <c r="N1892" i="2"/>
  <c r="N1904" i="2"/>
  <c r="N1916" i="2"/>
  <c r="N1928" i="2"/>
  <c r="N1940" i="2"/>
  <c r="N1952" i="2"/>
  <c r="N1964" i="2"/>
  <c r="N1976" i="2"/>
  <c r="N1988" i="2"/>
  <c r="N2000" i="2"/>
  <c r="N2012" i="2"/>
  <c r="N2024" i="2"/>
  <c r="N2036" i="2"/>
  <c r="N2048" i="2"/>
  <c r="N2060" i="2"/>
  <c r="N2072" i="2"/>
  <c r="N2084" i="2"/>
  <c r="N2096" i="2"/>
  <c r="N2108" i="2"/>
  <c r="N2120" i="2"/>
  <c r="N2132" i="2"/>
  <c r="N2144" i="2"/>
  <c r="N2156" i="2"/>
  <c r="N2168" i="2"/>
  <c r="N2180" i="2"/>
  <c r="N59" i="2"/>
  <c r="N168" i="2"/>
  <c r="N269" i="2"/>
  <c r="N345" i="2"/>
  <c r="N418" i="2"/>
  <c r="N491" i="2"/>
  <c r="N563" i="2"/>
  <c r="N622" i="2"/>
  <c r="N684" i="2"/>
  <c r="N739" i="2"/>
  <c r="N786" i="2"/>
  <c r="N831" i="2"/>
  <c r="N874" i="2"/>
  <c r="N918" i="2"/>
  <c r="N957" i="2"/>
  <c r="N1002" i="2"/>
  <c r="N1041" i="2"/>
  <c r="N1076" i="2"/>
  <c r="N1105" i="2"/>
  <c r="N1147" i="2"/>
  <c r="N1183" i="2"/>
  <c r="N1211" i="2"/>
  <c r="N1248" i="2"/>
  <c r="N1285" i="2"/>
  <c r="N1320" i="2"/>
  <c r="N1354" i="2"/>
  <c r="N1389" i="2"/>
  <c r="N1422" i="2"/>
  <c r="N1444" i="2"/>
  <c r="N1466" i="2"/>
  <c r="N1488" i="2"/>
  <c r="N1508" i="2"/>
  <c r="N1525" i="2"/>
  <c r="N1544" i="2"/>
  <c r="N1561" i="2"/>
  <c r="N1580" i="2"/>
  <c r="N1597" i="2"/>
  <c r="N1616" i="2"/>
  <c r="N1633" i="2"/>
  <c r="N1652" i="2"/>
  <c r="N1669" i="2"/>
  <c r="N1688" i="2"/>
  <c r="N1705" i="2"/>
  <c r="N1724" i="2"/>
  <c r="N1741" i="2"/>
  <c r="N1760" i="2"/>
  <c r="N1776" i="2"/>
  <c r="N1791" i="2"/>
  <c r="N1804" i="2"/>
  <c r="N1817" i="2"/>
  <c r="N58" i="2"/>
  <c r="N251" i="2"/>
  <c r="N417" i="2"/>
  <c r="N561" i="2"/>
  <c r="N683" i="2"/>
  <c r="N779" i="2"/>
  <c r="N873" i="2"/>
  <c r="N951" i="2"/>
  <c r="N1039" i="2"/>
  <c r="N1104" i="2"/>
  <c r="N1176" i="2"/>
  <c r="N1247" i="2"/>
  <c r="N1316" i="2"/>
  <c r="N1388" i="2"/>
  <c r="N1443" i="2"/>
  <c r="N1486" i="2"/>
  <c r="N1524" i="2"/>
  <c r="N1560" i="2"/>
  <c r="N1596" i="2"/>
  <c r="N1632" i="2"/>
  <c r="N1668" i="2"/>
  <c r="N1704" i="2"/>
  <c r="N1740" i="2"/>
  <c r="N1775" i="2"/>
  <c r="N1803" i="2"/>
  <c r="N1829" i="2"/>
  <c r="N1848" i="2"/>
  <c r="N1872" i="2"/>
  <c r="N1894" i="2"/>
  <c r="N1911" i="2"/>
  <c r="N1933" i="2"/>
  <c r="N1955" i="2"/>
  <c r="N1977" i="2"/>
  <c r="N1994" i="2"/>
  <c r="N2016" i="2"/>
  <c r="N2038" i="2"/>
  <c r="N2055" i="2"/>
  <c r="N2077" i="2"/>
  <c r="N2099" i="2"/>
  <c r="N2121" i="2"/>
  <c r="N2138" i="2"/>
  <c r="N2160" i="2"/>
  <c r="N2182" i="2"/>
  <c r="N2198" i="2"/>
  <c r="N2218" i="2"/>
  <c r="N2234" i="2"/>
  <c r="N2252" i="2"/>
  <c r="N2264" i="2"/>
  <c r="N2276" i="2"/>
  <c r="N2288" i="2"/>
  <c r="N2300" i="2"/>
  <c r="N2312" i="2"/>
  <c r="N2324" i="2"/>
  <c r="N2336" i="2"/>
  <c r="N2348" i="2"/>
  <c r="N2360" i="2"/>
  <c r="N2372" i="2"/>
  <c r="N2384" i="2"/>
  <c r="N2396" i="2"/>
  <c r="N2408" i="2"/>
  <c r="N2420" i="2"/>
  <c r="N2432" i="2"/>
  <c r="N2444" i="2"/>
  <c r="N2456" i="2"/>
  <c r="N2468" i="2"/>
  <c r="N2480" i="2"/>
  <c r="N2492" i="2"/>
  <c r="N2504" i="2"/>
  <c r="N2516" i="2"/>
  <c r="N2528" i="2"/>
  <c r="N2540" i="2"/>
  <c r="N2552" i="2"/>
  <c r="N2564" i="2"/>
  <c r="N2576" i="2"/>
  <c r="N2588" i="2"/>
  <c r="N2600" i="2"/>
  <c r="N2612" i="2"/>
  <c r="N2624" i="2"/>
  <c r="N2636" i="2"/>
  <c r="N2648" i="2"/>
  <c r="N2660" i="2"/>
  <c r="N2672" i="2"/>
  <c r="N2684" i="2"/>
  <c r="N2696" i="2"/>
  <c r="N2708" i="2"/>
  <c r="N2720" i="2"/>
  <c r="N2732" i="2"/>
  <c r="N2744" i="2"/>
  <c r="N2756" i="2"/>
  <c r="N2768" i="2"/>
  <c r="N2780" i="2"/>
  <c r="N2792" i="2"/>
  <c r="N2804" i="2"/>
  <c r="N2816" i="2"/>
  <c r="N2828" i="2"/>
  <c r="N2840" i="2"/>
  <c r="N2852" i="2"/>
  <c r="N2864" i="2"/>
  <c r="N2876" i="2"/>
  <c r="N2888" i="2"/>
  <c r="N2900" i="2"/>
  <c r="N2912" i="2"/>
  <c r="N2924" i="2"/>
  <c r="N2936" i="2"/>
  <c r="N2948" i="2"/>
  <c r="N2960" i="2"/>
  <c r="N2972" i="2"/>
  <c r="N2984" i="2"/>
  <c r="N2996" i="2"/>
  <c r="N3008" i="2"/>
  <c r="N3020" i="2"/>
  <c r="N3032" i="2"/>
  <c r="N83" i="2"/>
  <c r="N270" i="2"/>
  <c r="N419" i="2"/>
  <c r="N576" i="2"/>
  <c r="N687" i="2"/>
  <c r="N788" i="2"/>
  <c r="N875" i="2"/>
  <c r="N963" i="2"/>
  <c r="N1042" i="2"/>
  <c r="N1111" i="2"/>
  <c r="N1185" i="2"/>
  <c r="N1249" i="2"/>
  <c r="N1327" i="2"/>
  <c r="N1390" i="2"/>
  <c r="N1448" i="2"/>
  <c r="N1489" i="2"/>
  <c r="N1526" i="2"/>
  <c r="N1562" i="2"/>
  <c r="N1598" i="2"/>
  <c r="N1634" i="2"/>
  <c r="N1670" i="2"/>
  <c r="N1706" i="2"/>
  <c r="N1742" i="2"/>
  <c r="N1777" i="2"/>
  <c r="N1805" i="2"/>
  <c r="N1830" i="2"/>
  <c r="N1849" i="2"/>
  <c r="N1873" i="2"/>
  <c r="N1895" i="2"/>
  <c r="N1917" i="2"/>
  <c r="N1934" i="2"/>
  <c r="N1956" i="2"/>
  <c r="N1978" i="2"/>
  <c r="N1995" i="2"/>
  <c r="N2017" i="2"/>
  <c r="N2039" i="2"/>
  <c r="N2061" i="2"/>
  <c r="N2078" i="2"/>
  <c r="N2100" i="2"/>
  <c r="N2122" i="2"/>
  <c r="N2139" i="2"/>
  <c r="N2161" i="2"/>
  <c r="N2183" i="2"/>
  <c r="N2199" i="2"/>
  <c r="N2219" i="2"/>
  <c r="N2235" i="2"/>
  <c r="N2253" i="2"/>
  <c r="N2265" i="2"/>
  <c r="N2277" i="2"/>
  <c r="N2289" i="2"/>
  <c r="N2301" i="2"/>
  <c r="N2313" i="2"/>
  <c r="N2325" i="2"/>
  <c r="N2337" i="2"/>
  <c r="N2349" i="2"/>
  <c r="N2361" i="2"/>
  <c r="N2373" i="2"/>
  <c r="N2385" i="2"/>
  <c r="N2397" i="2"/>
  <c r="N2409" i="2"/>
  <c r="N2421" i="2"/>
  <c r="N2433" i="2"/>
  <c r="N2445" i="2"/>
  <c r="N2457" i="2"/>
  <c r="N2469" i="2"/>
  <c r="N2481" i="2"/>
  <c r="N2493" i="2"/>
  <c r="N2505" i="2"/>
  <c r="N2517" i="2"/>
  <c r="N2529" i="2"/>
  <c r="N2541" i="2"/>
  <c r="N2553" i="2"/>
  <c r="N2565" i="2"/>
  <c r="N2577" i="2"/>
  <c r="N2589" i="2"/>
  <c r="N2601" i="2"/>
  <c r="N2613" i="2"/>
  <c r="N2625" i="2"/>
  <c r="N2637" i="2"/>
  <c r="N2649" i="2"/>
  <c r="N2661" i="2"/>
  <c r="N2673" i="2"/>
  <c r="N2685" i="2"/>
  <c r="N2697" i="2"/>
  <c r="N2709" i="2"/>
  <c r="N2721" i="2"/>
  <c r="N2733" i="2"/>
  <c r="N2745" i="2"/>
  <c r="N2757" i="2"/>
  <c r="N2769" i="2"/>
  <c r="N2781" i="2"/>
  <c r="N2793" i="2"/>
  <c r="N2805" i="2"/>
  <c r="N2817" i="2"/>
  <c r="N2829" i="2"/>
  <c r="N2841" i="2"/>
  <c r="N2853" i="2"/>
  <c r="N2865" i="2"/>
  <c r="N2877" i="2"/>
  <c r="N2889" i="2"/>
  <c r="N2901" i="2"/>
  <c r="N2913" i="2"/>
  <c r="N2925" i="2"/>
  <c r="N2937" i="2"/>
  <c r="N2949" i="2"/>
  <c r="N2961" i="2"/>
  <c r="N2973" i="2"/>
  <c r="N2985" i="2"/>
  <c r="N2997" i="2"/>
  <c r="N3009" i="2"/>
  <c r="N3021" i="2"/>
  <c r="N3033" i="2"/>
  <c r="N89" i="2"/>
  <c r="N273" i="2"/>
  <c r="N438" i="2"/>
  <c r="N579" i="2"/>
  <c r="N689" i="2"/>
  <c r="N798" i="2"/>
  <c r="N876" i="2"/>
  <c r="N965" i="2"/>
  <c r="N1043" i="2"/>
  <c r="N1115" i="2"/>
  <c r="N1186" i="2"/>
  <c r="N1255" i="2"/>
  <c r="N1329" i="2"/>
  <c r="N1391" i="2"/>
  <c r="N1450" i="2"/>
  <c r="N1490" i="2"/>
  <c r="N1527" i="2"/>
  <c r="N1563" i="2"/>
  <c r="N1599" i="2"/>
  <c r="N1635" i="2"/>
  <c r="N1671" i="2"/>
  <c r="N1707" i="2"/>
  <c r="N1743" i="2"/>
  <c r="N1778" i="2"/>
  <c r="N1806" i="2"/>
  <c r="N1831" i="2"/>
  <c r="N1855" i="2"/>
  <c r="N1874" i="2"/>
  <c r="N1896" i="2"/>
  <c r="N1918" i="2"/>
  <c r="N1935" i="2"/>
  <c r="N1957" i="2"/>
  <c r="N1979" i="2"/>
  <c r="N2001" i="2"/>
  <c r="N2018" i="2"/>
  <c r="N2040" i="2"/>
  <c r="N2062" i="2"/>
  <c r="N2079" i="2"/>
  <c r="N2101" i="2"/>
  <c r="N2123" i="2"/>
  <c r="N2145" i="2"/>
  <c r="N2162" i="2"/>
  <c r="N2184" i="2"/>
  <c r="N2204" i="2"/>
  <c r="N2220" i="2"/>
  <c r="N2240" i="2"/>
  <c r="N2254" i="2"/>
  <c r="N2266" i="2"/>
  <c r="N2278" i="2"/>
  <c r="N2290" i="2"/>
  <c r="N2302" i="2"/>
  <c r="N2314" i="2"/>
  <c r="N2326" i="2"/>
  <c r="N2338" i="2"/>
  <c r="N2350" i="2"/>
  <c r="N2362" i="2"/>
  <c r="N2374" i="2"/>
  <c r="N2386" i="2"/>
  <c r="N2398" i="2"/>
  <c r="N2410" i="2"/>
  <c r="N2422" i="2"/>
  <c r="N2434" i="2"/>
  <c r="N2446" i="2"/>
  <c r="N2458" i="2"/>
  <c r="N2470" i="2"/>
  <c r="N2482" i="2"/>
  <c r="N2494" i="2"/>
  <c r="N2506" i="2"/>
  <c r="N2518" i="2"/>
  <c r="N2530" i="2"/>
  <c r="N2542" i="2"/>
  <c r="N2554" i="2"/>
  <c r="N2566" i="2"/>
  <c r="N2578" i="2"/>
  <c r="N2590" i="2"/>
  <c r="N2602" i="2"/>
  <c r="N2614" i="2"/>
  <c r="N2626" i="2"/>
  <c r="N2638" i="2"/>
  <c r="N2650" i="2"/>
  <c r="N2662" i="2"/>
  <c r="N2674" i="2"/>
  <c r="N2686" i="2"/>
  <c r="N2698" i="2"/>
  <c r="N2710" i="2"/>
  <c r="N2722" i="2"/>
  <c r="N2734" i="2"/>
  <c r="N2746" i="2"/>
  <c r="N2758" i="2"/>
  <c r="N2770" i="2"/>
  <c r="N2782" i="2"/>
  <c r="N2794" i="2"/>
  <c r="N2806" i="2"/>
  <c r="N2818" i="2"/>
  <c r="N2830" i="2"/>
  <c r="N2842" i="2"/>
  <c r="N2854" i="2"/>
  <c r="N2866" i="2"/>
  <c r="N2878" i="2"/>
  <c r="N2890" i="2"/>
  <c r="N2902" i="2"/>
  <c r="N2914" i="2"/>
  <c r="N2926" i="2"/>
  <c r="N2938" i="2"/>
  <c r="N2950" i="2"/>
  <c r="N2962" i="2"/>
  <c r="N2974" i="2"/>
  <c r="N2986" i="2"/>
  <c r="N2998" i="2"/>
  <c r="N3010" i="2"/>
  <c r="N3022" i="2"/>
  <c r="N3034" i="2"/>
  <c r="N107" i="2"/>
  <c r="N274" i="2"/>
  <c r="N442" i="2"/>
  <c r="N581" i="2"/>
  <c r="N704" i="2"/>
  <c r="N799" i="2"/>
  <c r="N879" i="2"/>
  <c r="N972" i="2"/>
  <c r="N1044" i="2"/>
  <c r="N1117" i="2"/>
  <c r="N1187" i="2"/>
  <c r="N1259" i="2"/>
  <c r="N1330" i="2"/>
  <c r="N1392" i="2"/>
  <c r="N1452" i="2"/>
  <c r="N1491" i="2"/>
  <c r="N1528" i="2"/>
  <c r="N1564" i="2"/>
  <c r="N1600" i="2"/>
  <c r="N1636" i="2"/>
  <c r="N1672" i="2"/>
  <c r="N1708" i="2"/>
  <c r="N1744" i="2"/>
  <c r="N1779" i="2"/>
  <c r="N1807" i="2"/>
  <c r="N1832" i="2"/>
  <c r="N1856" i="2"/>
  <c r="N1875" i="2"/>
  <c r="N1897" i="2"/>
  <c r="N1919" i="2"/>
  <c r="N108" i="2"/>
  <c r="N275" i="2"/>
  <c r="N455" i="2"/>
  <c r="N582" i="2"/>
  <c r="N706" i="2"/>
  <c r="N800" i="2"/>
  <c r="N888" i="2"/>
  <c r="N975" i="2"/>
  <c r="N1045" i="2"/>
  <c r="N1124" i="2"/>
  <c r="N1188" i="2"/>
  <c r="N1261" i="2"/>
  <c r="N1331" i="2"/>
  <c r="N1400" i="2"/>
  <c r="N1453" i="2"/>
  <c r="N1492" i="2"/>
  <c r="N1532" i="2"/>
  <c r="N1568" i="2"/>
  <c r="N1604" i="2"/>
  <c r="N1640" i="2"/>
  <c r="N1676" i="2"/>
  <c r="N1712" i="2"/>
  <c r="N1748" i="2"/>
  <c r="N1780" i="2"/>
  <c r="N1808" i="2"/>
  <c r="N1834" i="2"/>
  <c r="N1858" i="2"/>
  <c r="N1881" i="2"/>
  <c r="N1898" i="2"/>
  <c r="N1920" i="2"/>
  <c r="N1942" i="2"/>
  <c r="N1959" i="2"/>
  <c r="N1981" i="2"/>
  <c r="N2003" i="2"/>
  <c r="N2025" i="2"/>
  <c r="N2042" i="2"/>
  <c r="N2064" i="2"/>
  <c r="N2086" i="2"/>
  <c r="N2103" i="2"/>
  <c r="N2125" i="2"/>
  <c r="N2147" i="2"/>
  <c r="N2169" i="2"/>
  <c r="N2186" i="2"/>
  <c r="N2206" i="2"/>
  <c r="N2222" i="2"/>
  <c r="N2242" i="2"/>
  <c r="N2256" i="2"/>
  <c r="N2268" i="2"/>
  <c r="N2280" i="2"/>
  <c r="N2292" i="2"/>
  <c r="N2304" i="2"/>
  <c r="N2316" i="2"/>
  <c r="N2328" i="2"/>
  <c r="N2340" i="2"/>
  <c r="N2352" i="2"/>
  <c r="N2364" i="2"/>
  <c r="N2376" i="2"/>
  <c r="N2388" i="2"/>
  <c r="N2400" i="2"/>
  <c r="N2412" i="2"/>
  <c r="N2424" i="2"/>
  <c r="N2436" i="2"/>
  <c r="N2448" i="2"/>
  <c r="N2460" i="2"/>
  <c r="N2472" i="2"/>
  <c r="N2484" i="2"/>
  <c r="N2496" i="2"/>
  <c r="N2508" i="2"/>
  <c r="N2520" i="2"/>
  <c r="N2532" i="2"/>
  <c r="N2544" i="2"/>
  <c r="N2556" i="2"/>
  <c r="N2568" i="2"/>
  <c r="N2580" i="2"/>
  <c r="N2592" i="2"/>
  <c r="N2604" i="2"/>
  <c r="N2616" i="2"/>
  <c r="N2628" i="2"/>
  <c r="N2640" i="2"/>
  <c r="N2652" i="2"/>
  <c r="N2664" i="2"/>
  <c r="N2676" i="2"/>
  <c r="N2688" i="2"/>
  <c r="N2700" i="2"/>
  <c r="N2712" i="2"/>
  <c r="N2724" i="2"/>
  <c r="N2736" i="2"/>
  <c r="N2748" i="2"/>
  <c r="N2760" i="2"/>
  <c r="N2772" i="2"/>
  <c r="N2784" i="2"/>
  <c r="N2796" i="2"/>
  <c r="N2808" i="2"/>
  <c r="N2820" i="2"/>
  <c r="N2832" i="2"/>
  <c r="N2844" i="2"/>
  <c r="N2856" i="2"/>
  <c r="N2868" i="2"/>
  <c r="N2880" i="2"/>
  <c r="N2892" i="2"/>
  <c r="N2904" i="2"/>
  <c r="N2916" i="2"/>
  <c r="N2928" i="2"/>
  <c r="N2940" i="2"/>
  <c r="N2952" i="2"/>
  <c r="N2964" i="2"/>
  <c r="N2976" i="2"/>
  <c r="N2988" i="2"/>
  <c r="N3000" i="2"/>
  <c r="N3012" i="2"/>
  <c r="N3024" i="2"/>
  <c r="N3036" i="2"/>
  <c r="N3048" i="2"/>
  <c r="N3060" i="2"/>
  <c r="N3072" i="2"/>
  <c r="N3084" i="2"/>
  <c r="N167" i="2"/>
  <c r="N323" i="2"/>
  <c r="N490" i="2"/>
  <c r="N621" i="2"/>
  <c r="N737" i="2"/>
  <c r="N828" i="2"/>
  <c r="N916" i="2"/>
  <c r="N1001" i="2"/>
  <c r="N1067" i="2"/>
  <c r="N1141" i="2"/>
  <c r="N1210" i="2"/>
  <c r="N1283" i="2"/>
  <c r="N1353" i="2"/>
  <c r="N1416" i="2"/>
  <c r="N1465" i="2"/>
  <c r="N1504" i="2"/>
  <c r="N1540" i="2"/>
  <c r="N1576" i="2"/>
  <c r="N1612" i="2"/>
  <c r="N1648" i="2"/>
  <c r="N1684" i="2"/>
  <c r="N1720" i="2"/>
  <c r="N1756" i="2"/>
  <c r="N1790" i="2"/>
  <c r="N1816" i="2"/>
  <c r="N1836" i="2"/>
  <c r="N1860" i="2"/>
  <c r="N1883" i="2"/>
  <c r="N1905" i="2"/>
  <c r="N1922" i="2"/>
  <c r="N1944" i="2"/>
  <c r="N1966" i="2"/>
  <c r="N1983" i="2"/>
  <c r="N2005" i="2"/>
  <c r="N2027" i="2"/>
  <c r="N2049" i="2"/>
  <c r="N2066" i="2"/>
  <c r="N2088" i="2"/>
  <c r="N2110" i="2"/>
  <c r="N2127" i="2"/>
  <c r="N2149" i="2"/>
  <c r="N2171" i="2"/>
  <c r="N2192" i="2"/>
  <c r="N2208" i="2"/>
  <c r="N2228" i="2"/>
  <c r="N2244" i="2"/>
  <c r="N2258" i="2"/>
  <c r="N2270" i="2"/>
  <c r="N2282" i="2"/>
  <c r="N2294" i="2"/>
  <c r="N2306" i="2"/>
  <c r="N2318" i="2"/>
  <c r="N2330" i="2"/>
  <c r="N2342" i="2"/>
  <c r="N2354" i="2"/>
  <c r="N2366" i="2"/>
  <c r="N2378" i="2"/>
  <c r="N2390" i="2"/>
  <c r="N2402" i="2"/>
  <c r="N2414" i="2"/>
  <c r="N2426" i="2"/>
  <c r="N2438" i="2"/>
  <c r="N2450" i="2"/>
  <c r="N2462" i="2"/>
  <c r="N2474" i="2"/>
  <c r="N2486" i="2"/>
  <c r="N2498" i="2"/>
  <c r="N2510" i="2"/>
  <c r="N2522" i="2"/>
  <c r="N2534" i="2"/>
  <c r="N2546" i="2"/>
  <c r="N2558" i="2"/>
  <c r="N2570" i="2"/>
  <c r="N2582" i="2"/>
  <c r="N2594" i="2"/>
  <c r="N2606" i="2"/>
  <c r="N2618" i="2"/>
  <c r="N2630" i="2"/>
  <c r="N2642" i="2"/>
  <c r="N2654" i="2"/>
  <c r="N2666" i="2"/>
  <c r="N2678" i="2"/>
  <c r="N2690" i="2"/>
  <c r="N2702" i="2"/>
  <c r="N2714" i="2"/>
  <c r="N173" i="2"/>
  <c r="N347" i="2"/>
  <c r="N503" i="2"/>
  <c r="N636" i="2"/>
  <c r="N740" i="2"/>
  <c r="N832" i="2"/>
  <c r="N920" i="2"/>
  <c r="N1003" i="2"/>
  <c r="N1078" i="2"/>
  <c r="N1148" i="2"/>
  <c r="N1220" i="2"/>
  <c r="N1291" i="2"/>
  <c r="N1355" i="2"/>
  <c r="N113" i="2"/>
  <c r="N509" i="2"/>
  <c r="N755" i="2"/>
  <c r="N1004" i="2"/>
  <c r="N1159" i="2"/>
  <c r="N1332" i="2"/>
  <c r="N1467" i="2"/>
  <c r="N1546" i="2"/>
  <c r="N1618" i="2"/>
  <c r="N1690" i="2"/>
  <c r="N1762" i="2"/>
  <c r="N1818" i="2"/>
  <c r="N1861" i="2"/>
  <c r="N1906" i="2"/>
  <c r="N1943" i="2"/>
  <c r="N1971" i="2"/>
  <c r="N2013" i="2"/>
  <c r="N2050" i="2"/>
  <c r="N2085" i="2"/>
  <c r="N2114" i="2"/>
  <c r="N2151" i="2"/>
  <c r="N2187" i="2"/>
  <c r="N2217" i="2"/>
  <c r="N2247" i="2"/>
  <c r="N2271" i="2"/>
  <c r="N2291" i="2"/>
  <c r="N2310" i="2"/>
  <c r="N2332" i="2"/>
  <c r="N2353" i="2"/>
  <c r="N2371" i="2"/>
  <c r="N2393" i="2"/>
  <c r="N2415" i="2"/>
  <c r="N2435" i="2"/>
  <c r="N2454" i="2"/>
  <c r="N2476" i="2"/>
  <c r="N2497" i="2"/>
  <c r="N2515" i="2"/>
  <c r="N2537" i="2"/>
  <c r="N2559" i="2"/>
  <c r="N2579" i="2"/>
  <c r="N2598" i="2"/>
  <c r="N2620" i="2"/>
  <c r="N2641" i="2"/>
  <c r="N2659" i="2"/>
  <c r="N2681" i="2"/>
  <c r="N2703" i="2"/>
  <c r="N2723" i="2"/>
  <c r="N2740" i="2"/>
  <c r="N2759" i="2"/>
  <c r="N2776" i="2"/>
  <c r="N2795" i="2"/>
  <c r="N2812" i="2"/>
  <c r="N2831" i="2"/>
  <c r="N2848" i="2"/>
  <c r="N2867" i="2"/>
  <c r="N2884" i="2"/>
  <c r="N2903" i="2"/>
  <c r="N2920" i="2"/>
  <c r="N2939" i="2"/>
  <c r="N2956" i="2"/>
  <c r="N2975" i="2"/>
  <c r="N2992" i="2"/>
  <c r="N3011" i="2"/>
  <c r="N3028" i="2"/>
  <c r="N3044" i="2"/>
  <c r="N3057" i="2"/>
  <c r="N3070" i="2"/>
  <c r="N3083" i="2"/>
  <c r="N3096" i="2"/>
  <c r="N3108" i="2"/>
  <c r="N3120" i="2"/>
  <c r="N3132" i="2"/>
  <c r="N3144" i="2"/>
  <c r="N3156" i="2"/>
  <c r="N3168" i="2"/>
  <c r="N3180" i="2"/>
  <c r="N3192" i="2"/>
  <c r="N3204" i="2"/>
  <c r="N3216" i="2"/>
  <c r="N174" i="2"/>
  <c r="N515" i="2"/>
  <c r="N801" i="2"/>
  <c r="N1015" i="2"/>
  <c r="N1161" i="2"/>
  <c r="N1364" i="2"/>
  <c r="N1468" i="2"/>
  <c r="N1547" i="2"/>
  <c r="N1619" i="2"/>
  <c r="N1691" i="2"/>
  <c r="N1763" i="2"/>
  <c r="N1819" i="2"/>
  <c r="N1862" i="2"/>
  <c r="N1907" i="2"/>
  <c r="N1945" i="2"/>
  <c r="N1980" i="2"/>
  <c r="N2014" i="2"/>
  <c r="N2051" i="2"/>
  <c r="N2087" i="2"/>
  <c r="N2115" i="2"/>
  <c r="N2157" i="2"/>
  <c r="N2193" i="2"/>
  <c r="N2221" i="2"/>
  <c r="N2249" i="2"/>
  <c r="N2272" i="2"/>
  <c r="N2293" i="2"/>
  <c r="N2311" i="2"/>
  <c r="N2333" i="2"/>
  <c r="N2355" i="2"/>
  <c r="N2375" i="2"/>
  <c r="N2394" i="2"/>
  <c r="N2416" i="2"/>
  <c r="N2437" i="2"/>
  <c r="N2455" i="2"/>
  <c r="N2477" i="2"/>
  <c r="N2499" i="2"/>
  <c r="N2519" i="2"/>
  <c r="N2538" i="2"/>
  <c r="N2560" i="2"/>
  <c r="N2581" i="2"/>
  <c r="N2599" i="2"/>
  <c r="N2621" i="2"/>
  <c r="N2643" i="2"/>
  <c r="N2663" i="2"/>
  <c r="N2682" i="2"/>
  <c r="N2704" i="2"/>
  <c r="N2725" i="2"/>
  <c r="N2741" i="2"/>
  <c r="N2761" i="2"/>
  <c r="N2777" i="2"/>
  <c r="N2797" i="2"/>
  <c r="N2813" i="2"/>
  <c r="N2833" i="2"/>
  <c r="N2849" i="2"/>
  <c r="N2869" i="2"/>
  <c r="N2885" i="2"/>
  <c r="N2905" i="2"/>
  <c r="N2921" i="2"/>
  <c r="N2941" i="2"/>
  <c r="N2957" i="2"/>
  <c r="N2977" i="2"/>
  <c r="N2993" i="2"/>
  <c r="N3013" i="2"/>
  <c r="N3029" i="2"/>
  <c r="N3045" i="2"/>
  <c r="N3058" i="2"/>
  <c r="N3071" i="2"/>
  <c r="N3085" i="2"/>
  <c r="N3097" i="2"/>
  <c r="N3109" i="2"/>
  <c r="N3121" i="2"/>
  <c r="N3133" i="2"/>
  <c r="N3145" i="2"/>
  <c r="N3157" i="2"/>
  <c r="N3169" i="2"/>
  <c r="N3181" i="2"/>
  <c r="N3193" i="2"/>
  <c r="N3205" i="2"/>
  <c r="N3217" i="2"/>
  <c r="N198" i="2"/>
  <c r="N528" i="2"/>
  <c r="N843" i="2"/>
  <c r="N1017" i="2"/>
  <c r="N1189" i="2"/>
  <c r="N1366" i="2"/>
  <c r="N1472" i="2"/>
  <c r="N1548" i="2"/>
  <c r="N1620" i="2"/>
  <c r="N1692" i="2"/>
  <c r="N1764" i="2"/>
  <c r="N1820" i="2"/>
  <c r="N1868" i="2"/>
  <c r="N1908" i="2"/>
  <c r="N1946" i="2"/>
  <c r="N1982" i="2"/>
  <c r="N2015" i="2"/>
  <c r="N2052" i="2"/>
  <c r="N2089" i="2"/>
  <c r="N2124" i="2"/>
  <c r="N2158" i="2"/>
  <c r="N2194" i="2"/>
  <c r="N2223" i="2"/>
  <c r="N2251" i="2"/>
  <c r="N2273" i="2"/>
  <c r="N2295" i="2"/>
  <c r="N2315" i="2"/>
  <c r="N2334" i="2"/>
  <c r="N2356" i="2"/>
  <c r="N2377" i="2"/>
  <c r="N2395" i="2"/>
  <c r="N2417" i="2"/>
  <c r="N2439" i="2"/>
  <c r="N2459" i="2"/>
  <c r="N2478" i="2"/>
  <c r="N2500" i="2"/>
  <c r="N2521" i="2"/>
  <c r="N2539" i="2"/>
  <c r="N2561" i="2"/>
  <c r="N2583" i="2"/>
  <c r="N2603" i="2"/>
  <c r="N2622" i="2"/>
  <c r="N2644" i="2"/>
  <c r="N2665" i="2"/>
  <c r="N2683" i="2"/>
  <c r="N2705" i="2"/>
  <c r="N2726" i="2"/>
  <c r="N2742" i="2"/>
  <c r="N2762" i="2"/>
  <c r="N2778" i="2"/>
  <c r="N2798" i="2"/>
  <c r="N2814" i="2"/>
  <c r="N2834" i="2"/>
  <c r="N2850" i="2"/>
  <c r="N2870" i="2"/>
  <c r="N2886" i="2"/>
  <c r="N2906" i="2"/>
  <c r="N2922" i="2"/>
  <c r="N2942" i="2"/>
  <c r="N2958" i="2"/>
  <c r="N2978" i="2"/>
  <c r="N2994" i="2"/>
  <c r="N3014" i="2"/>
  <c r="N3030" i="2"/>
  <c r="N3046" i="2"/>
  <c r="N3059" i="2"/>
  <c r="N3073" i="2"/>
  <c r="N3086" i="2"/>
  <c r="N3098" i="2"/>
  <c r="N3110" i="2"/>
  <c r="N3122" i="2"/>
  <c r="N3134" i="2"/>
  <c r="N3146" i="2"/>
  <c r="N3158" i="2"/>
  <c r="N3170" i="2"/>
  <c r="N3182" i="2"/>
  <c r="N3194" i="2"/>
  <c r="N3206" i="2"/>
  <c r="N3218" i="2"/>
  <c r="N203" i="2"/>
  <c r="N585" i="2"/>
  <c r="N845" i="2"/>
  <c r="N1019" i="2"/>
  <c r="N1222" i="2"/>
  <c r="N1368" i="2"/>
  <c r="N1474" i="2"/>
  <c r="N1549" i="2"/>
  <c r="N1621" i="2"/>
  <c r="N1693" i="2"/>
  <c r="N1765" i="2"/>
  <c r="N1822" i="2"/>
  <c r="N1870" i="2"/>
  <c r="N1909" i="2"/>
  <c r="N1947" i="2"/>
  <c r="N1989" i="2"/>
  <c r="N2019" i="2"/>
  <c r="N2053" i="2"/>
  <c r="N2090" i="2"/>
  <c r="N2126" i="2"/>
  <c r="N2159" i="2"/>
  <c r="N2195" i="2"/>
  <c r="N2229" i="2"/>
  <c r="N2255" i="2"/>
  <c r="N2274" i="2"/>
  <c r="N2296" i="2"/>
  <c r="N2317" i="2"/>
  <c r="N2335" i="2"/>
  <c r="N2357" i="2"/>
  <c r="N2379" i="2"/>
  <c r="N2399" i="2"/>
  <c r="N2418" i="2"/>
  <c r="N2440" i="2"/>
  <c r="N2461" i="2"/>
  <c r="N2479" i="2"/>
  <c r="N2501" i="2"/>
  <c r="N2523" i="2"/>
  <c r="N2543" i="2"/>
  <c r="N2562" i="2"/>
  <c r="N2584" i="2"/>
  <c r="N2605" i="2"/>
  <c r="N2623" i="2"/>
  <c r="N2645" i="2"/>
  <c r="N2667" i="2"/>
  <c r="N2687" i="2"/>
  <c r="N2706" i="2"/>
  <c r="N2727" i="2"/>
  <c r="N2743" i="2"/>
  <c r="N2763" i="2"/>
  <c r="N2779" i="2"/>
  <c r="N2799" i="2"/>
  <c r="N2815" i="2"/>
  <c r="N2835" i="2"/>
  <c r="N2851" i="2"/>
  <c r="N2871" i="2"/>
  <c r="N2887" i="2"/>
  <c r="N2907" i="2"/>
  <c r="N2923" i="2"/>
  <c r="N2943" i="2"/>
  <c r="N2959" i="2"/>
  <c r="N2979" i="2"/>
  <c r="N2995" i="2"/>
  <c r="N3015" i="2"/>
  <c r="N3031" i="2"/>
  <c r="N3047" i="2"/>
  <c r="N3061" i="2"/>
  <c r="N3074" i="2"/>
  <c r="N3087" i="2"/>
  <c r="N3099" i="2"/>
  <c r="N3111" i="2"/>
  <c r="N3123" i="2"/>
  <c r="N3135" i="2"/>
  <c r="N3147" i="2"/>
  <c r="N3159" i="2"/>
  <c r="N3171" i="2"/>
  <c r="N3183" i="2"/>
  <c r="N3195" i="2"/>
  <c r="N3207" i="2"/>
  <c r="N3219" i="2"/>
  <c r="N221" i="2"/>
  <c r="N641" i="2"/>
  <c r="N847" i="2"/>
  <c r="N1054" i="2"/>
  <c r="N1224" i="2"/>
  <c r="N1369" i="2"/>
  <c r="N1476" i="2"/>
  <c r="N1550" i="2"/>
  <c r="N1622" i="2"/>
  <c r="N1694" i="2"/>
  <c r="N1766" i="2"/>
  <c r="N1823" i="2"/>
  <c r="N1871" i="2"/>
  <c r="N1910" i="2"/>
  <c r="N1953" i="2"/>
  <c r="N1990" i="2"/>
  <c r="N2026" i="2"/>
  <c r="N2054" i="2"/>
  <c r="N2091" i="2"/>
  <c r="N2133" i="2"/>
  <c r="N2163" i="2"/>
  <c r="N2196" i="2"/>
  <c r="N2230" i="2"/>
  <c r="N2257" i="2"/>
  <c r="N2275" i="2"/>
  <c r="N2297" i="2"/>
  <c r="N2319" i="2"/>
  <c r="N2339" i="2"/>
  <c r="N2358" i="2"/>
  <c r="N2380" i="2"/>
  <c r="N2401" i="2"/>
  <c r="N2419" i="2"/>
  <c r="N2441" i="2"/>
  <c r="N2463" i="2"/>
  <c r="N2483" i="2"/>
  <c r="N2502" i="2"/>
  <c r="N2524" i="2"/>
  <c r="N2545" i="2"/>
  <c r="N2563" i="2"/>
  <c r="N2585" i="2"/>
  <c r="N2607" i="2"/>
  <c r="N2627" i="2"/>
  <c r="N2646" i="2"/>
  <c r="N2668" i="2"/>
  <c r="N2689" i="2"/>
  <c r="N2707" i="2"/>
  <c r="N2728" i="2"/>
  <c r="N2747" i="2"/>
  <c r="N2764" i="2"/>
  <c r="N2783" i="2"/>
  <c r="N2800" i="2"/>
  <c r="N2819" i="2"/>
  <c r="N2836" i="2"/>
  <c r="N2855" i="2"/>
  <c r="N2872" i="2"/>
  <c r="N2891" i="2"/>
  <c r="N2908" i="2"/>
  <c r="N2927" i="2"/>
  <c r="N2944" i="2"/>
  <c r="N2963" i="2"/>
  <c r="N2980" i="2"/>
  <c r="N2999" i="2"/>
  <c r="N3016" i="2"/>
  <c r="N3035" i="2"/>
  <c r="N3049" i="2"/>
  <c r="N3062" i="2"/>
  <c r="N3075" i="2"/>
  <c r="N3088" i="2"/>
  <c r="N3100" i="2"/>
  <c r="N3112" i="2"/>
  <c r="N3124" i="2"/>
  <c r="N3136" i="2"/>
  <c r="N3148" i="2"/>
  <c r="N3160" i="2"/>
  <c r="N3172" i="2"/>
  <c r="N3184" i="2"/>
  <c r="N3196" i="2"/>
  <c r="N3208" i="2"/>
  <c r="N3220" i="2"/>
  <c r="N297" i="2"/>
  <c r="N645" i="2"/>
  <c r="N848" i="2"/>
  <c r="N1080" i="2"/>
  <c r="N1225" i="2"/>
  <c r="N1402" i="2"/>
  <c r="N1496" i="2"/>
  <c r="N1570" i="2"/>
  <c r="N1642" i="2"/>
  <c r="N1714" i="2"/>
  <c r="N1783" i="2"/>
  <c r="N1835" i="2"/>
  <c r="N1882" i="2"/>
  <c r="N1921" i="2"/>
  <c r="N1954" i="2"/>
  <c r="N1991" i="2"/>
  <c r="N2028" i="2"/>
  <c r="N2063" i="2"/>
  <c r="N2097" i="2"/>
  <c r="N2134" i="2"/>
  <c r="N2170" i="2"/>
  <c r="N2197" i="2"/>
  <c r="N2231" i="2"/>
  <c r="N2259" i="2"/>
  <c r="N2279" i="2"/>
  <c r="N2298" i="2"/>
  <c r="N2320" i="2"/>
  <c r="N2341" i="2"/>
  <c r="N2359" i="2"/>
  <c r="N2381" i="2"/>
  <c r="N2403" i="2"/>
  <c r="N2423" i="2"/>
  <c r="N2442" i="2"/>
  <c r="N2464" i="2"/>
  <c r="N2485" i="2"/>
  <c r="N2503" i="2"/>
  <c r="N2525" i="2"/>
  <c r="N2547" i="2"/>
  <c r="N2567" i="2"/>
  <c r="N2586" i="2"/>
  <c r="N2608" i="2"/>
  <c r="N2629" i="2"/>
  <c r="N2647" i="2"/>
  <c r="N2669" i="2"/>
  <c r="N2691" i="2"/>
  <c r="N2711" i="2"/>
  <c r="N2729" i="2"/>
  <c r="N2749" i="2"/>
  <c r="N2765" i="2"/>
  <c r="N2785" i="2"/>
  <c r="N2801" i="2"/>
  <c r="N2821" i="2"/>
  <c r="N2837" i="2"/>
  <c r="N2857" i="2"/>
  <c r="N2873" i="2"/>
  <c r="N2893" i="2"/>
  <c r="N2909" i="2"/>
  <c r="N2929" i="2"/>
  <c r="N2945" i="2"/>
  <c r="N2965" i="2"/>
  <c r="N2981" i="2"/>
  <c r="N3001" i="2"/>
  <c r="N3017" i="2"/>
  <c r="N3037" i="2"/>
  <c r="N3050" i="2"/>
  <c r="N3063" i="2"/>
  <c r="N3076" i="2"/>
  <c r="N3089" i="2"/>
  <c r="N3101" i="2"/>
  <c r="N3113" i="2"/>
  <c r="N3125" i="2"/>
  <c r="N3137" i="2"/>
  <c r="N3149" i="2"/>
  <c r="N3161" i="2"/>
  <c r="N3173" i="2"/>
  <c r="N3185" i="2"/>
  <c r="N3197" i="2"/>
  <c r="N3209" i="2"/>
  <c r="N2" i="2"/>
  <c r="N365" i="2"/>
  <c r="N646" i="2"/>
  <c r="N892" i="2"/>
  <c r="N1081" i="2"/>
  <c r="N1231" i="2"/>
  <c r="N1424" i="2"/>
  <c r="N1510" i="2"/>
  <c r="N1582" i="2"/>
  <c r="N1654" i="2"/>
  <c r="N1726" i="2"/>
  <c r="N1792" i="2"/>
  <c r="N1842" i="2"/>
  <c r="N1884" i="2"/>
  <c r="N1923" i="2"/>
  <c r="N1958" i="2"/>
  <c r="N1992" i="2"/>
  <c r="N2029" i="2"/>
  <c r="N2065" i="2"/>
  <c r="N2098" i="2"/>
  <c r="N2135" i="2"/>
  <c r="N2172" i="2"/>
  <c r="N2205" i="2"/>
  <c r="N2232" i="2"/>
  <c r="N2260" i="2"/>
  <c r="N2281" i="2"/>
  <c r="N2299" i="2"/>
  <c r="N2321" i="2"/>
  <c r="N2343" i="2"/>
  <c r="N2363" i="2"/>
  <c r="N2382" i="2"/>
  <c r="N2404" i="2"/>
  <c r="N2425" i="2"/>
  <c r="N2443" i="2"/>
  <c r="N366" i="2"/>
  <c r="N647" i="2"/>
  <c r="N921" i="2"/>
  <c r="N1087" i="2"/>
  <c r="N1268" i="2"/>
  <c r="N1425" i="2"/>
  <c r="N369" i="2"/>
  <c r="N1088" i="2"/>
  <c r="N1511" i="2"/>
  <c r="N1657" i="2"/>
  <c r="N1810" i="2"/>
  <c r="N1930" i="2"/>
  <c r="N2006" i="2"/>
  <c r="N2102" i="2"/>
  <c r="N2175" i="2"/>
  <c r="N2246" i="2"/>
  <c r="N2305" i="2"/>
  <c r="N2347" i="2"/>
  <c r="N2405" i="2"/>
  <c r="N2451" i="2"/>
  <c r="N2490" i="2"/>
  <c r="N2533" i="2"/>
  <c r="N2573" i="2"/>
  <c r="N2615" i="2"/>
  <c r="N2656" i="2"/>
  <c r="N2695" i="2"/>
  <c r="N2737" i="2"/>
  <c r="N2773" i="2"/>
  <c r="N2809" i="2"/>
  <c r="N2845" i="2"/>
  <c r="N2881" i="2"/>
  <c r="N2917" i="2"/>
  <c r="N2953" i="2"/>
  <c r="N2989" i="2"/>
  <c r="N3025" i="2"/>
  <c r="N3054" i="2"/>
  <c r="N3080" i="2"/>
  <c r="N3105" i="2"/>
  <c r="N3129" i="2"/>
  <c r="N3153" i="2"/>
  <c r="N3177" i="2"/>
  <c r="N3201" i="2"/>
  <c r="N370" i="2"/>
  <c r="N1125" i="2"/>
  <c r="N1512" i="2"/>
  <c r="N1658" i="2"/>
  <c r="N1843" i="2"/>
  <c r="N1931" i="2"/>
  <c r="N2007" i="2"/>
  <c r="N2109" i="2"/>
  <c r="N2181" i="2"/>
  <c r="N2261" i="2"/>
  <c r="N2307" i="2"/>
  <c r="N2351" i="2"/>
  <c r="N2406" i="2"/>
  <c r="N2452" i="2"/>
  <c r="N2491" i="2"/>
  <c r="N2535" i="2"/>
  <c r="N2574" i="2"/>
  <c r="N2617" i="2"/>
  <c r="N2657" i="2"/>
  <c r="N2699" i="2"/>
  <c r="N2738" i="2"/>
  <c r="N2774" i="2"/>
  <c r="N2810" i="2"/>
  <c r="N2846" i="2"/>
  <c r="N2882" i="2"/>
  <c r="N2918" i="2"/>
  <c r="N2954" i="2"/>
  <c r="N2990" i="2"/>
  <c r="N3026" i="2"/>
  <c r="N3055" i="2"/>
  <c r="N3081" i="2"/>
  <c r="N3106" i="2"/>
  <c r="N3130" i="2"/>
  <c r="N3154" i="2"/>
  <c r="N3178" i="2"/>
  <c r="N3202" i="2"/>
  <c r="N456" i="2"/>
  <c r="N1149" i="2"/>
  <c r="N1513" i="2"/>
  <c r="N1678" i="2"/>
  <c r="N1844" i="2"/>
  <c r="N1932" i="2"/>
  <c r="N2030" i="2"/>
  <c r="N2111" i="2"/>
  <c r="N2185" i="2"/>
  <c r="N2262" i="2"/>
  <c r="N2308" i="2"/>
  <c r="N2365" i="2"/>
  <c r="N2407" i="2"/>
  <c r="N2453" i="2"/>
  <c r="N2495" i="2"/>
  <c r="N2536" i="2"/>
  <c r="N2575" i="2"/>
  <c r="N2619" i="2"/>
  <c r="N2658" i="2"/>
  <c r="N2701" i="2"/>
  <c r="N2739" i="2"/>
  <c r="N2775" i="2"/>
  <c r="N2811" i="2"/>
  <c r="N2847" i="2"/>
  <c r="N2883" i="2"/>
  <c r="N2919" i="2"/>
  <c r="N2955" i="2"/>
  <c r="N2991" i="2"/>
  <c r="N3027" i="2"/>
  <c r="N3056" i="2"/>
  <c r="N3082" i="2"/>
  <c r="N3107" i="2"/>
  <c r="N3131" i="2"/>
  <c r="N3155" i="2"/>
  <c r="N3179" i="2"/>
  <c r="N3203" i="2"/>
  <c r="N504" i="2"/>
  <c r="N1150" i="2"/>
  <c r="N1514" i="2"/>
  <c r="N1727" i="2"/>
  <c r="N1846" i="2"/>
  <c r="N1941" i="2"/>
  <c r="N2031" i="2"/>
  <c r="N2112" i="2"/>
  <c r="N2207" i="2"/>
  <c r="N2263" i="2"/>
  <c r="N2309" i="2"/>
  <c r="N2367" i="2"/>
  <c r="N2411" i="2"/>
  <c r="N2465" i="2"/>
  <c r="N2507" i="2"/>
  <c r="N2548" i="2"/>
  <c r="N2587" i="2"/>
  <c r="N2631" i="2"/>
  <c r="N2670" i="2"/>
  <c r="N2713" i="2"/>
  <c r="N2750" i="2"/>
  <c r="N2786" i="2"/>
  <c r="N2822" i="2"/>
  <c r="N2858" i="2"/>
  <c r="N2894" i="2"/>
  <c r="N2930" i="2"/>
  <c r="N2966" i="2"/>
  <c r="N3002" i="2"/>
  <c r="N3038" i="2"/>
  <c r="N3064" i="2"/>
  <c r="N3090" i="2"/>
  <c r="N3114" i="2"/>
  <c r="N3138" i="2"/>
  <c r="N3162" i="2"/>
  <c r="N3186" i="2"/>
  <c r="N3210" i="2"/>
  <c r="N716" i="2"/>
  <c r="N1292" i="2"/>
  <c r="N1534" i="2"/>
  <c r="N1728" i="2"/>
  <c r="N1847" i="2"/>
  <c r="N1965" i="2"/>
  <c r="N2037" i="2"/>
  <c r="N2113" i="2"/>
  <c r="N2209" i="2"/>
  <c r="N2267" i="2"/>
  <c r="N2322" i="2"/>
  <c r="N2368" i="2"/>
  <c r="N2413" i="2"/>
  <c r="N2466" i="2"/>
  <c r="N2509" i="2"/>
  <c r="N2549" i="2"/>
  <c r="N2591" i="2"/>
  <c r="N2632" i="2"/>
  <c r="N2671" i="2"/>
  <c r="N2715" i="2"/>
  <c r="N2751" i="2"/>
  <c r="N2787" i="2"/>
  <c r="N2823" i="2"/>
  <c r="N2859" i="2"/>
  <c r="N2895" i="2"/>
  <c r="N2931" i="2"/>
  <c r="N2967" i="2"/>
  <c r="N3003" i="2"/>
  <c r="N3039" i="2"/>
  <c r="N3065" i="2"/>
  <c r="N3091" i="2"/>
  <c r="N3115" i="2"/>
  <c r="N3139" i="2"/>
  <c r="N3163" i="2"/>
  <c r="N3187" i="2"/>
  <c r="N3211" i="2"/>
  <c r="N749" i="2"/>
  <c r="N1293" i="2"/>
  <c r="N1583" i="2"/>
  <c r="N1729" i="2"/>
  <c r="N1859" i="2"/>
  <c r="N1967" i="2"/>
  <c r="N2041" i="2"/>
  <c r="N2136" i="2"/>
  <c r="N2210" i="2"/>
  <c r="N2269" i="2"/>
  <c r="N2323" i="2"/>
  <c r="N2369" i="2"/>
  <c r="N2427" i="2"/>
  <c r="N2467" i="2"/>
  <c r="N2511" i="2"/>
  <c r="N2550" i="2"/>
  <c r="N2593" i="2"/>
  <c r="N750" i="2"/>
  <c r="N1294" i="2"/>
  <c r="N1584" i="2"/>
  <c r="N1730" i="2"/>
  <c r="N1885" i="2"/>
  <c r="N1968" i="2"/>
  <c r="N2043" i="2"/>
  <c r="N2137" i="2"/>
  <c r="N2211" i="2"/>
  <c r="N2283" i="2"/>
  <c r="N2327" i="2"/>
  <c r="N2370" i="2"/>
  <c r="N2428" i="2"/>
  <c r="N2471" i="2"/>
  <c r="N2512" i="2"/>
  <c r="N2551" i="2"/>
  <c r="N2595" i="2"/>
  <c r="N2634" i="2"/>
  <c r="N2677" i="2"/>
  <c r="N2717" i="2"/>
  <c r="N2753" i="2"/>
  <c r="N2789" i="2"/>
  <c r="N2825" i="2"/>
  <c r="N2861" i="2"/>
  <c r="N2897" i="2"/>
  <c r="N2933" i="2"/>
  <c r="N2969" i="2"/>
  <c r="N3005" i="2"/>
  <c r="N3041" i="2"/>
  <c r="N3067" i="2"/>
  <c r="N3093" i="2"/>
  <c r="N3117" i="2"/>
  <c r="N3141" i="2"/>
  <c r="N3165" i="2"/>
  <c r="N3189" i="2"/>
  <c r="N3213" i="2"/>
  <c r="N751" i="2"/>
  <c r="N1606" i="2"/>
  <c r="N1929" i="2"/>
  <c r="N2148" i="2"/>
  <c r="N2287" i="2"/>
  <c r="N2429" i="2"/>
  <c r="N2526" i="2"/>
  <c r="N2611" i="2"/>
  <c r="N2694" i="2"/>
  <c r="N2771" i="2"/>
  <c r="N2843" i="2"/>
  <c r="N2915" i="2"/>
  <c r="N2987" i="2"/>
  <c r="N3053" i="2"/>
  <c r="N3104" i="2"/>
  <c r="N3152" i="2"/>
  <c r="N3200" i="2"/>
  <c r="N929" i="2"/>
  <c r="N1655" i="2"/>
  <c r="N1969" i="2"/>
  <c r="N2150" i="2"/>
  <c r="N2303" i="2"/>
  <c r="N2430" i="2"/>
  <c r="N2527" i="2"/>
  <c r="N2633" i="2"/>
  <c r="N2716" i="2"/>
  <c r="N2788" i="2"/>
  <c r="N2860" i="2"/>
  <c r="N2932" i="2"/>
  <c r="N3004" i="2"/>
  <c r="N3066" i="2"/>
  <c r="N3116" i="2"/>
  <c r="N3164" i="2"/>
  <c r="N3212" i="2"/>
  <c r="N930" i="2"/>
  <c r="N1656" i="2"/>
  <c r="N1970" i="2"/>
  <c r="N2173" i="2"/>
  <c r="N2329" i="2"/>
  <c r="N2431" i="2"/>
  <c r="N2531" i="2"/>
  <c r="N2635" i="2"/>
  <c r="N2718" i="2"/>
  <c r="N2790" i="2"/>
  <c r="N2862" i="2"/>
  <c r="N2934" i="2"/>
  <c r="N3006" i="2"/>
  <c r="N3068" i="2"/>
  <c r="N3118" i="2"/>
  <c r="N3166" i="2"/>
  <c r="N3214" i="2"/>
  <c r="N931" i="2"/>
  <c r="N1750" i="2"/>
  <c r="N1993" i="2"/>
  <c r="N2174" i="2"/>
  <c r="N2331" i="2"/>
  <c r="N2447" i="2"/>
  <c r="N2555" i="2"/>
  <c r="N2639" i="2"/>
  <c r="N2719" i="2"/>
  <c r="N2791" i="2"/>
  <c r="N2863" i="2"/>
  <c r="N2935" i="2"/>
  <c r="N3007" i="2"/>
  <c r="N3069" i="2"/>
  <c r="N3119" i="2"/>
  <c r="N3167" i="2"/>
  <c r="N3215" i="2"/>
  <c r="N976" i="2"/>
  <c r="N1793" i="2"/>
  <c r="N2002" i="2"/>
  <c r="N2216" i="2"/>
  <c r="N2344" i="2"/>
  <c r="N2449" i="2"/>
  <c r="N2557" i="2"/>
  <c r="N2651" i="2"/>
  <c r="N2730" i="2"/>
  <c r="N2802" i="2"/>
  <c r="N2874" i="2"/>
  <c r="N2946" i="2"/>
  <c r="N3018" i="2"/>
  <c r="N3077" i="2"/>
  <c r="N3126" i="2"/>
  <c r="N3174" i="2"/>
  <c r="N1426" i="2"/>
  <c r="N1795" i="2"/>
  <c r="N2067" i="2"/>
  <c r="N2241" i="2"/>
  <c r="N2346" i="2"/>
  <c r="N2475" i="2"/>
  <c r="N2571" i="2"/>
  <c r="N2655" i="2"/>
  <c r="N2735" i="2"/>
  <c r="N2807" i="2"/>
  <c r="N2879" i="2"/>
  <c r="N2951" i="2"/>
  <c r="N3023" i="2"/>
  <c r="N3079" i="2"/>
  <c r="N3128" i="2"/>
  <c r="N3176" i="2"/>
  <c r="N1303" i="2"/>
  <c r="N2004" i="2"/>
  <c r="N2345" i="2"/>
  <c r="N2569" i="2"/>
  <c r="N2731" i="2"/>
  <c r="N2875" i="2"/>
  <c r="N3019" i="2"/>
  <c r="N3127" i="2"/>
  <c r="N1427" i="2"/>
  <c r="N2073" i="2"/>
  <c r="N2383" i="2"/>
  <c r="N2572" i="2"/>
  <c r="N2752" i="2"/>
  <c r="N2896" i="2"/>
  <c r="N3040" i="2"/>
  <c r="N3140" i="2"/>
  <c r="N1428" i="2"/>
  <c r="N2074" i="2"/>
  <c r="N2387" i="2"/>
  <c r="N2596" i="2"/>
  <c r="N2754" i="2"/>
  <c r="N2898" i="2"/>
  <c r="N3042" i="2"/>
  <c r="N3142" i="2"/>
  <c r="N1454" i="2"/>
  <c r="N2075" i="2"/>
  <c r="N2389" i="2"/>
  <c r="N2597" i="2"/>
  <c r="N2755" i="2"/>
  <c r="N2899" i="2"/>
  <c r="N3043" i="2"/>
  <c r="N3143" i="2"/>
  <c r="N1585" i="2"/>
  <c r="N2076" i="2"/>
  <c r="N2391" i="2"/>
  <c r="N2609" i="2"/>
  <c r="N2766" i="2"/>
  <c r="N2910" i="2"/>
  <c r="N3051" i="2"/>
  <c r="N3150" i="2"/>
  <c r="N1794" i="2"/>
  <c r="N2233" i="2"/>
  <c r="N2473" i="2"/>
  <c r="N2653" i="2"/>
  <c r="N2803" i="2"/>
  <c r="N2947" i="2"/>
  <c r="N3078" i="2"/>
  <c r="N3175" i="2"/>
  <c r="N1796" i="2"/>
  <c r="N2243" i="2"/>
  <c r="N2487" i="2"/>
  <c r="N2675" i="2"/>
  <c r="N2824" i="2"/>
  <c r="N2968" i="2"/>
  <c r="N3092" i="2"/>
  <c r="N3188" i="2"/>
  <c r="N1586" i="2"/>
  <c r="N2489" i="2"/>
  <c r="N2839" i="2"/>
  <c r="N3190" i="2"/>
  <c r="N1886" i="2"/>
  <c r="N2513" i="2"/>
  <c r="N2911" i="2"/>
  <c r="N3191" i="2"/>
  <c r="N1887" i="2"/>
  <c r="N2514" i="2"/>
  <c r="N2970" i="2"/>
  <c r="N3198" i="2"/>
  <c r="N1893" i="2"/>
  <c r="N2610" i="2"/>
  <c r="N2971" i="2"/>
  <c r="N3199" i="2"/>
  <c r="N1899" i="2"/>
  <c r="N2679" i="2"/>
  <c r="N2982" i="2"/>
  <c r="N2245" i="2"/>
  <c r="N2692" i="2"/>
  <c r="N3052" i="2"/>
  <c r="N2284" i="2"/>
  <c r="N2693" i="2"/>
  <c r="N3094" i="2"/>
  <c r="N2285" i="2"/>
  <c r="N2767" i="2"/>
  <c r="N3095" i="2"/>
  <c r="N2826" i="2"/>
  <c r="N2680" i="2"/>
  <c r="N2488" i="2"/>
  <c r="N2392" i="2"/>
  <c r="N2286" i="2"/>
  <c r="N2146" i="2"/>
  <c r="M3034" i="2"/>
  <c r="M3019" i="2"/>
  <c r="M3003" i="2"/>
  <c r="M2986" i="2"/>
  <c r="M2971" i="2"/>
  <c r="M2955" i="2"/>
  <c r="M2938" i="2"/>
  <c r="M2923" i="2"/>
  <c r="M2907" i="2"/>
  <c r="M2890" i="2"/>
  <c r="M2875" i="2"/>
  <c r="M2859" i="2"/>
  <c r="M2842" i="2"/>
  <c r="M2827" i="2"/>
  <c r="M2811" i="2"/>
  <c r="M2794" i="2"/>
  <c r="M2779" i="2"/>
  <c r="M2763" i="2"/>
  <c r="M2746" i="2"/>
  <c r="M2731" i="2"/>
  <c r="M2715" i="2"/>
  <c r="M2697" i="2"/>
  <c r="M2681" i="2"/>
  <c r="M2661" i="2"/>
  <c r="M2645" i="2"/>
  <c r="M2625" i="2"/>
  <c r="M2609" i="2"/>
  <c r="M2589" i="2"/>
  <c r="M2573" i="2"/>
  <c r="M2552" i="2"/>
  <c r="M2529" i="2"/>
  <c r="M2510" i="2"/>
  <c r="M2486" i="2"/>
  <c r="M2462" i="2"/>
  <c r="M2438" i="2"/>
  <c r="M2420" i="2"/>
  <c r="M2396" i="2"/>
  <c r="M2372" i="2"/>
  <c r="M2353" i="2"/>
  <c r="M2329" i="2"/>
  <c r="M2305" i="2"/>
  <c r="M2281" i="2"/>
  <c r="M2262" i="2"/>
  <c r="M2238" i="2"/>
  <c r="M2214" i="2"/>
  <c r="M2196" i="2"/>
  <c r="M2172" i="2"/>
  <c r="M2148" i="2"/>
  <c r="M2124" i="2"/>
  <c r="M2105" i="2"/>
  <c r="M2081" i="2"/>
  <c r="M2057" i="2"/>
  <c r="M2039" i="2"/>
  <c r="M2015" i="2"/>
  <c r="M1991" i="2"/>
  <c r="M1958" i="2"/>
  <c r="M1933" i="2"/>
  <c r="M1897" i="2"/>
  <c r="M1858" i="2"/>
  <c r="M1814" i="2"/>
  <c r="M1775" i="2"/>
  <c r="M1735" i="2"/>
  <c r="M1687" i="2"/>
  <c r="M1637" i="2"/>
  <c r="M1581" i="2"/>
  <c r="M1531" i="2"/>
  <c r="M1473" i="2"/>
  <c r="M1409" i="2"/>
  <c r="M1337" i="2"/>
  <c r="M1253" i="2"/>
  <c r="M1192" i="2"/>
  <c r="M1095" i="2"/>
  <c r="M1014" i="2"/>
  <c r="M931" i="2"/>
  <c r="M845" i="2"/>
  <c r="M764" i="2"/>
  <c r="M666" i="2"/>
  <c r="M591" i="2"/>
  <c r="M488" i="2"/>
  <c r="M378" i="2"/>
  <c r="M279" i="2"/>
  <c r="M130" i="2"/>
  <c r="M3033" i="2"/>
  <c r="M3018" i="2"/>
  <c r="M3001" i="2"/>
  <c r="M2985" i="2"/>
  <c r="M2970" i="2"/>
  <c r="M2953" i="2"/>
  <c r="M2937" i="2"/>
  <c r="M2922" i="2"/>
  <c r="M2905" i="2"/>
  <c r="M2889" i="2"/>
  <c r="M2874" i="2"/>
  <c r="M2857" i="2"/>
  <c r="M2841" i="2"/>
  <c r="M2826" i="2"/>
  <c r="M2809" i="2"/>
  <c r="M2793" i="2"/>
  <c r="M2778" i="2"/>
  <c r="M2761" i="2"/>
  <c r="M2745" i="2"/>
  <c r="M2730" i="2"/>
  <c r="M2713" i="2"/>
  <c r="M2696" i="2"/>
  <c r="M2679" i="2"/>
  <c r="M2660" i="2"/>
  <c r="M2643" i="2"/>
  <c r="M2624" i="2"/>
  <c r="M2607" i="2"/>
  <c r="M2588" i="2"/>
  <c r="M2571" i="2"/>
  <c r="M2551" i="2"/>
  <c r="M2528" i="2"/>
  <c r="M2504" i="2"/>
  <c r="M2485" i="2"/>
  <c r="M2461" i="2"/>
  <c r="M2437" i="2"/>
  <c r="M2418" i="2"/>
  <c r="M2394" i="2"/>
  <c r="M2370" i="2"/>
  <c r="M2346" i="2"/>
  <c r="M2328" i="2"/>
  <c r="M2304" i="2"/>
  <c r="M2280" i="2"/>
  <c r="M2261" i="2"/>
  <c r="M2237" i="2"/>
  <c r="M2213" i="2"/>
  <c r="M2189" i="2"/>
  <c r="M2171" i="2"/>
  <c r="M2147" i="2"/>
  <c r="M2123" i="2"/>
  <c r="M2104" i="2"/>
  <c r="M2080" i="2"/>
  <c r="M2056" i="2"/>
  <c r="M2032" i="2"/>
  <c r="M2014" i="2"/>
  <c r="M1990" i="2"/>
  <c r="M1957" i="2"/>
  <c r="M1932" i="2"/>
  <c r="M1895" i="2"/>
  <c r="M1856" i="2"/>
  <c r="M1812" i="2"/>
  <c r="M1773" i="2"/>
  <c r="M1727" i="2"/>
  <c r="M1685" i="2"/>
  <c r="M1630" i="2"/>
  <c r="M1580" i="2"/>
  <c r="M1528" i="2"/>
  <c r="M1467" i="2"/>
  <c r="M1408" i="2"/>
  <c r="M1319" i="2"/>
  <c r="M1252" i="2"/>
  <c r="M1180" i="2"/>
  <c r="M1089" i="2"/>
  <c r="M1013" i="2"/>
  <c r="M915" i="2"/>
  <c r="M844" i="2"/>
  <c r="M761" i="2"/>
  <c r="M665" i="2"/>
  <c r="M590" i="2"/>
  <c r="M469" i="2"/>
  <c r="M371" i="2"/>
  <c r="M264" i="2"/>
  <c r="M129" i="2"/>
  <c r="M3032" i="2"/>
  <c r="M3017" i="2"/>
  <c r="M2999" i="2"/>
  <c r="M2984" i="2"/>
  <c r="M2969" i="2"/>
  <c r="M2951" i="2"/>
  <c r="M2936" i="2"/>
  <c r="M2921" i="2"/>
  <c r="M2903" i="2"/>
  <c r="M2888" i="2"/>
  <c r="M2873" i="2"/>
  <c r="M2855" i="2"/>
  <c r="M2840" i="2"/>
  <c r="M2825" i="2"/>
  <c r="M2807" i="2"/>
  <c r="M2792" i="2"/>
  <c r="M2777" i="2"/>
  <c r="M2759" i="2"/>
  <c r="M2744" i="2"/>
  <c r="M2729" i="2"/>
  <c r="M2711" i="2"/>
  <c r="M2695" i="2"/>
  <c r="M2675" i="2"/>
  <c r="M2659" i="2"/>
  <c r="M2639" i="2"/>
  <c r="M2623" i="2"/>
  <c r="M2603" i="2"/>
  <c r="M2587" i="2"/>
  <c r="M2567" i="2"/>
  <c r="M2550" i="2"/>
  <c r="M2526" i="2"/>
  <c r="M2502" i="2"/>
  <c r="M2484" i="2"/>
  <c r="M2460" i="2"/>
  <c r="M2436" i="2"/>
  <c r="M2412" i="2"/>
  <c r="M2393" i="2"/>
  <c r="M2369" i="2"/>
  <c r="M2345" i="2"/>
  <c r="M2327" i="2"/>
  <c r="M2303" i="2"/>
  <c r="M2279" i="2"/>
  <c r="M2255" i="2"/>
  <c r="M2236" i="2"/>
  <c r="M2212" i="2"/>
  <c r="M2188" i="2"/>
  <c r="M2170" i="2"/>
  <c r="M2146" i="2"/>
  <c r="M2122" i="2"/>
  <c r="M2098" i="2"/>
  <c r="M2079" i="2"/>
  <c r="M2055" i="2"/>
  <c r="M2031" i="2"/>
  <c r="M2013" i="2"/>
  <c r="M1989" i="2"/>
  <c r="M1956" i="2"/>
  <c r="M1922" i="2"/>
  <c r="M1884" i="2"/>
  <c r="M1845" i="2"/>
  <c r="M1801" i="2"/>
  <c r="M1762" i="2"/>
  <c r="M1715" i="2"/>
  <c r="M1673" i="2"/>
  <c r="M1624" i="2"/>
  <c r="M1579" i="2"/>
  <c r="M1516" i="2"/>
  <c r="M1466" i="2"/>
  <c r="M1396" i="2"/>
  <c r="M1317" i="2"/>
  <c r="M1251" i="2"/>
  <c r="M1159" i="2"/>
  <c r="M1088" i="2"/>
  <c r="M1005" i="2"/>
  <c r="M909" i="2"/>
  <c r="M843" i="2"/>
  <c r="M740" i="2"/>
  <c r="M664" i="2"/>
  <c r="M576" i="2"/>
  <c r="M463" i="2"/>
  <c r="M370" i="2"/>
  <c r="M239" i="2"/>
  <c r="M122" i="2"/>
  <c r="M2790" i="2"/>
  <c r="M2773" i="2"/>
  <c r="M2757" i="2"/>
  <c r="M2742" i="2"/>
  <c r="M2725" i="2"/>
  <c r="M2709" i="2"/>
  <c r="M2693" i="2"/>
  <c r="M2673" i="2"/>
  <c r="M2657" i="2"/>
  <c r="M2637" i="2"/>
  <c r="M2621" i="2"/>
  <c r="M2601" i="2"/>
  <c r="M2585" i="2"/>
  <c r="M2565" i="2"/>
  <c r="M2543" i="2"/>
  <c r="M2524" i="2"/>
  <c r="M2500" i="2"/>
  <c r="M2476" i="2"/>
  <c r="M2458" i="2"/>
  <c r="M2434" i="2"/>
  <c r="M2410" i="2"/>
  <c r="M2386" i="2"/>
  <c r="M2367" i="2"/>
  <c r="M2343" i="2"/>
  <c r="M2319" i="2"/>
  <c r="M2301" i="2"/>
  <c r="M2277" i="2"/>
  <c r="M2253" i="2"/>
  <c r="M2229" i="2"/>
  <c r="M2210" i="2"/>
  <c r="M2186" i="2"/>
  <c r="M2162" i="2"/>
  <c r="M2144" i="2"/>
  <c r="M2120" i="2"/>
  <c r="M2096" i="2"/>
  <c r="M2072" i="2"/>
  <c r="M2053" i="2"/>
  <c r="M2029" i="2"/>
  <c r="M2005" i="2"/>
  <c r="M1986" i="2"/>
  <c r="M1954" i="2"/>
  <c r="M1920" i="2"/>
  <c r="M1882" i="2"/>
  <c r="M1838" i="2"/>
  <c r="M1799" i="2"/>
  <c r="M1760" i="2"/>
  <c r="M1713" i="2"/>
  <c r="M1671" i="2"/>
  <c r="M1622" i="2"/>
  <c r="M1558" i="2"/>
  <c r="M1514" i="2"/>
  <c r="M1460" i="2"/>
  <c r="M1376" i="2"/>
  <c r="M1315" i="2"/>
  <c r="M1229" i="2"/>
  <c r="M1157" i="2"/>
  <c r="M1074" i="2"/>
  <c r="M988" i="2"/>
  <c r="M907" i="2"/>
  <c r="M809" i="2"/>
  <c r="M738" i="2"/>
  <c r="M655" i="2"/>
  <c r="M552" i="2"/>
  <c r="M460" i="2"/>
  <c r="M331" i="2"/>
  <c r="M237" i="2"/>
  <c r="M82" i="2"/>
  <c r="M3044" i="2"/>
  <c r="M3029" i="2"/>
  <c r="M3011" i="2"/>
  <c r="M2996" i="2"/>
  <c r="M2981" i="2"/>
  <c r="M2963" i="2"/>
  <c r="M2948" i="2"/>
  <c r="M2933" i="2"/>
  <c r="M2915" i="2"/>
  <c r="M2900" i="2"/>
  <c r="M2885" i="2"/>
  <c r="M2867" i="2"/>
  <c r="M2852" i="2"/>
  <c r="M2837" i="2"/>
  <c r="M2819" i="2"/>
  <c r="M2804" i="2"/>
  <c r="M2789" i="2"/>
  <c r="M2771" i="2"/>
  <c r="M2756" i="2"/>
  <c r="M2741" i="2"/>
  <c r="M2723" i="2"/>
  <c r="M2708" i="2"/>
  <c r="M2691" i="2"/>
  <c r="M2672" i="2"/>
  <c r="M2655" i="2"/>
  <c r="M2636" i="2"/>
  <c r="M2619" i="2"/>
  <c r="M2600" i="2"/>
  <c r="M2583" i="2"/>
  <c r="M2564" i="2"/>
  <c r="M2542" i="2"/>
  <c r="M2523" i="2"/>
  <c r="M2499" i="2"/>
  <c r="M2475" i="2"/>
  <c r="M2451" i="2"/>
  <c r="M2433" i="2"/>
  <c r="M2409" i="2"/>
  <c r="M2385" i="2"/>
  <c r="M2366" i="2"/>
  <c r="M2342" i="2"/>
  <c r="M2318" i="2"/>
  <c r="M2294" i="2"/>
  <c r="M2276" i="2"/>
  <c r="M2252" i="2"/>
  <c r="M2228" i="2"/>
  <c r="M2209" i="2"/>
  <c r="M2185" i="2"/>
  <c r="M2161" i="2"/>
  <c r="M2137" i="2"/>
  <c r="M2118" i="2"/>
  <c r="M2094" i="2"/>
  <c r="M2070" i="2"/>
  <c r="M2052" i="2"/>
  <c r="M2028" i="2"/>
  <c r="M2004" i="2"/>
  <c r="M1978" i="2"/>
  <c r="M1953" i="2"/>
  <c r="M1919" i="2"/>
  <c r="M1881" i="2"/>
  <c r="M1837" i="2"/>
  <c r="M1798" i="2"/>
  <c r="M1754" i="2"/>
  <c r="M1712" i="2"/>
  <c r="M1670" i="2"/>
  <c r="M1618" i="2"/>
  <c r="M1557" i="2"/>
  <c r="M1513" i="2"/>
  <c r="M1445" i="2"/>
  <c r="M1375" i="2"/>
  <c r="M1303" i="2"/>
  <c r="M1228" i="2"/>
  <c r="M1156" i="2"/>
  <c r="M1053" i="2"/>
  <c r="M987" i="2"/>
  <c r="M904" i="2"/>
  <c r="M808" i="2"/>
  <c r="M727" i="2"/>
  <c r="M639" i="2"/>
  <c r="M551" i="2"/>
  <c r="M445" i="2"/>
  <c r="M330" i="2"/>
  <c r="M236" i="2"/>
  <c r="M46" i="2"/>
  <c r="M32" i="2"/>
  <c r="M18" i="2"/>
  <c r="M3219" i="2"/>
  <c r="M3202" i="2"/>
  <c r="M3187" i="2"/>
  <c r="M3171" i="2"/>
  <c r="M3154" i="2"/>
  <c r="M3139" i="2"/>
  <c r="M3123" i="2"/>
  <c r="M3106" i="2"/>
  <c r="M3091" i="2"/>
  <c r="M3075" i="2"/>
  <c r="M3058" i="2"/>
  <c r="M3043" i="2"/>
  <c r="M3027" i="2"/>
  <c r="M3010" i="2"/>
  <c r="M2995" i="2"/>
  <c r="M2979" i="2"/>
  <c r="M2962" i="2"/>
  <c r="M2947" i="2"/>
  <c r="M2931" i="2"/>
  <c r="M2914" i="2"/>
  <c r="M2899" i="2"/>
  <c r="M2883" i="2"/>
  <c r="M2866" i="2"/>
  <c r="M2851" i="2"/>
  <c r="M2835" i="2"/>
  <c r="M2818" i="2"/>
  <c r="M2803" i="2"/>
  <c r="M2787" i="2"/>
  <c r="M2770" i="2"/>
  <c r="M2755" i="2"/>
  <c r="M2739" i="2"/>
  <c r="M2722" i="2"/>
  <c r="M2707" i="2"/>
  <c r="M2687" i="2"/>
  <c r="M2671" i="2"/>
  <c r="M2651" i="2"/>
  <c r="M2635" i="2"/>
  <c r="M2615" i="2"/>
  <c r="M2599" i="2"/>
  <c r="M2579" i="2"/>
  <c r="M2563" i="2"/>
  <c r="M2541" i="2"/>
  <c r="M2517" i="2"/>
  <c r="M2498" i="2"/>
  <c r="M2474" i="2"/>
  <c r="M2450" i="2"/>
  <c r="M2432" i="2"/>
  <c r="M2408" i="2"/>
  <c r="M2384" i="2"/>
  <c r="M2360" i="2"/>
  <c r="M2341" i="2"/>
  <c r="M2317" i="2"/>
  <c r="M2293" i="2"/>
  <c r="M2274" i="2"/>
  <c r="M2250" i="2"/>
  <c r="M2226" i="2"/>
  <c r="M2202" i="2"/>
  <c r="M2184" i="2"/>
  <c r="M2160" i="2"/>
  <c r="M2136" i="2"/>
  <c r="M2117" i="2"/>
  <c r="M2093" i="2"/>
  <c r="M2069" i="2"/>
  <c r="M2045" i="2"/>
  <c r="M2027" i="2"/>
  <c r="M2003" i="2"/>
  <c r="M1977" i="2"/>
  <c r="M1952" i="2"/>
  <c r="M1918" i="2"/>
  <c r="M1880" i="2"/>
  <c r="M1836" i="2"/>
  <c r="M1797" i="2"/>
  <c r="M1753" i="2"/>
  <c r="M1711" i="2"/>
  <c r="M1663" i="2"/>
  <c r="M1606" i="2"/>
  <c r="M1556" i="2"/>
  <c r="M1504" i="2"/>
  <c r="M1444" i="2"/>
  <c r="M1374" i="2"/>
  <c r="M1288" i="2"/>
  <c r="M1227" i="2"/>
  <c r="M1148" i="2"/>
  <c r="M1052" i="2"/>
  <c r="M976" i="2"/>
  <c r="M883" i="2"/>
  <c r="M807" i="2"/>
  <c r="M724" i="2"/>
  <c r="M633" i="2"/>
  <c r="M550" i="2"/>
  <c r="M421" i="2"/>
  <c r="M328" i="2"/>
  <c r="M213" i="2"/>
  <c r="M45" i="2"/>
  <c r="M31" i="2"/>
  <c r="M17" i="2"/>
  <c r="M3217" i="2"/>
  <c r="M3201" i="2"/>
  <c r="M3186" i="2"/>
  <c r="M3169" i="2"/>
  <c r="M3153" i="2"/>
  <c r="M3138" i="2"/>
  <c r="M3121" i="2"/>
  <c r="M3105" i="2"/>
  <c r="M3090" i="2"/>
  <c r="M3073" i="2"/>
  <c r="M3057" i="2"/>
  <c r="M3042" i="2"/>
  <c r="M3025" i="2"/>
  <c r="M3009" i="2"/>
  <c r="M2994" i="2"/>
  <c r="M2977" i="2"/>
  <c r="M2961" i="2"/>
  <c r="M2946" i="2"/>
  <c r="M2929" i="2"/>
  <c r="M2913" i="2"/>
  <c r="M2898" i="2"/>
  <c r="M2881" i="2"/>
  <c r="M2865" i="2"/>
  <c r="M2850" i="2"/>
  <c r="M2833" i="2"/>
  <c r="M2817" i="2"/>
  <c r="M2802" i="2"/>
  <c r="M2785" i="2"/>
  <c r="M2769" i="2"/>
  <c r="M2754" i="2"/>
  <c r="M2737" i="2"/>
  <c r="M2721" i="2"/>
  <c r="M2706" i="2"/>
  <c r="M2686" i="2"/>
  <c r="M2670" i="2"/>
  <c r="M2650" i="2"/>
  <c r="M2634" i="2"/>
  <c r="M2614" i="2"/>
  <c r="M2598" i="2"/>
  <c r="M2578" i="2"/>
  <c r="M2562" i="2"/>
  <c r="M2540" i="2"/>
  <c r="M2516" i="2"/>
  <c r="M2497" i="2"/>
  <c r="M2473" i="2"/>
  <c r="M2449" i="2"/>
  <c r="M2425" i="2"/>
  <c r="M2406" i="2"/>
  <c r="M2382" i="2"/>
  <c r="M2358" i="2"/>
  <c r="M2340" i="2"/>
  <c r="M2316" i="2"/>
  <c r="M2292" i="2"/>
  <c r="M2268" i="2"/>
  <c r="M2249" i="2"/>
  <c r="M2225" i="2"/>
  <c r="M2201" i="2"/>
  <c r="M2183" i="2"/>
  <c r="M2159" i="2"/>
  <c r="M2135" i="2"/>
  <c r="M2111" i="2"/>
  <c r="M2092" i="2"/>
  <c r="M2068" i="2"/>
  <c r="M2044" i="2"/>
  <c r="M2026" i="2"/>
  <c r="M2002" i="2"/>
  <c r="M1976" i="2"/>
  <c r="M1942" i="2"/>
  <c r="M1916" i="2"/>
  <c r="M1873" i="2"/>
  <c r="M1834" i="2"/>
  <c r="M1790" i="2"/>
  <c r="M1751" i="2"/>
  <c r="M1709" i="2"/>
  <c r="M1661" i="2"/>
  <c r="M1605" i="2"/>
  <c r="M1555" i="2"/>
  <c r="M1492" i="2"/>
  <c r="M1443" i="2"/>
  <c r="M1371" i="2"/>
  <c r="M1287" i="2"/>
  <c r="M1217" i="2"/>
  <c r="M1132" i="2"/>
  <c r="M1051" i="2"/>
  <c r="M968" i="2"/>
  <c r="M882" i="2"/>
  <c r="M801" i="2"/>
  <c r="M703" i="2"/>
  <c r="M626" i="2"/>
  <c r="M536" i="2"/>
  <c r="M420" i="2"/>
  <c r="M327" i="2"/>
  <c r="M3221" i="2"/>
  <c r="M63" i="2"/>
  <c r="M75" i="2"/>
  <c r="M87" i="2"/>
  <c r="M99" i="2"/>
  <c r="M111" i="2"/>
  <c r="M123" i="2"/>
  <c r="M135" i="2"/>
  <c r="M64" i="2"/>
  <c r="M76" i="2"/>
  <c r="M88" i="2"/>
  <c r="M100" i="2"/>
  <c r="M112" i="2"/>
  <c r="M124" i="2"/>
  <c r="M136" i="2"/>
  <c r="M65" i="2"/>
  <c r="M77" i="2"/>
  <c r="M89" i="2"/>
  <c r="M101" i="2"/>
  <c r="M113" i="2"/>
  <c r="M125" i="2"/>
  <c r="M137" i="2"/>
  <c r="M149" i="2"/>
  <c r="M161" i="2"/>
  <c r="M173" i="2"/>
  <c r="M185" i="2"/>
  <c r="M197" i="2"/>
  <c r="M209" i="2"/>
  <c r="M221" i="2"/>
  <c r="M233" i="2"/>
  <c r="M245" i="2"/>
  <c r="M257" i="2"/>
  <c r="M269" i="2"/>
  <c r="M281" i="2"/>
  <c r="M293" i="2"/>
  <c r="M305" i="2"/>
  <c r="M317" i="2"/>
  <c r="M329" i="2"/>
  <c r="M341" i="2"/>
  <c r="M353" i="2"/>
  <c r="M365" i="2"/>
  <c r="M377" i="2"/>
  <c r="M389" i="2"/>
  <c r="M401" i="2"/>
  <c r="M413" i="2"/>
  <c r="M425" i="2"/>
  <c r="M437" i="2"/>
  <c r="M449" i="2"/>
  <c r="M461" i="2"/>
  <c r="M473" i="2"/>
  <c r="M485" i="2"/>
  <c r="M497" i="2"/>
  <c r="M509" i="2"/>
  <c r="M521" i="2"/>
  <c r="M533" i="2"/>
  <c r="M545" i="2"/>
  <c r="M557" i="2"/>
  <c r="M569" i="2"/>
  <c r="M581" i="2"/>
  <c r="M593" i="2"/>
  <c r="M605" i="2"/>
  <c r="M617" i="2"/>
  <c r="M629" i="2"/>
  <c r="M66" i="2"/>
  <c r="M78" i="2"/>
  <c r="M90" i="2"/>
  <c r="M102" i="2"/>
  <c r="M114" i="2"/>
  <c r="M126" i="2"/>
  <c r="M138" i="2"/>
  <c r="M67" i="2"/>
  <c r="M79" i="2"/>
  <c r="M91" i="2"/>
  <c r="M103" i="2"/>
  <c r="M115" i="2"/>
  <c r="M127" i="2"/>
  <c r="M139" i="2"/>
  <c r="M68" i="2"/>
  <c r="M80" i="2"/>
  <c r="M92" i="2"/>
  <c r="M104" i="2"/>
  <c r="M116" i="2"/>
  <c r="M128" i="2"/>
  <c r="M60" i="2"/>
  <c r="M84" i="2"/>
  <c r="M108" i="2"/>
  <c r="M132" i="2"/>
  <c r="M150" i="2"/>
  <c r="M163" i="2"/>
  <c r="M176" i="2"/>
  <c r="M189" i="2"/>
  <c r="M202" i="2"/>
  <c r="M215" i="2"/>
  <c r="M228" i="2"/>
  <c r="M241" i="2"/>
  <c r="M254" i="2"/>
  <c r="M267" i="2"/>
  <c r="M280" i="2"/>
  <c r="M294" i="2"/>
  <c r="M307" i="2"/>
  <c r="M320" i="2"/>
  <c r="M333" i="2"/>
  <c r="M346" i="2"/>
  <c r="M359" i="2"/>
  <c r="M372" i="2"/>
  <c r="M385" i="2"/>
  <c r="M398" i="2"/>
  <c r="M411" i="2"/>
  <c r="M424" i="2"/>
  <c r="M438" i="2"/>
  <c r="M451" i="2"/>
  <c r="M464" i="2"/>
  <c r="M477" i="2"/>
  <c r="M490" i="2"/>
  <c r="M503" i="2"/>
  <c r="M516" i="2"/>
  <c r="M529" i="2"/>
  <c r="M542" i="2"/>
  <c r="M555" i="2"/>
  <c r="M568" i="2"/>
  <c r="M582" i="2"/>
  <c r="M595" i="2"/>
  <c r="M608" i="2"/>
  <c r="M621" i="2"/>
  <c r="M634" i="2"/>
  <c r="M646" i="2"/>
  <c r="M658" i="2"/>
  <c r="M670" i="2"/>
  <c r="M682" i="2"/>
  <c r="M694" i="2"/>
  <c r="M706" i="2"/>
  <c r="M718" i="2"/>
  <c r="M730" i="2"/>
  <c r="M742" i="2"/>
  <c r="M754" i="2"/>
  <c r="M766" i="2"/>
  <c r="M778" i="2"/>
  <c r="M790" i="2"/>
  <c r="M802" i="2"/>
  <c r="M814" i="2"/>
  <c r="M826" i="2"/>
  <c r="M838" i="2"/>
  <c r="M850" i="2"/>
  <c r="M862" i="2"/>
  <c r="M874" i="2"/>
  <c r="M886" i="2"/>
  <c r="M898" i="2"/>
  <c r="M910" i="2"/>
  <c r="M922" i="2"/>
  <c r="M934" i="2"/>
  <c r="M946" i="2"/>
  <c r="M958" i="2"/>
  <c r="M970" i="2"/>
  <c r="M982" i="2"/>
  <c r="M994" i="2"/>
  <c r="M1006" i="2"/>
  <c r="M1018" i="2"/>
  <c r="M1030" i="2"/>
  <c r="M1042" i="2"/>
  <c r="M1054" i="2"/>
  <c r="M1066" i="2"/>
  <c r="M1078" i="2"/>
  <c r="M1090" i="2"/>
  <c r="M1102" i="2"/>
  <c r="M1114" i="2"/>
  <c r="M1126" i="2"/>
  <c r="M1138" i="2"/>
  <c r="M1150" i="2"/>
  <c r="M1162" i="2"/>
  <c r="M1174" i="2"/>
  <c r="M1186" i="2"/>
  <c r="M1198" i="2"/>
  <c r="M1210" i="2"/>
  <c r="M1222" i="2"/>
  <c r="M1234" i="2"/>
  <c r="M1246" i="2"/>
  <c r="M1258" i="2"/>
  <c r="M1270" i="2"/>
  <c r="M1282" i="2"/>
  <c r="M1294" i="2"/>
  <c r="M1306" i="2"/>
  <c r="M1318" i="2"/>
  <c r="M1330" i="2"/>
  <c r="M1342" i="2"/>
  <c r="M1354" i="2"/>
  <c r="M1366" i="2"/>
  <c r="M1378" i="2"/>
  <c r="M1390" i="2"/>
  <c r="M1402" i="2"/>
  <c r="M1414" i="2"/>
  <c r="M1426" i="2"/>
  <c r="M1438" i="2"/>
  <c r="M1450" i="2"/>
  <c r="M1462" i="2"/>
  <c r="M61" i="2"/>
  <c r="M85" i="2"/>
  <c r="M109" i="2"/>
  <c r="M133" i="2"/>
  <c r="M151" i="2"/>
  <c r="M164" i="2"/>
  <c r="M177" i="2"/>
  <c r="M190" i="2"/>
  <c r="M203" i="2"/>
  <c r="M216" i="2"/>
  <c r="M229" i="2"/>
  <c r="M242" i="2"/>
  <c r="M255" i="2"/>
  <c r="M268" i="2"/>
  <c r="M282" i="2"/>
  <c r="M295" i="2"/>
  <c r="M308" i="2"/>
  <c r="M321" i="2"/>
  <c r="M334" i="2"/>
  <c r="M347" i="2"/>
  <c r="M360" i="2"/>
  <c r="M373" i="2"/>
  <c r="M386" i="2"/>
  <c r="M399" i="2"/>
  <c r="M412" i="2"/>
  <c r="M426" i="2"/>
  <c r="M439" i="2"/>
  <c r="M452" i="2"/>
  <c r="M465" i="2"/>
  <c r="M478" i="2"/>
  <c r="M491" i="2"/>
  <c r="M504" i="2"/>
  <c r="M517" i="2"/>
  <c r="M530" i="2"/>
  <c r="M543" i="2"/>
  <c r="M556" i="2"/>
  <c r="M570" i="2"/>
  <c r="M583" i="2"/>
  <c r="M596" i="2"/>
  <c r="M609" i="2"/>
  <c r="M622" i="2"/>
  <c r="M635" i="2"/>
  <c r="M647" i="2"/>
  <c r="M659" i="2"/>
  <c r="M671" i="2"/>
  <c r="M683" i="2"/>
  <c r="M695" i="2"/>
  <c r="M707" i="2"/>
  <c r="M719" i="2"/>
  <c r="M731" i="2"/>
  <c r="M743" i="2"/>
  <c r="M755" i="2"/>
  <c r="M767" i="2"/>
  <c r="M779" i="2"/>
  <c r="M791" i="2"/>
  <c r="M803" i="2"/>
  <c r="M815" i="2"/>
  <c r="M827" i="2"/>
  <c r="M839" i="2"/>
  <c r="M851" i="2"/>
  <c r="M863" i="2"/>
  <c r="M875" i="2"/>
  <c r="M887" i="2"/>
  <c r="M899" i="2"/>
  <c r="M911" i="2"/>
  <c r="M923" i="2"/>
  <c r="M935" i="2"/>
  <c r="M947" i="2"/>
  <c r="M959" i="2"/>
  <c r="M971" i="2"/>
  <c r="M983" i="2"/>
  <c r="M995" i="2"/>
  <c r="M1007" i="2"/>
  <c r="M1019" i="2"/>
  <c r="M1031" i="2"/>
  <c r="M1043" i="2"/>
  <c r="M1055" i="2"/>
  <c r="M1067" i="2"/>
  <c r="M1079" i="2"/>
  <c r="M1091" i="2"/>
  <c r="M1103" i="2"/>
  <c r="M1115" i="2"/>
  <c r="M1127" i="2"/>
  <c r="M1139" i="2"/>
  <c r="M1151" i="2"/>
  <c r="M1163" i="2"/>
  <c r="M1175" i="2"/>
  <c r="M62" i="2"/>
  <c r="M86" i="2"/>
  <c r="M110" i="2"/>
  <c r="M134" i="2"/>
  <c r="M152" i="2"/>
  <c r="M165" i="2"/>
  <c r="M178" i="2"/>
  <c r="M191" i="2"/>
  <c r="M204" i="2"/>
  <c r="M217" i="2"/>
  <c r="M230" i="2"/>
  <c r="M243" i="2"/>
  <c r="M256" i="2"/>
  <c r="M270" i="2"/>
  <c r="M283" i="2"/>
  <c r="M296" i="2"/>
  <c r="M309" i="2"/>
  <c r="M322" i="2"/>
  <c r="M335" i="2"/>
  <c r="M348" i="2"/>
  <c r="M361" i="2"/>
  <c r="M374" i="2"/>
  <c r="M387" i="2"/>
  <c r="M400" i="2"/>
  <c r="M414" i="2"/>
  <c r="M427" i="2"/>
  <c r="M440" i="2"/>
  <c r="M453" i="2"/>
  <c r="M466" i="2"/>
  <c r="M479" i="2"/>
  <c r="M492" i="2"/>
  <c r="M505" i="2"/>
  <c r="M518" i="2"/>
  <c r="M531" i="2"/>
  <c r="M544" i="2"/>
  <c r="M558" i="2"/>
  <c r="M571" i="2"/>
  <c r="M584" i="2"/>
  <c r="M597" i="2"/>
  <c r="M610" i="2"/>
  <c r="M623" i="2"/>
  <c r="M636" i="2"/>
  <c r="M648" i="2"/>
  <c r="M660" i="2"/>
  <c r="M672" i="2"/>
  <c r="M684" i="2"/>
  <c r="M696" i="2"/>
  <c r="M708" i="2"/>
  <c r="M720" i="2"/>
  <c r="M732" i="2"/>
  <c r="M744" i="2"/>
  <c r="M756" i="2"/>
  <c r="M768" i="2"/>
  <c r="M780" i="2"/>
  <c r="M792" i="2"/>
  <c r="M804" i="2"/>
  <c r="M816" i="2"/>
  <c r="M828" i="2"/>
  <c r="M840" i="2"/>
  <c r="M852" i="2"/>
  <c r="M864" i="2"/>
  <c r="M876" i="2"/>
  <c r="M888" i="2"/>
  <c r="M900" i="2"/>
  <c r="M912" i="2"/>
  <c r="M924" i="2"/>
  <c r="M936" i="2"/>
  <c r="M948" i="2"/>
  <c r="M960" i="2"/>
  <c r="M972" i="2"/>
  <c r="M984" i="2"/>
  <c r="M996" i="2"/>
  <c r="M1008" i="2"/>
  <c r="M1020" i="2"/>
  <c r="M1032" i="2"/>
  <c r="M1044" i="2"/>
  <c r="M1056" i="2"/>
  <c r="M1068" i="2"/>
  <c r="M1080" i="2"/>
  <c r="M1092" i="2"/>
  <c r="M1104" i="2"/>
  <c r="M1116" i="2"/>
  <c r="M1128" i="2"/>
  <c r="M1140" i="2"/>
  <c r="M1152" i="2"/>
  <c r="M1164" i="2"/>
  <c r="M1176" i="2"/>
  <c r="M1188" i="2"/>
  <c r="M1200" i="2"/>
  <c r="M1212" i="2"/>
  <c r="M1224" i="2"/>
  <c r="M1236" i="2"/>
  <c r="M1248" i="2"/>
  <c r="M1260" i="2"/>
  <c r="M1272" i="2"/>
  <c r="M1284" i="2"/>
  <c r="M1296" i="2"/>
  <c r="M1308" i="2"/>
  <c r="M1320" i="2"/>
  <c r="M1332" i="2"/>
  <c r="M1344" i="2"/>
  <c r="M1356" i="2"/>
  <c r="M1368" i="2"/>
  <c r="M1380" i="2"/>
  <c r="M1392" i="2"/>
  <c r="M1404" i="2"/>
  <c r="M1416" i="2"/>
  <c r="M1428" i="2"/>
  <c r="M1440" i="2"/>
  <c r="M1452" i="2"/>
  <c r="M1464" i="2"/>
  <c r="M1476" i="2"/>
  <c r="M1488" i="2"/>
  <c r="M1500" i="2"/>
  <c r="M1512" i="2"/>
  <c r="M1524" i="2"/>
  <c r="M1536" i="2"/>
  <c r="M1548" i="2"/>
  <c r="M1560" i="2"/>
  <c r="M1572" i="2"/>
  <c r="M1584" i="2"/>
  <c r="M1596" i="2"/>
  <c r="M1608" i="2"/>
  <c r="M1620" i="2"/>
  <c r="M1632" i="2"/>
  <c r="M1644" i="2"/>
  <c r="M1656" i="2"/>
  <c r="M1668" i="2"/>
  <c r="M1680" i="2"/>
  <c r="M1692" i="2"/>
  <c r="M1704" i="2"/>
  <c r="M1716" i="2"/>
  <c r="M1728" i="2"/>
  <c r="M1740" i="2"/>
  <c r="M69" i="2"/>
  <c r="M93" i="2"/>
  <c r="M117" i="2"/>
  <c r="M140" i="2"/>
  <c r="M153" i="2"/>
  <c r="M166" i="2"/>
  <c r="M179" i="2"/>
  <c r="M192" i="2"/>
  <c r="M205" i="2"/>
  <c r="M218" i="2"/>
  <c r="M231" i="2"/>
  <c r="M244" i="2"/>
  <c r="M258" i="2"/>
  <c r="M271" i="2"/>
  <c r="M284" i="2"/>
  <c r="M297" i="2"/>
  <c r="M310" i="2"/>
  <c r="M323" i="2"/>
  <c r="M336" i="2"/>
  <c r="M349" i="2"/>
  <c r="M362" i="2"/>
  <c r="M375" i="2"/>
  <c r="M388" i="2"/>
  <c r="M402" i="2"/>
  <c r="M415" i="2"/>
  <c r="M428" i="2"/>
  <c r="M441" i="2"/>
  <c r="M454" i="2"/>
  <c r="M467" i="2"/>
  <c r="M480" i="2"/>
  <c r="M493" i="2"/>
  <c r="M506" i="2"/>
  <c r="M519" i="2"/>
  <c r="M532" i="2"/>
  <c r="M546" i="2"/>
  <c r="M559" i="2"/>
  <c r="M572" i="2"/>
  <c r="M585" i="2"/>
  <c r="M598" i="2"/>
  <c r="M611" i="2"/>
  <c r="M624" i="2"/>
  <c r="M637" i="2"/>
  <c r="M649" i="2"/>
  <c r="M661" i="2"/>
  <c r="M673" i="2"/>
  <c r="M685" i="2"/>
  <c r="M697" i="2"/>
  <c r="M709" i="2"/>
  <c r="M721" i="2"/>
  <c r="M733" i="2"/>
  <c r="M745" i="2"/>
  <c r="M757" i="2"/>
  <c r="M769" i="2"/>
  <c r="M781" i="2"/>
  <c r="M793" i="2"/>
  <c r="M805" i="2"/>
  <c r="M817" i="2"/>
  <c r="M829" i="2"/>
  <c r="M841" i="2"/>
  <c r="M853" i="2"/>
  <c r="M865" i="2"/>
  <c r="M877" i="2"/>
  <c r="M889" i="2"/>
  <c r="M901" i="2"/>
  <c r="M913" i="2"/>
  <c r="M925" i="2"/>
  <c r="M937" i="2"/>
  <c r="M949" i="2"/>
  <c r="M961" i="2"/>
  <c r="M973" i="2"/>
  <c r="M985" i="2"/>
  <c r="M997" i="2"/>
  <c r="M1009" i="2"/>
  <c r="M1021" i="2"/>
  <c r="M1033" i="2"/>
  <c r="M1045" i="2"/>
  <c r="M1057" i="2"/>
  <c r="M1069" i="2"/>
  <c r="M1081" i="2"/>
  <c r="M1093" i="2"/>
  <c r="M1105" i="2"/>
  <c r="M1117" i="2"/>
  <c r="M1129" i="2"/>
  <c r="M1141" i="2"/>
  <c r="M1153" i="2"/>
  <c r="M1165" i="2"/>
  <c r="M1177" i="2"/>
  <c r="M1189" i="2"/>
  <c r="M1201" i="2"/>
  <c r="M1213" i="2"/>
  <c r="M1225" i="2"/>
  <c r="M1237" i="2"/>
  <c r="M1249" i="2"/>
  <c r="M1261" i="2"/>
  <c r="M1273" i="2"/>
  <c r="M1285" i="2"/>
  <c r="M1297" i="2"/>
  <c r="M1309" i="2"/>
  <c r="M1321" i="2"/>
  <c r="M1333" i="2"/>
  <c r="M1345" i="2"/>
  <c r="M1357" i="2"/>
  <c r="M1369" i="2"/>
  <c r="M1381" i="2"/>
  <c r="M1393" i="2"/>
  <c r="M1405" i="2"/>
  <c r="M1417" i="2"/>
  <c r="M1429" i="2"/>
  <c r="M1441" i="2"/>
  <c r="M1453" i="2"/>
  <c r="M70" i="2"/>
  <c r="M94" i="2"/>
  <c r="M118" i="2"/>
  <c r="M141" i="2"/>
  <c r="M154" i="2"/>
  <c r="M167" i="2"/>
  <c r="M180" i="2"/>
  <c r="M193" i="2"/>
  <c r="M206" i="2"/>
  <c r="M219" i="2"/>
  <c r="M232" i="2"/>
  <c r="M246" i="2"/>
  <c r="M259" i="2"/>
  <c r="M272" i="2"/>
  <c r="M285" i="2"/>
  <c r="M298" i="2"/>
  <c r="M311" i="2"/>
  <c r="M324" i="2"/>
  <c r="M337" i="2"/>
  <c r="M350" i="2"/>
  <c r="M363" i="2"/>
  <c r="M376" i="2"/>
  <c r="M390" i="2"/>
  <c r="M403" i="2"/>
  <c r="M416" i="2"/>
  <c r="M429" i="2"/>
  <c r="M442" i="2"/>
  <c r="M455" i="2"/>
  <c r="M468" i="2"/>
  <c r="M481" i="2"/>
  <c r="M494" i="2"/>
  <c r="M507" i="2"/>
  <c r="M520" i="2"/>
  <c r="M534" i="2"/>
  <c r="M547" i="2"/>
  <c r="M560" i="2"/>
  <c r="M573" i="2"/>
  <c r="M586" i="2"/>
  <c r="M599" i="2"/>
  <c r="M612" i="2"/>
  <c r="M625" i="2"/>
  <c r="M638" i="2"/>
  <c r="M650" i="2"/>
  <c r="M662" i="2"/>
  <c r="M674" i="2"/>
  <c r="M686" i="2"/>
  <c r="M698" i="2"/>
  <c r="M710" i="2"/>
  <c r="M722" i="2"/>
  <c r="M734" i="2"/>
  <c r="M746" i="2"/>
  <c r="M758" i="2"/>
  <c r="M770" i="2"/>
  <c r="M782" i="2"/>
  <c r="M794" i="2"/>
  <c r="M806" i="2"/>
  <c r="M818" i="2"/>
  <c r="M830" i="2"/>
  <c r="M842" i="2"/>
  <c r="M854" i="2"/>
  <c r="M866" i="2"/>
  <c r="M878" i="2"/>
  <c r="M890" i="2"/>
  <c r="M902" i="2"/>
  <c r="M914" i="2"/>
  <c r="M926" i="2"/>
  <c r="M938" i="2"/>
  <c r="M950" i="2"/>
  <c r="M962" i="2"/>
  <c r="M974" i="2"/>
  <c r="M986" i="2"/>
  <c r="M998" i="2"/>
  <c r="M1010" i="2"/>
  <c r="M1022" i="2"/>
  <c r="M1034" i="2"/>
  <c r="M1046" i="2"/>
  <c r="M1058" i="2"/>
  <c r="M1070" i="2"/>
  <c r="M1082" i="2"/>
  <c r="M1094" i="2"/>
  <c r="M1106" i="2"/>
  <c r="M1118" i="2"/>
  <c r="M1130" i="2"/>
  <c r="M1142" i="2"/>
  <c r="M1154" i="2"/>
  <c r="M1166" i="2"/>
  <c r="M1178" i="2"/>
  <c r="M1190" i="2"/>
  <c r="M1202" i="2"/>
  <c r="M1214" i="2"/>
  <c r="M1226" i="2"/>
  <c r="M1238" i="2"/>
  <c r="M1250" i="2"/>
  <c r="M1262" i="2"/>
  <c r="M1274" i="2"/>
  <c r="M1286" i="2"/>
  <c r="M1298" i="2"/>
  <c r="M1310" i="2"/>
  <c r="M1322" i="2"/>
  <c r="M1334" i="2"/>
  <c r="M1346" i="2"/>
  <c r="M1358" i="2"/>
  <c r="M1370" i="2"/>
  <c r="M1382" i="2"/>
  <c r="M1394" i="2"/>
  <c r="M1406" i="2"/>
  <c r="M1418" i="2"/>
  <c r="M1430" i="2"/>
  <c r="M1442" i="2"/>
  <c r="M1454" i="2"/>
  <c r="M72" i="2"/>
  <c r="M96" i="2"/>
  <c r="M120" i="2"/>
  <c r="M143" i="2"/>
  <c r="M156" i="2"/>
  <c r="M169" i="2"/>
  <c r="M182" i="2"/>
  <c r="M195" i="2"/>
  <c r="M208" i="2"/>
  <c r="M222" i="2"/>
  <c r="M235" i="2"/>
  <c r="M248" i="2"/>
  <c r="M83" i="2"/>
  <c r="M131" i="2"/>
  <c r="M162" i="2"/>
  <c r="M188" i="2"/>
  <c r="M214" i="2"/>
  <c r="M240" i="2"/>
  <c r="M265" i="2"/>
  <c r="M289" i="2"/>
  <c r="M313" i="2"/>
  <c r="M332" i="2"/>
  <c r="M356" i="2"/>
  <c r="M380" i="2"/>
  <c r="M404" i="2"/>
  <c r="M422" i="2"/>
  <c r="M446" i="2"/>
  <c r="M470" i="2"/>
  <c r="M489" i="2"/>
  <c r="M513" i="2"/>
  <c r="M537" i="2"/>
  <c r="M561" i="2"/>
  <c r="M579" i="2"/>
  <c r="M603" i="2"/>
  <c r="M627" i="2"/>
  <c r="M645" i="2"/>
  <c r="M667" i="2"/>
  <c r="M689" i="2"/>
  <c r="M711" i="2"/>
  <c r="M728" i="2"/>
  <c r="M750" i="2"/>
  <c r="M772" i="2"/>
  <c r="M789" i="2"/>
  <c r="M811" i="2"/>
  <c r="M833" i="2"/>
  <c r="M855" i="2"/>
  <c r="M872" i="2"/>
  <c r="M894" i="2"/>
  <c r="M916" i="2"/>
  <c r="M933" i="2"/>
  <c r="M955" i="2"/>
  <c r="M977" i="2"/>
  <c r="M999" i="2"/>
  <c r="M1016" i="2"/>
  <c r="M1038" i="2"/>
  <c r="M1060" i="2"/>
  <c r="M1077" i="2"/>
  <c r="M1099" i="2"/>
  <c r="M1121" i="2"/>
  <c r="M1143" i="2"/>
  <c r="M1160" i="2"/>
  <c r="M1182" i="2"/>
  <c r="M1199" i="2"/>
  <c r="M1218" i="2"/>
  <c r="M1235" i="2"/>
  <c r="M1254" i="2"/>
  <c r="M1271" i="2"/>
  <c r="M1290" i="2"/>
  <c r="M1307" i="2"/>
  <c r="M1326" i="2"/>
  <c r="M1343" i="2"/>
  <c r="M1362" i="2"/>
  <c r="M1379" i="2"/>
  <c r="M1398" i="2"/>
  <c r="M1415" i="2"/>
  <c r="M1434" i="2"/>
  <c r="M1451" i="2"/>
  <c r="M1468" i="2"/>
  <c r="M1481" i="2"/>
  <c r="M1494" i="2"/>
  <c r="M1507" i="2"/>
  <c r="M1520" i="2"/>
  <c r="M1533" i="2"/>
  <c r="M1546" i="2"/>
  <c r="M1559" i="2"/>
  <c r="M1573" i="2"/>
  <c r="M1586" i="2"/>
  <c r="M1599" i="2"/>
  <c r="M1612" i="2"/>
  <c r="M1625" i="2"/>
  <c r="M1638" i="2"/>
  <c r="M1651" i="2"/>
  <c r="M1664" i="2"/>
  <c r="M1677" i="2"/>
  <c r="M1690" i="2"/>
  <c r="M1703" i="2"/>
  <c r="M1717" i="2"/>
  <c r="M1730" i="2"/>
  <c r="M1743" i="2"/>
  <c r="M1755" i="2"/>
  <c r="M1767" i="2"/>
  <c r="M1779" i="2"/>
  <c r="M1791" i="2"/>
  <c r="M1803" i="2"/>
  <c r="M1815" i="2"/>
  <c r="M1827" i="2"/>
  <c r="M1839" i="2"/>
  <c r="M1851" i="2"/>
  <c r="M1863" i="2"/>
  <c r="M1875" i="2"/>
  <c r="M1887" i="2"/>
  <c r="M1899" i="2"/>
  <c r="M1911" i="2"/>
  <c r="M1923" i="2"/>
  <c r="M1935" i="2"/>
  <c r="M1947" i="2"/>
  <c r="M1959" i="2"/>
  <c r="M1971" i="2"/>
  <c r="M1983" i="2"/>
  <c r="M95" i="2"/>
  <c r="M142" i="2"/>
  <c r="M168" i="2"/>
  <c r="M194" i="2"/>
  <c r="M220" i="2"/>
  <c r="M247" i="2"/>
  <c r="M266" i="2"/>
  <c r="M290" i="2"/>
  <c r="M314" i="2"/>
  <c r="M338" i="2"/>
  <c r="M357" i="2"/>
  <c r="M381" i="2"/>
  <c r="M405" i="2"/>
  <c r="M423" i="2"/>
  <c r="M447" i="2"/>
  <c r="M471" i="2"/>
  <c r="M495" i="2"/>
  <c r="M514" i="2"/>
  <c r="M538" i="2"/>
  <c r="M562" i="2"/>
  <c r="M580" i="2"/>
  <c r="M604" i="2"/>
  <c r="M628" i="2"/>
  <c r="M651" i="2"/>
  <c r="M668" i="2"/>
  <c r="M690" i="2"/>
  <c r="M712" i="2"/>
  <c r="M729" i="2"/>
  <c r="M751" i="2"/>
  <c r="M773" i="2"/>
  <c r="M795" i="2"/>
  <c r="M812" i="2"/>
  <c r="M834" i="2"/>
  <c r="M856" i="2"/>
  <c r="M873" i="2"/>
  <c r="M895" i="2"/>
  <c r="M917" i="2"/>
  <c r="M939" i="2"/>
  <c r="M956" i="2"/>
  <c r="M978" i="2"/>
  <c r="M1000" i="2"/>
  <c r="M1017" i="2"/>
  <c r="M1039" i="2"/>
  <c r="M1061" i="2"/>
  <c r="M1083" i="2"/>
  <c r="M1100" i="2"/>
  <c r="M1122" i="2"/>
  <c r="M1144" i="2"/>
  <c r="M1161" i="2"/>
  <c r="M1183" i="2"/>
  <c r="M1203" i="2"/>
  <c r="M1219" i="2"/>
  <c r="M1239" i="2"/>
  <c r="M1255" i="2"/>
  <c r="M1275" i="2"/>
  <c r="M1291" i="2"/>
  <c r="M1311" i="2"/>
  <c r="M1327" i="2"/>
  <c r="M1347" i="2"/>
  <c r="M1363" i="2"/>
  <c r="M1383" i="2"/>
  <c r="M1399" i="2"/>
  <c r="M1419" i="2"/>
  <c r="M1435" i="2"/>
  <c r="M1455" i="2"/>
  <c r="M1469" i="2"/>
  <c r="M1482" i="2"/>
  <c r="M1495" i="2"/>
  <c r="M1508" i="2"/>
  <c r="M1521" i="2"/>
  <c r="M1534" i="2"/>
  <c r="M1547" i="2"/>
  <c r="M1561" i="2"/>
  <c r="M1574" i="2"/>
  <c r="M1587" i="2"/>
  <c r="M1600" i="2"/>
  <c r="M1613" i="2"/>
  <c r="M1626" i="2"/>
  <c r="M1639" i="2"/>
  <c r="M1652" i="2"/>
  <c r="M1665" i="2"/>
  <c r="M1678" i="2"/>
  <c r="M1691" i="2"/>
  <c r="M1705" i="2"/>
  <c r="M1718" i="2"/>
  <c r="M1731" i="2"/>
  <c r="M1744" i="2"/>
  <c r="M1756" i="2"/>
  <c r="M1768" i="2"/>
  <c r="M1780" i="2"/>
  <c r="M1792" i="2"/>
  <c r="M1804" i="2"/>
  <c r="M1816" i="2"/>
  <c r="M1828" i="2"/>
  <c r="M1840" i="2"/>
  <c r="M1852" i="2"/>
  <c r="M1864" i="2"/>
  <c r="M1876" i="2"/>
  <c r="M1888" i="2"/>
  <c r="M1900" i="2"/>
  <c r="M1912" i="2"/>
  <c r="M1924" i="2"/>
  <c r="M1936" i="2"/>
  <c r="M1948" i="2"/>
  <c r="M1960" i="2"/>
  <c r="M1972" i="2"/>
  <c r="M1984" i="2"/>
  <c r="M97" i="2"/>
  <c r="M144" i="2"/>
  <c r="M170" i="2"/>
  <c r="M196" i="2"/>
  <c r="M223" i="2"/>
  <c r="M249" i="2"/>
  <c r="M273" i="2"/>
  <c r="M291" i="2"/>
  <c r="M315" i="2"/>
  <c r="M339" i="2"/>
  <c r="M358" i="2"/>
  <c r="M382" i="2"/>
  <c r="M406" i="2"/>
  <c r="M430" i="2"/>
  <c r="M448" i="2"/>
  <c r="M472" i="2"/>
  <c r="M496" i="2"/>
  <c r="M515" i="2"/>
  <c r="M539" i="2"/>
  <c r="M563" i="2"/>
  <c r="M587" i="2"/>
  <c r="M606" i="2"/>
  <c r="M630" i="2"/>
  <c r="M652" i="2"/>
  <c r="M669" i="2"/>
  <c r="M691" i="2"/>
  <c r="M713" i="2"/>
  <c r="M735" i="2"/>
  <c r="M752" i="2"/>
  <c r="M774" i="2"/>
  <c r="M796" i="2"/>
  <c r="M813" i="2"/>
  <c r="M835" i="2"/>
  <c r="M857" i="2"/>
  <c r="M879" i="2"/>
  <c r="M896" i="2"/>
  <c r="M918" i="2"/>
  <c r="M940" i="2"/>
  <c r="M957" i="2"/>
  <c r="M979" i="2"/>
  <c r="M1001" i="2"/>
  <c r="M1023" i="2"/>
  <c r="M1040" i="2"/>
  <c r="M1062" i="2"/>
  <c r="M1084" i="2"/>
  <c r="M1101" i="2"/>
  <c r="M1123" i="2"/>
  <c r="M1145" i="2"/>
  <c r="M1167" i="2"/>
  <c r="M1184" i="2"/>
  <c r="M1204" i="2"/>
  <c r="M1220" i="2"/>
  <c r="M1240" i="2"/>
  <c r="M1256" i="2"/>
  <c r="M1276" i="2"/>
  <c r="M1292" i="2"/>
  <c r="M1312" i="2"/>
  <c r="M1328" i="2"/>
  <c r="M1348" i="2"/>
  <c r="M1364" i="2"/>
  <c r="M1384" i="2"/>
  <c r="M1400" i="2"/>
  <c r="M1420" i="2"/>
  <c r="M1436" i="2"/>
  <c r="M1456" i="2"/>
  <c r="M1470" i="2"/>
  <c r="M1483" i="2"/>
  <c r="M1496" i="2"/>
  <c r="M1509" i="2"/>
  <c r="M1522" i="2"/>
  <c r="M1535" i="2"/>
  <c r="M1549" i="2"/>
  <c r="M1562" i="2"/>
  <c r="M1575" i="2"/>
  <c r="M1588" i="2"/>
  <c r="M1601" i="2"/>
  <c r="M1614" i="2"/>
  <c r="M1627" i="2"/>
  <c r="M1640" i="2"/>
  <c r="M1653" i="2"/>
  <c r="M1666" i="2"/>
  <c r="M1679" i="2"/>
  <c r="M1693" i="2"/>
  <c r="M1706" i="2"/>
  <c r="M1719" i="2"/>
  <c r="M1732" i="2"/>
  <c r="M1745" i="2"/>
  <c r="M1757" i="2"/>
  <c r="M1769" i="2"/>
  <c r="M1781" i="2"/>
  <c r="M1793" i="2"/>
  <c r="M1805" i="2"/>
  <c r="M1817" i="2"/>
  <c r="M1829" i="2"/>
  <c r="M1841" i="2"/>
  <c r="M1853" i="2"/>
  <c r="M1865" i="2"/>
  <c r="M1877" i="2"/>
  <c r="M1889" i="2"/>
  <c r="M1901" i="2"/>
  <c r="M1913" i="2"/>
  <c r="M1925" i="2"/>
  <c r="M1937" i="2"/>
  <c r="M1949" i="2"/>
  <c r="M1961" i="2"/>
  <c r="M1973" i="2"/>
  <c r="M98" i="2"/>
  <c r="M145" i="2"/>
  <c r="M171" i="2"/>
  <c r="M198" i="2"/>
  <c r="M224" i="2"/>
  <c r="M250" i="2"/>
  <c r="M274" i="2"/>
  <c r="M292" i="2"/>
  <c r="M316" i="2"/>
  <c r="M340" i="2"/>
  <c r="M364" i="2"/>
  <c r="M383" i="2"/>
  <c r="M407" i="2"/>
  <c r="M431" i="2"/>
  <c r="M450" i="2"/>
  <c r="M474" i="2"/>
  <c r="M498" i="2"/>
  <c r="M522" i="2"/>
  <c r="M540" i="2"/>
  <c r="M564" i="2"/>
  <c r="M588" i="2"/>
  <c r="M607" i="2"/>
  <c r="M631" i="2"/>
  <c r="M653" i="2"/>
  <c r="M675" i="2"/>
  <c r="M692" i="2"/>
  <c r="M714" i="2"/>
  <c r="M736" i="2"/>
  <c r="M753" i="2"/>
  <c r="M775" i="2"/>
  <c r="M797" i="2"/>
  <c r="M819" i="2"/>
  <c r="M836" i="2"/>
  <c r="M858" i="2"/>
  <c r="M880" i="2"/>
  <c r="M897" i="2"/>
  <c r="M919" i="2"/>
  <c r="M941" i="2"/>
  <c r="M963" i="2"/>
  <c r="M980" i="2"/>
  <c r="M1002" i="2"/>
  <c r="M1024" i="2"/>
  <c r="M1041" i="2"/>
  <c r="M1063" i="2"/>
  <c r="M1085" i="2"/>
  <c r="M1107" i="2"/>
  <c r="M1124" i="2"/>
  <c r="M1146" i="2"/>
  <c r="M1168" i="2"/>
  <c r="M1185" i="2"/>
  <c r="M1205" i="2"/>
  <c r="M1221" i="2"/>
  <c r="M1241" i="2"/>
  <c r="M1257" i="2"/>
  <c r="M1277" i="2"/>
  <c r="M1293" i="2"/>
  <c r="M1313" i="2"/>
  <c r="M1329" i="2"/>
  <c r="M1349" i="2"/>
  <c r="M1365" i="2"/>
  <c r="M1385" i="2"/>
  <c r="M1401" i="2"/>
  <c r="M1421" i="2"/>
  <c r="M1437" i="2"/>
  <c r="M1457" i="2"/>
  <c r="M1471" i="2"/>
  <c r="M1484" i="2"/>
  <c r="M1497" i="2"/>
  <c r="M1510" i="2"/>
  <c r="M1523" i="2"/>
  <c r="M1537" i="2"/>
  <c r="M1550" i="2"/>
  <c r="M1563" i="2"/>
  <c r="M1576" i="2"/>
  <c r="M1589" i="2"/>
  <c r="M1602" i="2"/>
  <c r="M1615" i="2"/>
  <c r="M1628" i="2"/>
  <c r="M1641" i="2"/>
  <c r="M1654" i="2"/>
  <c r="M1667" i="2"/>
  <c r="M1681" i="2"/>
  <c r="M1694" i="2"/>
  <c r="M1707" i="2"/>
  <c r="M1720" i="2"/>
  <c r="M1733" i="2"/>
  <c r="M1746" i="2"/>
  <c r="M1758" i="2"/>
  <c r="M1770" i="2"/>
  <c r="M1782" i="2"/>
  <c r="M1794" i="2"/>
  <c r="M1806" i="2"/>
  <c r="M1818" i="2"/>
  <c r="M1830" i="2"/>
  <c r="M1842" i="2"/>
  <c r="M1854" i="2"/>
  <c r="M1866" i="2"/>
  <c r="M1878" i="2"/>
  <c r="M1890" i="2"/>
  <c r="M1902" i="2"/>
  <c r="M57" i="2"/>
  <c r="M105" i="2"/>
  <c r="M146" i="2"/>
  <c r="M172" i="2"/>
  <c r="M199" i="2"/>
  <c r="M225" i="2"/>
  <c r="M251" i="2"/>
  <c r="M275" i="2"/>
  <c r="M299" i="2"/>
  <c r="M318" i="2"/>
  <c r="M342" i="2"/>
  <c r="M366" i="2"/>
  <c r="M384" i="2"/>
  <c r="M408" i="2"/>
  <c r="M432" i="2"/>
  <c r="M456" i="2"/>
  <c r="M475" i="2"/>
  <c r="M499" i="2"/>
  <c r="M523" i="2"/>
  <c r="M541" i="2"/>
  <c r="M565" i="2"/>
  <c r="M589" i="2"/>
  <c r="M613" i="2"/>
  <c r="M632" i="2"/>
  <c r="M654" i="2"/>
  <c r="M676" i="2"/>
  <c r="M693" i="2"/>
  <c r="M715" i="2"/>
  <c r="M737" i="2"/>
  <c r="M759" i="2"/>
  <c r="M776" i="2"/>
  <c r="M798" i="2"/>
  <c r="M820" i="2"/>
  <c r="M837" i="2"/>
  <c r="M859" i="2"/>
  <c r="M881" i="2"/>
  <c r="M903" i="2"/>
  <c r="M920" i="2"/>
  <c r="M942" i="2"/>
  <c r="M964" i="2"/>
  <c r="M981" i="2"/>
  <c r="M1003" i="2"/>
  <c r="M1025" i="2"/>
  <c r="M1047" i="2"/>
  <c r="M1064" i="2"/>
  <c r="M1086" i="2"/>
  <c r="M1108" i="2"/>
  <c r="M1125" i="2"/>
  <c r="M1147" i="2"/>
  <c r="M1169" i="2"/>
  <c r="M1187" i="2"/>
  <c r="M1206" i="2"/>
  <c r="M1223" i="2"/>
  <c r="M1242" i="2"/>
  <c r="M1259" i="2"/>
  <c r="M1278" i="2"/>
  <c r="M1295" i="2"/>
  <c r="M1314" i="2"/>
  <c r="M1331" i="2"/>
  <c r="M1350" i="2"/>
  <c r="M1367" i="2"/>
  <c r="M1386" i="2"/>
  <c r="M1403" i="2"/>
  <c r="M1422" i="2"/>
  <c r="M1439" i="2"/>
  <c r="M1458" i="2"/>
  <c r="M1472" i="2"/>
  <c r="M1485" i="2"/>
  <c r="M1498" i="2"/>
  <c r="M1511" i="2"/>
  <c r="M1525" i="2"/>
  <c r="M1538" i="2"/>
  <c r="M1551" i="2"/>
  <c r="M1564" i="2"/>
  <c r="M1577" i="2"/>
  <c r="M1590" i="2"/>
  <c r="M1603" i="2"/>
  <c r="M1616" i="2"/>
  <c r="M1629" i="2"/>
  <c r="M1642" i="2"/>
  <c r="M1655" i="2"/>
  <c r="M1669" i="2"/>
  <c r="M1682" i="2"/>
  <c r="M1695" i="2"/>
  <c r="M1708" i="2"/>
  <c r="M1721" i="2"/>
  <c r="M1734" i="2"/>
  <c r="M1747" i="2"/>
  <c r="M1759" i="2"/>
  <c r="M1771" i="2"/>
  <c r="M1783" i="2"/>
  <c r="M1795" i="2"/>
  <c r="M1807" i="2"/>
  <c r="M1819" i="2"/>
  <c r="M1831" i="2"/>
  <c r="M1843" i="2"/>
  <c r="M1855" i="2"/>
  <c r="M1867" i="2"/>
  <c r="M1879" i="2"/>
  <c r="M1891" i="2"/>
  <c r="M1903" i="2"/>
  <c r="M1915" i="2"/>
  <c r="M1927" i="2"/>
  <c r="M1939" i="2"/>
  <c r="M1951" i="2"/>
  <c r="M1963" i="2"/>
  <c r="M1975" i="2"/>
  <c r="M1987" i="2"/>
  <c r="M1999" i="2"/>
  <c r="M2011" i="2"/>
  <c r="M2023" i="2"/>
  <c r="M2035" i="2"/>
  <c r="M2047" i="2"/>
  <c r="M2059" i="2"/>
  <c r="M2071" i="2"/>
  <c r="M2083" i="2"/>
  <c r="M2095" i="2"/>
  <c r="M2107" i="2"/>
  <c r="M2119" i="2"/>
  <c r="M2131" i="2"/>
  <c r="M2143" i="2"/>
  <c r="M2155" i="2"/>
  <c r="M2167" i="2"/>
  <c r="M2179" i="2"/>
  <c r="M2191" i="2"/>
  <c r="M2203" i="2"/>
  <c r="M2215" i="2"/>
  <c r="M2227" i="2"/>
  <c r="M2239" i="2"/>
  <c r="M2251" i="2"/>
  <c r="M2263" i="2"/>
  <c r="M2275" i="2"/>
  <c r="M2287" i="2"/>
  <c r="M2299" i="2"/>
  <c r="M2311" i="2"/>
  <c r="M2323" i="2"/>
  <c r="M2335" i="2"/>
  <c r="M2347" i="2"/>
  <c r="M2359" i="2"/>
  <c r="M2371" i="2"/>
  <c r="M2383" i="2"/>
  <c r="M2395" i="2"/>
  <c r="M2407" i="2"/>
  <c r="M2419" i="2"/>
  <c r="M2431" i="2"/>
  <c r="M2443" i="2"/>
  <c r="M2455" i="2"/>
  <c r="M2467" i="2"/>
  <c r="M2479" i="2"/>
  <c r="M2491" i="2"/>
  <c r="M2503" i="2"/>
  <c r="M2515" i="2"/>
  <c r="M2527" i="2"/>
  <c r="M2539" i="2"/>
  <c r="M59" i="2"/>
  <c r="M107" i="2"/>
  <c r="M148" i="2"/>
  <c r="M175" i="2"/>
  <c r="M201" i="2"/>
  <c r="M227" i="2"/>
  <c r="M253" i="2"/>
  <c r="M277" i="2"/>
  <c r="M301" i="2"/>
  <c r="M325" i="2"/>
  <c r="M344" i="2"/>
  <c r="M368" i="2"/>
  <c r="M392" i="2"/>
  <c r="M410" i="2"/>
  <c r="M434" i="2"/>
  <c r="M458" i="2"/>
  <c r="M482" i="2"/>
  <c r="M501" i="2"/>
  <c r="M525" i="2"/>
  <c r="M58" i="2"/>
  <c r="M147" i="2"/>
  <c r="M200" i="2"/>
  <c r="M252" i="2"/>
  <c r="M300" i="2"/>
  <c r="M343" i="2"/>
  <c r="M391" i="2"/>
  <c r="M433" i="2"/>
  <c r="M476" i="2"/>
  <c r="M524" i="2"/>
  <c r="M554" i="2"/>
  <c r="M600" i="2"/>
  <c r="M640" i="2"/>
  <c r="M677" i="2"/>
  <c r="M704" i="2"/>
  <c r="M741" i="2"/>
  <c r="M783" i="2"/>
  <c r="M810" i="2"/>
  <c r="M847" i="2"/>
  <c r="M884" i="2"/>
  <c r="M921" i="2"/>
  <c r="M953" i="2"/>
  <c r="M990" i="2"/>
  <c r="M1027" i="2"/>
  <c r="M1059" i="2"/>
  <c r="M1096" i="2"/>
  <c r="M1133" i="2"/>
  <c r="M1170" i="2"/>
  <c r="M1196" i="2"/>
  <c r="M1230" i="2"/>
  <c r="M1264" i="2"/>
  <c r="M1289" i="2"/>
  <c r="M1323" i="2"/>
  <c r="M1353" i="2"/>
  <c r="M1387" i="2"/>
  <c r="M1412" i="2"/>
  <c r="M1446" i="2"/>
  <c r="M1474" i="2"/>
  <c r="M1493" i="2"/>
  <c r="M1517" i="2"/>
  <c r="M1541" i="2"/>
  <c r="M1565" i="2"/>
  <c r="M1583" i="2"/>
  <c r="M1607" i="2"/>
  <c r="M1631" i="2"/>
  <c r="M1650" i="2"/>
  <c r="M1674" i="2"/>
  <c r="M1698" i="2"/>
  <c r="M1722" i="2"/>
  <c r="M1741" i="2"/>
  <c r="M1763" i="2"/>
  <c r="M1785" i="2"/>
  <c r="M1802" i="2"/>
  <c r="M1824" i="2"/>
  <c r="M1846" i="2"/>
  <c r="M1868" i="2"/>
  <c r="M1885" i="2"/>
  <c r="M1907" i="2"/>
  <c r="M1926" i="2"/>
  <c r="M1943" i="2"/>
  <c r="M1962" i="2"/>
  <c r="M1979" i="2"/>
  <c r="M1994" i="2"/>
  <c r="M2007" i="2"/>
  <c r="M2020" i="2"/>
  <c r="M2033" i="2"/>
  <c r="M2046" i="2"/>
  <c r="M2060" i="2"/>
  <c r="M2073" i="2"/>
  <c r="M2086" i="2"/>
  <c r="M2099" i="2"/>
  <c r="M2112" i="2"/>
  <c r="M2125" i="2"/>
  <c r="M2138" i="2"/>
  <c r="M2151" i="2"/>
  <c r="M2164" i="2"/>
  <c r="M2177" i="2"/>
  <c r="M2190" i="2"/>
  <c r="M2204" i="2"/>
  <c r="M2217" i="2"/>
  <c r="M2230" i="2"/>
  <c r="M2243" i="2"/>
  <c r="M2256" i="2"/>
  <c r="M2269" i="2"/>
  <c r="M2282" i="2"/>
  <c r="M2295" i="2"/>
  <c r="M2308" i="2"/>
  <c r="M2321" i="2"/>
  <c r="M2334" i="2"/>
  <c r="M2348" i="2"/>
  <c r="M2361" i="2"/>
  <c r="M2374" i="2"/>
  <c r="M2387" i="2"/>
  <c r="M2400" i="2"/>
  <c r="M2413" i="2"/>
  <c r="M2426" i="2"/>
  <c r="M2439" i="2"/>
  <c r="M2452" i="2"/>
  <c r="M2465" i="2"/>
  <c r="M2478" i="2"/>
  <c r="M2492" i="2"/>
  <c r="M2505" i="2"/>
  <c r="M2518" i="2"/>
  <c r="M2531" i="2"/>
  <c r="M2544" i="2"/>
  <c r="M2556" i="2"/>
  <c r="M2568" i="2"/>
  <c r="M2580" i="2"/>
  <c r="M2592" i="2"/>
  <c r="M2604" i="2"/>
  <c r="M2616" i="2"/>
  <c r="M2628" i="2"/>
  <c r="M2640" i="2"/>
  <c r="M2652" i="2"/>
  <c r="M2664" i="2"/>
  <c r="M2676" i="2"/>
  <c r="M2688" i="2"/>
  <c r="M2700" i="2"/>
  <c r="M2712" i="2"/>
  <c r="M2724" i="2"/>
  <c r="M2736" i="2"/>
  <c r="M2748" i="2"/>
  <c r="M2760" i="2"/>
  <c r="M2772" i="2"/>
  <c r="M2784" i="2"/>
  <c r="M2796" i="2"/>
  <c r="M2808" i="2"/>
  <c r="M2820" i="2"/>
  <c r="M2832" i="2"/>
  <c r="M2844" i="2"/>
  <c r="M2856" i="2"/>
  <c r="M2868" i="2"/>
  <c r="M2880" i="2"/>
  <c r="M2892" i="2"/>
  <c r="M2904" i="2"/>
  <c r="M2916" i="2"/>
  <c r="M2928" i="2"/>
  <c r="M2940" i="2"/>
  <c r="M2952" i="2"/>
  <c r="M2964" i="2"/>
  <c r="M2976" i="2"/>
  <c r="M2988" i="2"/>
  <c r="M3000" i="2"/>
  <c r="M3012" i="2"/>
  <c r="M3024" i="2"/>
  <c r="M3036" i="2"/>
  <c r="M3048" i="2"/>
  <c r="M3060" i="2"/>
  <c r="M3072" i="2"/>
  <c r="M3084" i="2"/>
  <c r="M3096" i="2"/>
  <c r="M3108" i="2"/>
  <c r="M3120" i="2"/>
  <c r="M3132" i="2"/>
  <c r="M3144" i="2"/>
  <c r="M3156" i="2"/>
  <c r="M3168" i="2"/>
  <c r="M3180" i="2"/>
  <c r="M3192" i="2"/>
  <c r="M3204" i="2"/>
  <c r="M3216" i="2"/>
  <c r="M11" i="2"/>
  <c r="M71" i="2"/>
  <c r="M155" i="2"/>
  <c r="M207" i="2"/>
  <c r="M260" i="2"/>
  <c r="M302" i="2"/>
  <c r="M345" i="2"/>
  <c r="M393" i="2"/>
  <c r="M435" i="2"/>
  <c r="M483" i="2"/>
  <c r="M526" i="2"/>
  <c r="M566" i="2"/>
  <c r="M601" i="2"/>
  <c r="M641" i="2"/>
  <c r="M678" i="2"/>
  <c r="M705" i="2"/>
  <c r="M747" i="2"/>
  <c r="M784" i="2"/>
  <c r="M821" i="2"/>
  <c r="M848" i="2"/>
  <c r="M885" i="2"/>
  <c r="M927" i="2"/>
  <c r="M954" i="2"/>
  <c r="M991" i="2"/>
  <c r="M1028" i="2"/>
  <c r="M1065" i="2"/>
  <c r="M1097" i="2"/>
  <c r="M1134" i="2"/>
  <c r="M1171" i="2"/>
  <c r="M1197" i="2"/>
  <c r="M1231" i="2"/>
  <c r="M1265" i="2"/>
  <c r="M1299" i="2"/>
  <c r="M1324" i="2"/>
  <c r="M1355" i="2"/>
  <c r="M1388" i="2"/>
  <c r="M1413" i="2"/>
  <c r="M1447" i="2"/>
  <c r="M1475" i="2"/>
  <c r="M1499" i="2"/>
  <c r="M1518" i="2"/>
  <c r="M1542" i="2"/>
  <c r="M1566" i="2"/>
  <c r="M1585" i="2"/>
  <c r="M1609" i="2"/>
  <c r="M1633" i="2"/>
  <c r="M1657" i="2"/>
  <c r="M1675" i="2"/>
  <c r="M1699" i="2"/>
  <c r="M1723" i="2"/>
  <c r="M1742" i="2"/>
  <c r="M1764" i="2"/>
  <c r="M1786" i="2"/>
  <c r="M1808" i="2"/>
  <c r="M1825" i="2"/>
  <c r="M1847" i="2"/>
  <c r="M1869" i="2"/>
  <c r="M1886" i="2"/>
  <c r="M1908" i="2"/>
  <c r="M1928" i="2"/>
  <c r="M1944" i="2"/>
  <c r="M1964" i="2"/>
  <c r="M1980" i="2"/>
  <c r="M1995" i="2"/>
  <c r="M2008" i="2"/>
  <c r="M2021" i="2"/>
  <c r="M2034" i="2"/>
  <c r="M2048" i="2"/>
  <c r="M2061" i="2"/>
  <c r="M2074" i="2"/>
  <c r="M2087" i="2"/>
  <c r="M2100" i="2"/>
  <c r="M2113" i="2"/>
  <c r="M2126" i="2"/>
  <c r="M2139" i="2"/>
  <c r="M2152" i="2"/>
  <c r="M2165" i="2"/>
  <c r="M2178" i="2"/>
  <c r="M2192" i="2"/>
  <c r="M2205" i="2"/>
  <c r="M2218" i="2"/>
  <c r="M2231" i="2"/>
  <c r="M2244" i="2"/>
  <c r="M2257" i="2"/>
  <c r="M2270" i="2"/>
  <c r="M2283" i="2"/>
  <c r="M2296" i="2"/>
  <c r="M2309" i="2"/>
  <c r="M2322" i="2"/>
  <c r="M2336" i="2"/>
  <c r="M2349" i="2"/>
  <c r="M2362" i="2"/>
  <c r="M2375" i="2"/>
  <c r="M2388" i="2"/>
  <c r="M2401" i="2"/>
  <c r="M2414" i="2"/>
  <c r="M2427" i="2"/>
  <c r="M2440" i="2"/>
  <c r="M2453" i="2"/>
  <c r="M2466" i="2"/>
  <c r="M2480" i="2"/>
  <c r="M2493" i="2"/>
  <c r="M2506" i="2"/>
  <c r="M2519" i="2"/>
  <c r="M2532" i="2"/>
  <c r="M2545" i="2"/>
  <c r="M2557" i="2"/>
  <c r="M2569" i="2"/>
  <c r="M2581" i="2"/>
  <c r="M2593" i="2"/>
  <c r="M2605" i="2"/>
  <c r="M2617" i="2"/>
  <c r="M2629" i="2"/>
  <c r="M2641" i="2"/>
  <c r="M2653" i="2"/>
  <c r="M2665" i="2"/>
  <c r="M2677" i="2"/>
  <c r="M2689" i="2"/>
  <c r="M2701" i="2"/>
  <c r="M73" i="2"/>
  <c r="M157" i="2"/>
  <c r="M210" i="2"/>
  <c r="M261" i="2"/>
  <c r="M303" i="2"/>
  <c r="M351" i="2"/>
  <c r="M394" i="2"/>
  <c r="M436" i="2"/>
  <c r="M484" i="2"/>
  <c r="M527" i="2"/>
  <c r="M567" i="2"/>
  <c r="M602" i="2"/>
  <c r="M642" i="2"/>
  <c r="M679" i="2"/>
  <c r="M716" i="2"/>
  <c r="M748" i="2"/>
  <c r="M785" i="2"/>
  <c r="M822" i="2"/>
  <c r="M849" i="2"/>
  <c r="M891" i="2"/>
  <c r="M928" i="2"/>
  <c r="M965" i="2"/>
  <c r="M992" i="2"/>
  <c r="M1029" i="2"/>
  <c r="M1071" i="2"/>
  <c r="M1098" i="2"/>
  <c r="M1135" i="2"/>
  <c r="M1172" i="2"/>
  <c r="M1207" i="2"/>
  <c r="M1232" i="2"/>
  <c r="M1266" i="2"/>
  <c r="M1300" i="2"/>
  <c r="M1325" i="2"/>
  <c r="M1359" i="2"/>
  <c r="M1389" i="2"/>
  <c r="M1423" i="2"/>
  <c r="M1448" i="2"/>
  <c r="M1477" i="2"/>
  <c r="M1501" i="2"/>
  <c r="M1519" i="2"/>
  <c r="M1543" i="2"/>
  <c r="M1567" i="2"/>
  <c r="M1591" i="2"/>
  <c r="M1610" i="2"/>
  <c r="M1634" i="2"/>
  <c r="M1658" i="2"/>
  <c r="M1676" i="2"/>
  <c r="M1700" i="2"/>
  <c r="M1724" i="2"/>
  <c r="M1748" i="2"/>
  <c r="M1765" i="2"/>
  <c r="M1787" i="2"/>
  <c r="M1809" i="2"/>
  <c r="M1826" i="2"/>
  <c r="M1848" i="2"/>
  <c r="M1870" i="2"/>
  <c r="M1892" i="2"/>
  <c r="M1909" i="2"/>
  <c r="M1929" i="2"/>
  <c r="M1945" i="2"/>
  <c r="M1965" i="2"/>
  <c r="M1981" i="2"/>
  <c r="M1996" i="2"/>
  <c r="M2009" i="2"/>
  <c r="M2022" i="2"/>
  <c r="M2036" i="2"/>
  <c r="M2049" i="2"/>
  <c r="M2062" i="2"/>
  <c r="M2075" i="2"/>
  <c r="M2088" i="2"/>
  <c r="M2101" i="2"/>
  <c r="M2114" i="2"/>
  <c r="M2127" i="2"/>
  <c r="M2140" i="2"/>
  <c r="M2153" i="2"/>
  <c r="M2166" i="2"/>
  <c r="M2180" i="2"/>
  <c r="M2193" i="2"/>
  <c r="M2206" i="2"/>
  <c r="M2219" i="2"/>
  <c r="M2232" i="2"/>
  <c r="M2245" i="2"/>
  <c r="M2258" i="2"/>
  <c r="M2271" i="2"/>
  <c r="M2284" i="2"/>
  <c r="M2297" i="2"/>
  <c r="M2310" i="2"/>
  <c r="M2324" i="2"/>
  <c r="M2337" i="2"/>
  <c r="M2350" i="2"/>
  <c r="M2363" i="2"/>
  <c r="M2376" i="2"/>
  <c r="M2389" i="2"/>
  <c r="M2402" i="2"/>
  <c r="M2415" i="2"/>
  <c r="M2428" i="2"/>
  <c r="M2441" i="2"/>
  <c r="M2454" i="2"/>
  <c r="M2468" i="2"/>
  <c r="M2481" i="2"/>
  <c r="M2494" i="2"/>
  <c r="M2507" i="2"/>
  <c r="M2520" i="2"/>
  <c r="M2533" i="2"/>
  <c r="M2546" i="2"/>
  <c r="M2558" i="2"/>
  <c r="M2570" i="2"/>
  <c r="M2582" i="2"/>
  <c r="M2594" i="2"/>
  <c r="M2606" i="2"/>
  <c r="M2618" i="2"/>
  <c r="M2630" i="2"/>
  <c r="M2642" i="2"/>
  <c r="M2654" i="2"/>
  <c r="M2666" i="2"/>
  <c r="M2678" i="2"/>
  <c r="M2690" i="2"/>
  <c r="M2702" i="2"/>
  <c r="M2714" i="2"/>
  <c r="M2726" i="2"/>
  <c r="M2738" i="2"/>
  <c r="M2750" i="2"/>
  <c r="M2762" i="2"/>
  <c r="M2774" i="2"/>
  <c r="M2786" i="2"/>
  <c r="M2798" i="2"/>
  <c r="M2810" i="2"/>
  <c r="M2822" i="2"/>
  <c r="M2834" i="2"/>
  <c r="M2846" i="2"/>
  <c r="M2858" i="2"/>
  <c r="M2870" i="2"/>
  <c r="M2882" i="2"/>
  <c r="M2894" i="2"/>
  <c r="M2906" i="2"/>
  <c r="M2918" i="2"/>
  <c r="M2930" i="2"/>
  <c r="M2942" i="2"/>
  <c r="M2954" i="2"/>
  <c r="M2966" i="2"/>
  <c r="M2978" i="2"/>
  <c r="M2990" i="2"/>
  <c r="M3002" i="2"/>
  <c r="M3014" i="2"/>
  <c r="M3026" i="2"/>
  <c r="M3038" i="2"/>
  <c r="M3050" i="2"/>
  <c r="M3062" i="2"/>
  <c r="M3074" i="2"/>
  <c r="M3086" i="2"/>
  <c r="M3098" i="2"/>
  <c r="M3110" i="2"/>
  <c r="M3122" i="2"/>
  <c r="M3134" i="2"/>
  <c r="M3146" i="2"/>
  <c r="M3158" i="2"/>
  <c r="M3170" i="2"/>
  <c r="M3182" i="2"/>
  <c r="M3194" i="2"/>
  <c r="M3206" i="2"/>
  <c r="M3218" i="2"/>
  <c r="M13" i="2"/>
  <c r="M25" i="2"/>
  <c r="M37" i="2"/>
  <c r="M49" i="2"/>
  <c r="M74" i="2"/>
  <c r="M158" i="2"/>
  <c r="M211" i="2"/>
  <c r="M262" i="2"/>
  <c r="M304" i="2"/>
  <c r="M352" i="2"/>
  <c r="M395" i="2"/>
  <c r="M443" i="2"/>
  <c r="M486" i="2"/>
  <c r="M528" i="2"/>
  <c r="M574" i="2"/>
  <c r="M614" i="2"/>
  <c r="M643" i="2"/>
  <c r="M680" i="2"/>
  <c r="M717" i="2"/>
  <c r="M749" i="2"/>
  <c r="M786" i="2"/>
  <c r="M823" i="2"/>
  <c r="M860" i="2"/>
  <c r="M892" i="2"/>
  <c r="M929" i="2"/>
  <c r="M966" i="2"/>
  <c r="M993" i="2"/>
  <c r="M1035" i="2"/>
  <c r="M1072" i="2"/>
  <c r="M1109" i="2"/>
  <c r="M1136" i="2"/>
  <c r="M1173" i="2"/>
  <c r="M1208" i="2"/>
  <c r="M1233" i="2"/>
  <c r="M1267" i="2"/>
  <c r="M1301" i="2"/>
  <c r="M1335" i="2"/>
  <c r="M1360" i="2"/>
  <c r="M1391" i="2"/>
  <c r="M1424" i="2"/>
  <c r="M1449" i="2"/>
  <c r="M1478" i="2"/>
  <c r="M1502" i="2"/>
  <c r="M1526" i="2"/>
  <c r="M1544" i="2"/>
  <c r="M1568" i="2"/>
  <c r="M1592" i="2"/>
  <c r="M1611" i="2"/>
  <c r="M1635" i="2"/>
  <c r="M1659" i="2"/>
  <c r="M1683" i="2"/>
  <c r="M1701" i="2"/>
  <c r="M1725" i="2"/>
  <c r="M1749" i="2"/>
  <c r="M1766" i="2"/>
  <c r="M1788" i="2"/>
  <c r="M1810" i="2"/>
  <c r="M1832" i="2"/>
  <c r="M1849" i="2"/>
  <c r="M1871" i="2"/>
  <c r="M1893" i="2"/>
  <c r="M1910" i="2"/>
  <c r="M1930" i="2"/>
  <c r="M1946" i="2"/>
  <c r="M1966" i="2"/>
  <c r="M1982" i="2"/>
  <c r="M1997" i="2"/>
  <c r="M2010" i="2"/>
  <c r="M2024" i="2"/>
  <c r="M2037" i="2"/>
  <c r="M2050" i="2"/>
  <c r="M2063" i="2"/>
  <c r="M2076" i="2"/>
  <c r="M2089" i="2"/>
  <c r="M2102" i="2"/>
  <c r="M2115" i="2"/>
  <c r="M2128" i="2"/>
  <c r="M2141" i="2"/>
  <c r="M2154" i="2"/>
  <c r="M2168" i="2"/>
  <c r="M2181" i="2"/>
  <c r="M2194" i="2"/>
  <c r="M2207" i="2"/>
  <c r="M2220" i="2"/>
  <c r="M2233" i="2"/>
  <c r="M2246" i="2"/>
  <c r="M2259" i="2"/>
  <c r="M2272" i="2"/>
  <c r="M2285" i="2"/>
  <c r="M2298" i="2"/>
  <c r="M2312" i="2"/>
  <c r="M2325" i="2"/>
  <c r="M2338" i="2"/>
  <c r="M2351" i="2"/>
  <c r="M2364" i="2"/>
  <c r="M2377" i="2"/>
  <c r="M2390" i="2"/>
  <c r="M2403" i="2"/>
  <c r="M2416" i="2"/>
  <c r="M2429" i="2"/>
  <c r="M2442" i="2"/>
  <c r="M2456" i="2"/>
  <c r="M2469" i="2"/>
  <c r="M2482" i="2"/>
  <c r="M2495" i="2"/>
  <c r="M2508" i="2"/>
  <c r="M2521" i="2"/>
  <c r="M2534" i="2"/>
  <c r="M2547" i="2"/>
  <c r="M2559" i="2"/>
  <c r="M81" i="2"/>
  <c r="M159" i="2"/>
  <c r="M212" i="2"/>
  <c r="M263" i="2"/>
  <c r="M306" i="2"/>
  <c r="M354" i="2"/>
  <c r="M396" i="2"/>
  <c r="M444" i="2"/>
  <c r="M487" i="2"/>
  <c r="M535" i="2"/>
  <c r="M575" i="2"/>
  <c r="M615" i="2"/>
  <c r="M644" i="2"/>
  <c r="M681" i="2"/>
  <c r="M723" i="2"/>
  <c r="M760" i="2"/>
  <c r="M787" i="2"/>
  <c r="M824" i="2"/>
  <c r="M861" i="2"/>
  <c r="M893" i="2"/>
  <c r="M930" i="2"/>
  <c r="M967" i="2"/>
  <c r="M1004" i="2"/>
  <c r="M1036" i="2"/>
  <c r="M1073" i="2"/>
  <c r="M1110" i="2"/>
  <c r="M1137" i="2"/>
  <c r="M1179" i="2"/>
  <c r="M1209" i="2"/>
  <c r="M1243" i="2"/>
  <c r="M1268" i="2"/>
  <c r="M1302" i="2"/>
  <c r="M1336" i="2"/>
  <c r="M1361" i="2"/>
  <c r="M1395" i="2"/>
  <c r="M1425" i="2"/>
  <c r="M1459" i="2"/>
  <c r="M1479" i="2"/>
  <c r="M1503" i="2"/>
  <c r="M1527" i="2"/>
  <c r="M1545" i="2"/>
  <c r="M1569" i="2"/>
  <c r="M1593" i="2"/>
  <c r="M1617" i="2"/>
  <c r="M1636" i="2"/>
  <c r="M1660" i="2"/>
  <c r="M1684" i="2"/>
  <c r="M1702" i="2"/>
  <c r="M1726" i="2"/>
  <c r="M1750" i="2"/>
  <c r="M1772" i="2"/>
  <c r="M1789" i="2"/>
  <c r="M1811" i="2"/>
  <c r="M1833" i="2"/>
  <c r="M1850" i="2"/>
  <c r="M1872" i="2"/>
  <c r="M1894" i="2"/>
  <c r="M1914" i="2"/>
  <c r="M1931" i="2"/>
  <c r="M1950" i="2"/>
  <c r="M1967" i="2"/>
  <c r="M1985" i="2"/>
  <c r="M1998" i="2"/>
  <c r="M2012" i="2"/>
  <c r="M2025" i="2"/>
  <c r="M2038" i="2"/>
  <c r="M2051" i="2"/>
  <c r="M2064" i="2"/>
  <c r="M2077" i="2"/>
  <c r="M2090" i="2"/>
  <c r="M2103" i="2"/>
  <c r="M2116" i="2"/>
  <c r="M2129" i="2"/>
  <c r="M2142" i="2"/>
  <c r="M2156" i="2"/>
  <c r="M2169" i="2"/>
  <c r="M2182" i="2"/>
  <c r="M2195" i="2"/>
  <c r="M2208" i="2"/>
  <c r="M2221" i="2"/>
  <c r="M2234" i="2"/>
  <c r="M2247" i="2"/>
  <c r="M2260" i="2"/>
  <c r="M2273" i="2"/>
  <c r="M2286" i="2"/>
  <c r="M2300" i="2"/>
  <c r="M2313" i="2"/>
  <c r="M2326" i="2"/>
  <c r="M2339" i="2"/>
  <c r="M2352" i="2"/>
  <c r="M2365" i="2"/>
  <c r="M2378" i="2"/>
  <c r="M2391" i="2"/>
  <c r="M2404" i="2"/>
  <c r="M2417" i="2"/>
  <c r="M2430" i="2"/>
  <c r="M2444" i="2"/>
  <c r="M2457" i="2"/>
  <c r="M2470" i="2"/>
  <c r="M2483" i="2"/>
  <c r="M2496" i="2"/>
  <c r="M2509" i="2"/>
  <c r="M2522" i="2"/>
  <c r="M2535" i="2"/>
  <c r="M2548" i="2"/>
  <c r="M2560" i="2"/>
  <c r="M2572" i="2"/>
  <c r="M2584" i="2"/>
  <c r="M2596" i="2"/>
  <c r="M2608" i="2"/>
  <c r="M2620" i="2"/>
  <c r="M2632" i="2"/>
  <c r="M2644" i="2"/>
  <c r="M2656" i="2"/>
  <c r="M2668" i="2"/>
  <c r="M2680" i="2"/>
  <c r="M2692" i="2"/>
  <c r="M2704" i="2"/>
  <c r="M2716" i="2"/>
  <c r="M2728" i="2"/>
  <c r="M2740" i="2"/>
  <c r="M2752" i="2"/>
  <c r="M2764" i="2"/>
  <c r="M2776" i="2"/>
  <c r="M2788" i="2"/>
  <c r="M2800" i="2"/>
  <c r="M2812" i="2"/>
  <c r="M2824" i="2"/>
  <c r="M2836" i="2"/>
  <c r="M2848" i="2"/>
  <c r="M2860" i="2"/>
  <c r="M2872" i="2"/>
  <c r="M2884" i="2"/>
  <c r="M2896" i="2"/>
  <c r="M2908" i="2"/>
  <c r="M2920" i="2"/>
  <c r="M2932" i="2"/>
  <c r="M2944" i="2"/>
  <c r="M2956" i="2"/>
  <c r="M2968" i="2"/>
  <c r="M2980" i="2"/>
  <c r="M2992" i="2"/>
  <c r="M3004" i="2"/>
  <c r="M3016" i="2"/>
  <c r="M3028" i="2"/>
  <c r="M3040" i="2"/>
  <c r="M3052" i="2"/>
  <c r="M3064" i="2"/>
  <c r="M3076" i="2"/>
  <c r="M3088" i="2"/>
  <c r="M3100" i="2"/>
  <c r="M3112" i="2"/>
  <c r="M3124" i="2"/>
  <c r="M3136" i="2"/>
  <c r="M3148" i="2"/>
  <c r="M3160" i="2"/>
  <c r="M3172" i="2"/>
  <c r="M3184" i="2"/>
  <c r="M3196" i="2"/>
  <c r="M3208" i="2"/>
  <c r="M3220" i="2"/>
  <c r="M15" i="2"/>
  <c r="M27" i="2"/>
  <c r="M39" i="2"/>
  <c r="M51" i="2"/>
  <c r="M106" i="2"/>
  <c r="M174" i="2"/>
  <c r="M226" i="2"/>
  <c r="M276" i="2"/>
  <c r="M319" i="2"/>
  <c r="M367" i="2"/>
  <c r="M409" i="2"/>
  <c r="M457" i="2"/>
  <c r="M500" i="2"/>
  <c r="M548" i="2"/>
  <c r="M577" i="2"/>
  <c r="M618" i="2"/>
  <c r="M656" i="2"/>
  <c r="M688" i="2"/>
  <c r="M725" i="2"/>
  <c r="M762" i="2"/>
  <c r="M799" i="2"/>
  <c r="M831" i="2"/>
  <c r="M868" i="2"/>
  <c r="M905" i="2"/>
  <c r="M932" i="2"/>
  <c r="M969" i="2"/>
  <c r="M1011" i="2"/>
  <c r="M1048" i="2"/>
  <c r="M1075" i="2"/>
  <c r="M1112" i="2"/>
  <c r="M1149" i="2"/>
  <c r="M1181" i="2"/>
  <c r="M1215" i="2"/>
  <c r="M1245" i="2"/>
  <c r="M1279" i="2"/>
  <c r="M1304" i="2"/>
  <c r="M1338" i="2"/>
  <c r="M1372" i="2"/>
  <c r="M1397" i="2"/>
  <c r="M1431" i="2"/>
  <c r="M1461" i="2"/>
  <c r="M1486" i="2"/>
  <c r="M1505" i="2"/>
  <c r="M1529" i="2"/>
  <c r="M1553" i="2"/>
  <c r="M1571" i="2"/>
  <c r="M1595" i="2"/>
  <c r="M1619" i="2"/>
  <c r="M1643" i="2"/>
  <c r="M1662" i="2"/>
  <c r="M1686" i="2"/>
  <c r="M1710" i="2"/>
  <c r="M1729" i="2"/>
  <c r="M1752" i="2"/>
  <c r="M1774" i="2"/>
  <c r="M1796" i="2"/>
  <c r="M1813" i="2"/>
  <c r="M1835" i="2"/>
  <c r="M1857" i="2"/>
  <c r="M1874" i="2"/>
  <c r="M1896" i="2"/>
  <c r="M1917" i="2"/>
  <c r="M119" i="2"/>
  <c r="M181" i="2"/>
  <c r="M234" i="2"/>
  <c r="M278" i="2"/>
  <c r="M326" i="2"/>
  <c r="M369" i="2"/>
  <c r="M417" i="2"/>
  <c r="M459" i="2"/>
  <c r="M502" i="2"/>
  <c r="M549" i="2"/>
  <c r="M578" i="2"/>
  <c r="M619" i="2"/>
  <c r="M657" i="2"/>
  <c r="M699" i="2"/>
  <c r="M726" i="2"/>
  <c r="M763" i="2"/>
  <c r="M800" i="2"/>
  <c r="M832" i="2"/>
  <c r="M869" i="2"/>
  <c r="M906" i="2"/>
  <c r="M943" i="2"/>
  <c r="M975" i="2"/>
  <c r="M1012" i="2"/>
  <c r="M1049" i="2"/>
  <c r="M1076" i="2"/>
  <c r="M1113" i="2"/>
  <c r="M1155" i="2"/>
  <c r="M1191" i="2"/>
  <c r="M1216" i="2"/>
  <c r="M1247" i="2"/>
  <c r="M1280" i="2"/>
  <c r="M1305" i="2"/>
  <c r="M1339" i="2"/>
  <c r="M1373" i="2"/>
  <c r="M1407" i="2"/>
  <c r="M1432" i="2"/>
  <c r="M1463" i="2"/>
  <c r="M1487" i="2"/>
  <c r="M1506" i="2"/>
  <c r="M1530" i="2"/>
  <c r="M1554" i="2"/>
  <c r="M1578" i="2"/>
  <c r="M1597" i="2"/>
  <c r="M1621" i="2"/>
  <c r="M1645" i="2"/>
  <c r="M2" i="2"/>
  <c r="M44" i="2"/>
  <c r="M30" i="2"/>
  <c r="M16" i="2"/>
  <c r="M3215" i="2"/>
  <c r="M3200" i="2"/>
  <c r="M3185" i="2"/>
  <c r="M3167" i="2"/>
  <c r="M3152" i="2"/>
  <c r="M3137" i="2"/>
  <c r="M3119" i="2"/>
  <c r="M3104" i="2"/>
  <c r="M3089" i="2"/>
  <c r="M3071" i="2"/>
  <c r="M3056" i="2"/>
  <c r="M3041" i="2"/>
  <c r="M3023" i="2"/>
  <c r="M3008" i="2"/>
  <c r="M2993" i="2"/>
  <c r="M2975" i="2"/>
  <c r="M2960" i="2"/>
  <c r="M2945" i="2"/>
  <c r="M2927" i="2"/>
  <c r="M2912" i="2"/>
  <c r="M2897" i="2"/>
  <c r="M2879" i="2"/>
  <c r="M2864" i="2"/>
  <c r="M2849" i="2"/>
  <c r="M2831" i="2"/>
  <c r="M2816" i="2"/>
  <c r="M2801" i="2"/>
  <c r="M2783" i="2"/>
  <c r="M2768" i="2"/>
  <c r="M2753" i="2"/>
  <c r="M2735" i="2"/>
  <c r="M2720" i="2"/>
  <c r="M2705" i="2"/>
  <c r="M2685" i="2"/>
  <c r="M2669" i="2"/>
  <c r="M2649" i="2"/>
  <c r="M2633" i="2"/>
  <c r="M2613" i="2"/>
  <c r="M2597" i="2"/>
  <c r="M2577" i="2"/>
  <c r="M2561" i="2"/>
  <c r="M2538" i="2"/>
  <c r="M2514" i="2"/>
  <c r="M2490" i="2"/>
  <c r="M2472" i="2"/>
  <c r="M2448" i="2"/>
  <c r="M2424" i="2"/>
  <c r="M2405" i="2"/>
  <c r="M2381" i="2"/>
  <c r="M2357" i="2"/>
  <c r="M2333" i="2"/>
  <c r="M2315" i="2"/>
  <c r="M2291" i="2"/>
  <c r="M2267" i="2"/>
  <c r="M2248" i="2"/>
  <c r="M2224" i="2"/>
  <c r="M2200" i="2"/>
  <c r="M2176" i="2"/>
  <c r="M2158" i="2"/>
  <c r="M2134" i="2"/>
  <c r="M2110" i="2"/>
  <c r="M2091" i="2"/>
  <c r="M2067" i="2"/>
  <c r="M2043" i="2"/>
  <c r="M2019" i="2"/>
  <c r="M2001" i="2"/>
  <c r="M1974" i="2"/>
  <c r="M1941" i="2"/>
  <c r="M1906" i="2"/>
  <c r="M1862" i="2"/>
  <c r="M1823" i="2"/>
  <c r="M1784" i="2"/>
  <c r="M1739" i="2"/>
  <c r="M1697" i="2"/>
  <c r="M1649" i="2"/>
  <c r="M1604" i="2"/>
  <c r="M1552" i="2"/>
  <c r="M1491" i="2"/>
  <c r="M1433" i="2"/>
  <c r="M1352" i="2"/>
  <c r="M1283" i="2"/>
  <c r="M1211" i="2"/>
  <c r="M1131" i="2"/>
  <c r="M1050" i="2"/>
  <c r="M952" i="2"/>
  <c r="M871" i="2"/>
  <c r="M788" i="2"/>
  <c r="M702" i="2"/>
  <c r="M620" i="2"/>
  <c r="M512" i="2"/>
  <c r="M419" i="2"/>
  <c r="M312" i="2"/>
  <c r="M186" i="2"/>
  <c r="B44" i="4"/>
  <c r="B27" i="4"/>
  <c r="B8" i="4"/>
  <c r="B52" i="4"/>
  <c r="B49" i="4"/>
  <c r="B33" i="4"/>
  <c r="B31" i="4"/>
  <c r="B19" i="4"/>
  <c r="B20" i="4"/>
  <c r="B3" i="4"/>
  <c r="B34" i="4"/>
  <c r="B47" i="4"/>
  <c r="B4" i="4"/>
  <c r="B32" i="4"/>
  <c r="B48" i="4"/>
  <c r="B9" i="4"/>
  <c r="B29" i="4"/>
  <c r="B35" i="4"/>
  <c r="B11" i="4"/>
  <c r="B50" i="4"/>
  <c r="B51" i="4"/>
  <c r="B22" i="4"/>
  <c r="B10" i="4"/>
  <c r="B26" i="4"/>
  <c r="B6" i="4"/>
  <c r="B28" i="4"/>
  <c r="B41" i="4"/>
  <c r="B23" i="4"/>
  <c r="B14" i="4"/>
  <c r="B42" i="4"/>
  <c r="B38" i="4"/>
  <c r="B37" i="4"/>
  <c r="B15" i="4"/>
  <c r="B13" i="4"/>
  <c r="B39" i="4"/>
  <c r="B17" i="4"/>
  <c r="B5" i="4"/>
  <c r="B53" i="4"/>
  <c r="B30" i="4"/>
  <c r="B45" i="4"/>
  <c r="B18" i="4"/>
  <c r="B46" i="4"/>
  <c r="B25" i="4"/>
  <c r="B21" i="4"/>
  <c r="B36" i="4"/>
  <c r="B24" i="4"/>
  <c r="B43" i="4"/>
  <c r="B7" i="4"/>
  <c r="B16" i="4"/>
  <c r="B12" i="4"/>
  <c r="B2" i="4"/>
  <c r="B4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acs2015_county_data" description="Соединение с запросом &quot;acs2015_county_data&quot; в книге." type="5" refreshedVersion="8" background="1" saveData="1">
    <dbPr connection="Provider=Microsoft.Mashup.OleDb.1;Data Source=$Workbook$;Location=acs2015_county_data;Extended Properties=&quot;&quot;" command="SELECT * FROM [acs2015_county_data]"/>
  </connection>
</connections>
</file>

<file path=xl/sharedStrings.xml><?xml version="1.0" encoding="utf-8"?>
<sst xmlns="http://schemas.openxmlformats.org/spreadsheetml/2006/main" count="6563" uniqueCount="2004">
  <si>
    <t>CensusId</t>
  </si>
  <si>
    <t>State</t>
  </si>
  <si>
    <t>County</t>
  </si>
  <si>
    <t>TotalPop</t>
  </si>
  <si>
    <t>White</t>
  </si>
  <si>
    <t>Pacific</t>
  </si>
  <si>
    <t>IncomePerCap</t>
  </si>
  <si>
    <t>WorkAtHome</t>
  </si>
  <si>
    <t>Employed</t>
  </si>
  <si>
    <t>PrivateWork</t>
  </si>
  <si>
    <t>PublicWork</t>
  </si>
  <si>
    <t>SelfEmployed</t>
  </si>
  <si>
    <t>FamilyWork</t>
  </si>
  <si>
    <t>Unemployment</t>
  </si>
  <si>
    <t>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</si>
  <si>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</si>
  <si>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</si>
  <si>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</si>
  <si>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</si>
  <si>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</si>
  <si>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</si>
  <si>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</si>
  <si>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</si>
  <si>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</si>
  <si>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</si>
  <si>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</si>
  <si>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</si>
  <si>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</si>
  <si>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</si>
  <si>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</si>
  <si>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</si>
  <si>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</si>
  <si>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</si>
  <si>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</si>
  <si>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</si>
  <si>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</si>
  <si>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</si>
  <si>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</si>
  <si>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</si>
  <si>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</si>
  <si>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</si>
  <si>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</si>
  <si>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</si>
  <si>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</si>
  <si>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</si>
  <si>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</si>
  <si>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</si>
  <si>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</si>
  <si>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</si>
  <si>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</si>
  <si>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</si>
  <si>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</si>
  <si>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</si>
  <si>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</si>
  <si>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</si>
  <si>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</si>
  <si>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</si>
  <si>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</si>
  <si>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</si>
  <si>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</si>
  <si>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</si>
  <si>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</si>
  <si>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</si>
  <si>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</si>
  <si>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</si>
  <si>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</si>
  <si>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</si>
  <si>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</si>
  <si>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</si>
  <si>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</si>
  <si>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</si>
  <si>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</si>
  <si>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</si>
  <si>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</si>
  <si>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</si>
  <si>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Washington</t>
  </si>
  <si>
    <t>Wilcox</t>
  </si>
  <si>
    <t>Winston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</si>
  <si>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</si>
  <si>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</si>
  <si>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</si>
  <si>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</si>
  <si>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</si>
  <si>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</si>
  <si>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</si>
  <si>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</si>
  <si>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</si>
  <si>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</si>
  <si>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</si>
  <si>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</si>
  <si>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</si>
  <si>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</si>
  <si>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</si>
  <si>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</si>
  <si>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</si>
  <si>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</si>
  <si>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</si>
  <si>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</si>
  <si>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</si>
  <si>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</si>
  <si>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</si>
  <si>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</si>
  <si>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</si>
  <si>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</si>
  <si>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</si>
  <si>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Wrangell City and Borough</t>
  </si>
  <si>
    <t>Yakutat City and Borough</t>
  </si>
  <si>
    <t>Yukon-Koyukuk Census Area</t>
  </si>
  <si>
    <t>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</si>
  <si>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</si>
  <si>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</si>
  <si>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</si>
  <si>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</si>
  <si>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</si>
  <si>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</si>
  <si>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</si>
  <si>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</si>
  <si>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</si>
  <si>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</si>
  <si>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</si>
  <si>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</si>
  <si>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</si>
  <si>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</si>
  <si>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</si>
  <si>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</si>
  <si>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</si>
  <si>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</si>
  <si>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</si>
  <si>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</si>
  <si>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</si>
  <si>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</si>
  <si>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</si>
  <si>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</si>
  <si>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</si>
  <si>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</si>
  <si>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</si>
  <si>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</si>
  <si>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</si>
  <si>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</si>
  <si>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</si>
  <si>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</si>
  <si>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</si>
  <si>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</si>
  <si>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</si>
  <si>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</si>
  <si>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</si>
  <si>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</si>
  <si>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</si>
  <si>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</si>
  <si>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</si>
  <si>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</si>
  <si>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</si>
  <si>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</si>
  <si>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</si>
  <si>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</si>
  <si>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</si>
  <si>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</si>
  <si>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</si>
  <si>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Montgomery</t>
  </si>
  <si>
    <t>Nevada</t>
  </si>
  <si>
    <t>Newton</t>
  </si>
  <si>
    <t>Ouachita</t>
  </si>
  <si>
    <t>Phillips</t>
  </si>
  <si>
    <t>Poinsett</t>
  </si>
  <si>
    <t>Polk</t>
  </si>
  <si>
    <t>Pope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</si>
  <si>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</si>
  <si>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</si>
  <si>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</si>
  <si>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</si>
  <si>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</si>
  <si>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</si>
  <si>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</si>
  <si>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</si>
  <si>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</si>
  <si>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</si>
  <si>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</si>
  <si>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Woodruff</t>
  </si>
  <si>
    <t>Yell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</si>
  <si>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</si>
  <si>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</si>
  <si>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</si>
  <si>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</si>
  <si>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</si>
  <si>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</si>
  <si>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</si>
  <si>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</si>
  <si>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</si>
  <si>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</si>
  <si>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</si>
  <si>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</si>
  <si>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</si>
  <si>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</si>
  <si>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</si>
  <si>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</si>
  <si>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</si>
  <si>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</si>
  <si>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</si>
  <si>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</si>
  <si>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</si>
  <si>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</si>
  <si>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</si>
  <si>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</si>
  <si>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</si>
  <si>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</si>
  <si>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</si>
  <si>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</si>
  <si>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</si>
  <si>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</si>
  <si>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</si>
  <si>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</si>
  <si>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</si>
  <si>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</si>
  <si>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</si>
  <si>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</si>
  <si>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</si>
  <si>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</si>
  <si>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</si>
  <si>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</si>
  <si>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</si>
  <si>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</si>
  <si>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</si>
  <si>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</si>
  <si>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</si>
  <si>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</si>
  <si>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</si>
  <si>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</si>
  <si>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</si>
  <si>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</si>
  <si>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</si>
  <si>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</si>
  <si>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</si>
  <si>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</si>
  <si>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</si>
  <si>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</si>
  <si>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</si>
  <si>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</si>
  <si>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</si>
  <si>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</si>
  <si>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</si>
  <si>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</si>
  <si>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</si>
  <si>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</si>
  <si>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</si>
  <si>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</si>
  <si>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</si>
  <si>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</si>
  <si>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</si>
  <si>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</si>
  <si>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</si>
  <si>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</si>
  <si>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</si>
  <si>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</si>
  <si>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</si>
  <si>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</si>
  <si>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</si>
  <si>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</si>
  <si>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</si>
  <si>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</si>
  <si>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</si>
  <si>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</si>
  <si>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</si>
  <si>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</si>
  <si>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</si>
  <si>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</si>
  <si>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</si>
  <si>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</si>
  <si>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</si>
  <si>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</si>
  <si>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</si>
  <si>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</si>
  <si>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</si>
  <si>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</si>
  <si>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</si>
  <si>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</si>
  <si>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</si>
  <si>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</si>
  <si>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</si>
  <si>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</si>
  <si>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</si>
  <si>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</si>
  <si>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</si>
  <si>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</si>
  <si>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</si>
  <si>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</si>
  <si>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</si>
  <si>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</si>
  <si>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</si>
  <si>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</si>
  <si>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</si>
  <si>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</si>
  <si>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</si>
  <si>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</si>
  <si>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</si>
  <si>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</si>
  <si>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</si>
  <si>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</si>
  <si>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</si>
  <si>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</si>
  <si>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</si>
  <si>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Delaware</t>
  </si>
  <si>
    <t>Kent</t>
  </si>
  <si>
    <t>New Castle</t>
  </si>
  <si>
    <t>Sussex</t>
  </si>
  <si>
    <t>District of Columbia</t>
  </si>
  <si>
    <t>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</si>
  <si>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</si>
  <si>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</si>
  <si>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</si>
  <si>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</si>
  <si>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</si>
  <si>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</si>
  <si>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</si>
  <si>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</si>
  <si>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</si>
  <si>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</si>
  <si>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</si>
  <si>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</si>
  <si>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</si>
  <si>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</si>
  <si>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</si>
  <si>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</si>
  <si>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</si>
  <si>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</si>
  <si>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</si>
  <si>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</si>
  <si>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</si>
  <si>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</si>
  <si>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</si>
  <si>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</si>
  <si>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</si>
  <si>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</si>
  <si>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</si>
  <si>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</si>
  <si>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</si>
  <si>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</si>
  <si>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</si>
  <si>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</si>
  <si>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</si>
  <si>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</si>
  <si>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</si>
  <si>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</si>
  <si>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</si>
  <si>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</si>
  <si>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</si>
  <si>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</si>
  <si>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</si>
  <si>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</si>
  <si>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</si>
  <si>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</si>
  <si>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</si>
  <si>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</si>
  <si>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</si>
  <si>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</si>
  <si>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</si>
  <si>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</si>
  <si>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</si>
  <si>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</si>
  <si>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</si>
  <si>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</si>
  <si>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</si>
  <si>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</si>
  <si>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</si>
  <si>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</si>
  <si>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</si>
  <si>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</si>
  <si>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</si>
  <si>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</si>
  <si>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</si>
  <si>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</si>
  <si>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</si>
  <si>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</si>
  <si>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</si>
  <si>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</si>
  <si>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</si>
  <si>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</si>
  <si>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</si>
  <si>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</si>
  <si>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</si>
  <si>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</si>
  <si>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</si>
  <si>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</si>
  <si>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</si>
  <si>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</si>
  <si>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</si>
  <si>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</si>
  <si>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</si>
  <si>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</si>
  <si>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</si>
  <si>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</si>
  <si>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</si>
  <si>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</si>
  <si>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</si>
  <si>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</si>
  <si>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</si>
  <si>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</si>
  <si>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</si>
  <si>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</si>
  <si>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</si>
  <si>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</si>
  <si>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</si>
  <si>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</si>
  <si>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</si>
  <si>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</si>
  <si>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</si>
  <si>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</si>
  <si>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</si>
  <si>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</si>
  <si>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</si>
  <si>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</si>
  <si>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</si>
  <si>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</si>
  <si>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</si>
  <si>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</si>
  <si>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</si>
  <si>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</si>
  <si>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</si>
  <si>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</si>
  <si>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</si>
  <si>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</si>
  <si>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</si>
  <si>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</si>
  <si>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</si>
  <si>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</si>
  <si>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</si>
  <si>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</si>
  <si>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</si>
  <si>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</si>
  <si>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</si>
  <si>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</si>
  <si>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</si>
  <si>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</si>
  <si>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</si>
  <si>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</si>
  <si>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</si>
  <si>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</si>
  <si>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</si>
  <si>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</si>
  <si>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</si>
  <si>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</si>
  <si>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</si>
  <si>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</si>
  <si>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</si>
  <si>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</si>
  <si>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</si>
  <si>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</si>
  <si>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</si>
  <si>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</si>
  <si>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</si>
  <si>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</si>
  <si>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</si>
  <si>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</si>
  <si>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</si>
  <si>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</si>
  <si>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Walker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</si>
  <si>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</si>
  <si>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</si>
  <si>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</si>
  <si>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</si>
  <si>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</si>
  <si>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</si>
  <si>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</si>
  <si>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</si>
  <si>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</si>
  <si>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</si>
  <si>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</si>
  <si>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</si>
  <si>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</si>
  <si>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</si>
  <si>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</si>
  <si>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</si>
  <si>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</si>
  <si>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</si>
  <si>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</si>
  <si>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</si>
  <si>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</si>
  <si>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</si>
  <si>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</si>
  <si>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</si>
  <si>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</si>
  <si>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</si>
  <si>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</si>
  <si>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</si>
  <si>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</si>
  <si>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</si>
  <si>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Custer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</si>
  <si>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</si>
  <si>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</si>
  <si>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</si>
  <si>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</si>
  <si>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</si>
  <si>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</si>
  <si>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</si>
  <si>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</si>
  <si>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</si>
  <si>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</si>
  <si>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</si>
  <si>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</si>
  <si>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</si>
  <si>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</si>
  <si>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</si>
  <si>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</si>
  <si>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</si>
  <si>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Illinois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</si>
  <si>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</si>
  <si>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</si>
  <si>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</si>
  <si>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</si>
  <si>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</si>
  <si>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</si>
  <si>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</si>
  <si>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</si>
  <si>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</si>
  <si>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</si>
  <si>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</si>
  <si>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</si>
  <si>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</si>
  <si>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</si>
  <si>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</si>
  <si>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</si>
  <si>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</si>
  <si>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</si>
  <si>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</si>
  <si>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</si>
  <si>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</si>
  <si>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</si>
  <si>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</si>
  <si>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</si>
  <si>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</si>
  <si>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</si>
  <si>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</si>
  <si>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</si>
  <si>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</si>
  <si>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</si>
  <si>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</si>
  <si>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</si>
  <si>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</si>
  <si>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</si>
  <si>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</si>
  <si>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</si>
  <si>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</si>
  <si>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</si>
  <si>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</si>
  <si>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</si>
  <si>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</si>
  <si>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</si>
  <si>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</si>
  <si>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</si>
  <si>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</si>
  <si>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</si>
  <si>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</si>
  <si>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</si>
  <si>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</si>
  <si>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</si>
  <si>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</si>
  <si>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</si>
  <si>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</si>
  <si>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</si>
  <si>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</si>
  <si>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</si>
  <si>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</si>
  <si>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</si>
  <si>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</si>
  <si>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</si>
  <si>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</si>
  <si>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</si>
  <si>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</si>
  <si>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</si>
  <si>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</si>
  <si>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</si>
  <si>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</si>
  <si>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</si>
  <si>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</si>
  <si>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</si>
  <si>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</si>
  <si>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</si>
  <si>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</si>
  <si>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</si>
  <si>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</si>
  <si>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</si>
  <si>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</si>
  <si>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</si>
  <si>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</si>
  <si>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</si>
  <si>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</si>
  <si>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</si>
  <si>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</si>
  <si>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</si>
  <si>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</si>
  <si>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</si>
  <si>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</si>
  <si>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</si>
  <si>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</si>
  <si>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</si>
  <si>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</si>
  <si>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</si>
  <si>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</si>
  <si>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Whitley</t>
  </si>
  <si>
    <t>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</si>
  <si>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</si>
  <si>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</si>
  <si>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</si>
  <si>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</si>
  <si>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</si>
  <si>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</si>
  <si>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</si>
  <si>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</si>
  <si>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</si>
  <si>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</si>
  <si>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</si>
  <si>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</si>
  <si>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</si>
  <si>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</si>
  <si>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</si>
  <si>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</si>
  <si>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</si>
  <si>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</si>
  <si>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</si>
  <si>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</si>
  <si>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</si>
  <si>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</si>
  <si>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</si>
  <si>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</si>
  <si>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</si>
  <si>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</si>
  <si>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</si>
  <si>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</si>
  <si>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</si>
  <si>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</si>
  <si>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</si>
  <si>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</si>
  <si>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</si>
  <si>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</si>
  <si>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</si>
  <si>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</si>
  <si>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</si>
  <si>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</si>
  <si>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</si>
  <si>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</si>
  <si>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</si>
  <si>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</si>
  <si>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</si>
  <si>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</si>
  <si>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</si>
  <si>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</si>
  <si>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</si>
  <si>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</si>
  <si>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</si>
  <si>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</si>
  <si>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</si>
  <si>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</si>
  <si>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</si>
  <si>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</si>
  <si>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</si>
  <si>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</si>
  <si>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</si>
  <si>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</si>
  <si>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</si>
  <si>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</si>
  <si>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</si>
  <si>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</si>
  <si>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</si>
  <si>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</si>
  <si>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</si>
  <si>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</si>
  <si>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</si>
  <si>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</si>
  <si>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</si>
  <si>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</si>
  <si>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</si>
  <si>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</si>
  <si>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</si>
  <si>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</si>
  <si>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</si>
  <si>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</si>
  <si>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</si>
  <si>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</si>
  <si>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</si>
  <si>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</si>
  <si>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</si>
  <si>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</si>
  <si>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</si>
  <si>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</si>
  <si>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</si>
  <si>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</si>
  <si>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</si>
  <si>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</si>
  <si>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</si>
  <si>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</si>
  <si>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</si>
  <si>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</si>
  <si>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</si>
  <si>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</si>
  <si>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</si>
  <si>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</si>
  <si>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</si>
  <si>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</si>
  <si>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</si>
  <si>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</si>
  <si>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</si>
  <si>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</si>
  <si>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</si>
  <si>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</si>
  <si>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</si>
  <si>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</si>
  <si>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</si>
  <si>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</si>
  <si>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</si>
  <si>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</si>
  <si>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</si>
  <si>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</si>
  <si>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</si>
  <si>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</si>
  <si>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</si>
  <si>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</si>
  <si>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</si>
  <si>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</si>
  <si>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</si>
  <si>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</si>
  <si>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</si>
  <si>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</si>
  <si>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</si>
  <si>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</si>
  <si>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</si>
  <si>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</si>
  <si>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</si>
  <si>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</si>
  <si>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</si>
  <si>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</si>
  <si>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</si>
  <si>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</si>
  <si>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</si>
  <si>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</si>
  <si>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</si>
  <si>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</si>
  <si>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</si>
  <si>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</si>
  <si>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</si>
  <si>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</si>
  <si>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</si>
  <si>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</si>
  <si>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</si>
  <si>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</si>
  <si>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</si>
  <si>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</si>
  <si>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</si>
  <si>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</si>
  <si>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</si>
  <si>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</si>
  <si>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</si>
  <si>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</si>
  <si>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</si>
  <si>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</si>
  <si>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</si>
  <si>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</si>
  <si>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</si>
  <si>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</si>
  <si>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</si>
  <si>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</si>
  <si>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</si>
  <si>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</si>
  <si>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</si>
  <si>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</si>
  <si>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</si>
  <si>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</si>
  <si>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</si>
  <si>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</si>
  <si>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</si>
  <si>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</si>
  <si>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</si>
  <si>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</si>
  <si>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</si>
  <si>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</si>
  <si>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</si>
  <si>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</si>
  <si>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</si>
  <si>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</si>
  <si>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</si>
  <si>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</si>
  <si>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</si>
  <si>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</si>
  <si>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</si>
  <si>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</si>
  <si>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</si>
  <si>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</si>
  <si>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</si>
  <si>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</si>
  <si>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</si>
  <si>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</si>
  <si>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</si>
  <si>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</si>
  <si>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</si>
  <si>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</si>
  <si>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</si>
  <si>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</si>
  <si>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</si>
  <si>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</si>
  <si>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</si>
  <si>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</si>
  <si>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</si>
  <si>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</si>
  <si>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</si>
  <si>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</si>
  <si>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</si>
  <si>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</si>
  <si>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</si>
  <si>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</si>
  <si>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</si>
  <si>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</si>
  <si>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</si>
  <si>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</si>
  <si>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</si>
  <si>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</si>
  <si>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</si>
  <si>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</si>
  <si>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</si>
  <si>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</si>
  <si>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</si>
  <si>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</si>
  <si>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</si>
  <si>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</si>
  <si>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</si>
  <si>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</si>
  <si>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</si>
  <si>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</si>
  <si>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Maryland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</si>
  <si>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</si>
  <si>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</si>
  <si>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</si>
  <si>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</si>
  <si>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</si>
  <si>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</si>
  <si>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</si>
  <si>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</si>
  <si>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</si>
  <si>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</si>
  <si>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</si>
  <si>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</si>
  <si>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</si>
  <si>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</si>
  <si>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</si>
  <si>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</si>
  <si>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Baltimore city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</si>
  <si>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</si>
  <si>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</si>
  <si>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</si>
  <si>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</si>
  <si>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</si>
  <si>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</si>
  <si>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</si>
  <si>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</si>
  <si>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</si>
  <si>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</si>
  <si>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</si>
  <si>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</si>
  <si>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</si>
  <si>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</si>
  <si>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</si>
  <si>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</si>
  <si>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</si>
  <si>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</si>
  <si>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</si>
  <si>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</si>
  <si>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</si>
  <si>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</si>
  <si>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</si>
  <si>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</si>
  <si>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</si>
  <si>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</si>
  <si>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</si>
  <si>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</si>
  <si>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</si>
  <si>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</si>
  <si>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</si>
  <si>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</si>
  <si>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</si>
  <si>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</si>
  <si>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</si>
  <si>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</si>
  <si>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</si>
  <si>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</si>
  <si>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</si>
  <si>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</si>
  <si>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</si>
  <si>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</si>
  <si>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</si>
  <si>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</si>
  <si>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</si>
  <si>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</si>
  <si>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</si>
  <si>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</si>
  <si>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</si>
  <si>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</si>
  <si>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</si>
  <si>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</si>
  <si>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</si>
  <si>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</si>
  <si>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</si>
  <si>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</si>
  <si>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</si>
  <si>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</si>
  <si>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</si>
  <si>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</si>
  <si>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</si>
  <si>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</si>
  <si>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</si>
  <si>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</si>
  <si>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</si>
  <si>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</si>
  <si>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</si>
  <si>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</si>
  <si>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</si>
  <si>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</si>
  <si>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</si>
  <si>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</si>
  <si>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</si>
  <si>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</si>
  <si>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</si>
  <si>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</si>
  <si>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</si>
  <si>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</si>
  <si>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</si>
  <si>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</si>
  <si>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</si>
  <si>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</si>
  <si>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</si>
  <si>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</si>
  <si>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</si>
  <si>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</si>
  <si>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</si>
  <si>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</si>
  <si>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</si>
  <si>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</si>
  <si>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</si>
  <si>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</si>
  <si>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</si>
  <si>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</si>
  <si>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</si>
  <si>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</si>
  <si>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</si>
  <si>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</si>
  <si>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</si>
  <si>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</si>
  <si>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</si>
  <si>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</si>
  <si>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</si>
  <si>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</si>
  <si>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</si>
  <si>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</si>
  <si>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</si>
  <si>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</si>
  <si>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</si>
  <si>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</si>
  <si>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</si>
  <si>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</si>
  <si>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</si>
  <si>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</si>
  <si>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</si>
  <si>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</si>
  <si>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</si>
  <si>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</si>
  <si>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</si>
  <si>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</si>
  <si>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</si>
  <si>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</si>
  <si>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</si>
  <si>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</si>
  <si>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</si>
  <si>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</si>
  <si>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</si>
  <si>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</si>
  <si>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</si>
  <si>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</si>
  <si>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</si>
  <si>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</si>
  <si>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</si>
  <si>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</si>
  <si>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</si>
  <si>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</si>
  <si>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</si>
  <si>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</si>
  <si>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</si>
  <si>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</si>
  <si>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</si>
  <si>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Covington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</si>
  <si>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</si>
  <si>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</si>
  <si>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</si>
  <si>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</si>
  <si>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</si>
  <si>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</si>
  <si>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</si>
  <si>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</si>
  <si>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Lauderdale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</si>
  <si>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</si>
  <si>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</si>
  <si>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</si>
  <si>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</si>
  <si>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</si>
  <si>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</si>
  <si>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</si>
  <si>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</si>
  <si>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</si>
  <si>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</si>
  <si>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</si>
  <si>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</si>
  <si>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</si>
  <si>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</si>
  <si>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</si>
  <si>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</si>
  <si>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</si>
  <si>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</si>
  <si>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</si>
  <si>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</si>
  <si>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</si>
  <si>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</si>
  <si>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</si>
  <si>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</si>
  <si>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</si>
  <si>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</si>
  <si>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</si>
  <si>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</si>
  <si>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</si>
  <si>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</si>
  <si>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</si>
  <si>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</si>
  <si>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</si>
  <si>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</si>
  <si>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</si>
  <si>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</si>
  <si>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</si>
  <si>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</si>
  <si>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</si>
  <si>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</si>
  <si>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</si>
  <si>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</si>
  <si>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</si>
  <si>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</si>
  <si>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</si>
  <si>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</si>
  <si>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</si>
  <si>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</si>
  <si>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</si>
  <si>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</si>
  <si>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</si>
  <si>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</si>
  <si>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</si>
  <si>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</si>
  <si>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</si>
  <si>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</si>
  <si>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</si>
  <si>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Texas</t>
  </si>
  <si>
    <t>St. Louis city</t>
  </si>
  <si>
    <t>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</si>
  <si>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</si>
  <si>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</si>
  <si>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</si>
  <si>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</si>
  <si>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</si>
  <si>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</si>
  <si>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</si>
  <si>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</si>
  <si>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</si>
  <si>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</si>
  <si>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</si>
  <si>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</si>
  <si>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</si>
  <si>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</si>
  <si>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</si>
  <si>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</si>
  <si>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</si>
  <si>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</si>
  <si>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</si>
  <si>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</si>
  <si>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</si>
  <si>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</si>
  <si>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</si>
  <si>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</si>
  <si>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Prairie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</si>
  <si>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</si>
  <si>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</si>
  <si>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</si>
  <si>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</si>
  <si>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</si>
  <si>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</si>
  <si>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</si>
  <si>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</si>
  <si>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</si>
  <si>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</si>
  <si>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</si>
  <si>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</si>
  <si>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</si>
  <si>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</si>
  <si>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</si>
  <si>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</si>
  <si>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</si>
  <si>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</si>
  <si>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</si>
  <si>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</si>
  <si>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</si>
  <si>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</si>
  <si>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</si>
  <si>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</si>
  <si>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</si>
  <si>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</si>
  <si>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</si>
  <si>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</si>
  <si>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</si>
  <si>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</si>
  <si>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</si>
  <si>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</si>
  <si>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</si>
  <si>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</si>
  <si>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</si>
  <si>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</si>
  <si>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</si>
  <si>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</si>
  <si>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</si>
  <si>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</si>
  <si>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</si>
  <si>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</si>
  <si>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</si>
  <si>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</si>
  <si>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</si>
  <si>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</si>
  <si>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</si>
  <si>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</si>
  <si>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</si>
  <si>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</si>
  <si>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</si>
  <si>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</si>
  <si>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</si>
  <si>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</si>
  <si>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</si>
  <si>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</si>
  <si>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</si>
  <si>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</si>
  <si>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</si>
  <si>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</si>
  <si>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</si>
  <si>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</si>
  <si>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</si>
  <si>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</si>
  <si>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</si>
  <si>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</si>
  <si>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</si>
  <si>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</si>
  <si>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</si>
  <si>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</si>
  <si>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</si>
  <si>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</si>
  <si>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</si>
  <si>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</si>
  <si>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</si>
  <si>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</si>
  <si>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</si>
  <si>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</si>
  <si>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</si>
  <si>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</si>
  <si>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</si>
  <si>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</si>
  <si>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</si>
  <si>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</si>
  <si>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New Mexico</t>
  </si>
  <si>
    <t>Bernalillo</t>
  </si>
  <si>
    <t>Catron</t>
  </si>
  <si>
    <t>Chaves</t>
  </si>
  <si>
    <t>Cibola</t>
  </si>
  <si>
    <t>Curry</t>
  </si>
  <si>
    <t>De Baca</t>
  </si>
  <si>
    <t>Doña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</si>
  <si>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</si>
  <si>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</si>
  <si>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</si>
  <si>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</si>
  <si>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</si>
  <si>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</si>
  <si>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</si>
  <si>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</si>
  <si>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</si>
  <si>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</si>
  <si>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</si>
  <si>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</si>
  <si>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</si>
  <si>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</si>
  <si>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</si>
  <si>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</si>
  <si>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</si>
  <si>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</si>
  <si>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</si>
  <si>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</si>
  <si>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</si>
  <si>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</si>
  <si>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</si>
  <si>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</si>
  <si>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</si>
  <si>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</si>
  <si>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</si>
  <si>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</si>
  <si>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</si>
  <si>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</si>
  <si>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</si>
  <si>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</si>
  <si>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</si>
  <si>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</si>
  <si>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</si>
  <si>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</si>
  <si>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</si>
  <si>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</si>
  <si>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</si>
  <si>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</si>
  <si>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</si>
  <si>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</si>
  <si>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</si>
  <si>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</si>
  <si>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</si>
  <si>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</si>
  <si>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</si>
  <si>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</si>
  <si>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</si>
  <si>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</si>
  <si>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</si>
  <si>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</si>
  <si>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</si>
  <si>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</si>
  <si>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</si>
  <si>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</si>
  <si>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</si>
  <si>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</si>
  <si>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</si>
  <si>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</si>
  <si>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</si>
  <si>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</si>
  <si>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</si>
  <si>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</si>
  <si>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</si>
  <si>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</si>
  <si>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</si>
  <si>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</si>
  <si>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</si>
  <si>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</si>
  <si>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</si>
  <si>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</si>
  <si>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</si>
  <si>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</si>
  <si>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</si>
  <si>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</si>
  <si>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</si>
  <si>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</si>
  <si>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</si>
  <si>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</si>
  <si>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</si>
  <si>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</si>
  <si>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</si>
  <si>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</si>
  <si>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</si>
  <si>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</si>
  <si>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</si>
  <si>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</si>
  <si>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</si>
  <si>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</si>
  <si>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</si>
  <si>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</si>
  <si>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</si>
  <si>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</si>
  <si>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</si>
  <si>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</si>
  <si>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</si>
  <si>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</si>
  <si>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</si>
  <si>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</si>
  <si>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</si>
  <si>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</si>
  <si>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</si>
  <si>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</si>
  <si>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</si>
  <si>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</si>
  <si>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</si>
  <si>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</si>
  <si>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</si>
  <si>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</si>
  <si>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</si>
  <si>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</si>
  <si>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</si>
  <si>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</si>
  <si>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</si>
  <si>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</si>
  <si>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</si>
  <si>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</si>
  <si>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</si>
  <si>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</si>
  <si>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</si>
  <si>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</si>
  <si>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</si>
  <si>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</si>
  <si>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</si>
  <si>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</si>
  <si>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</si>
  <si>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</si>
  <si>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</si>
  <si>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</si>
  <si>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</si>
  <si>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</si>
  <si>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</si>
  <si>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</si>
  <si>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</si>
  <si>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</si>
  <si>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</si>
  <si>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</si>
  <si>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</si>
  <si>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</si>
  <si>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</si>
  <si>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</si>
  <si>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</si>
  <si>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Wells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</si>
  <si>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</si>
  <si>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</si>
  <si>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</si>
  <si>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</si>
  <si>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</si>
  <si>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</si>
  <si>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</si>
  <si>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</si>
  <si>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</si>
  <si>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</si>
  <si>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</si>
  <si>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</si>
  <si>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</si>
  <si>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</si>
  <si>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</si>
  <si>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</si>
  <si>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</si>
  <si>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</si>
  <si>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</si>
  <si>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</si>
  <si>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</si>
  <si>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</si>
  <si>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</si>
  <si>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</si>
  <si>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</si>
  <si>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</si>
  <si>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</si>
  <si>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</si>
  <si>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</si>
  <si>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</si>
  <si>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</si>
  <si>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</si>
  <si>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</si>
  <si>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</si>
  <si>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</si>
  <si>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</si>
  <si>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</si>
  <si>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</si>
  <si>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</si>
  <si>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</si>
  <si>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</si>
  <si>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</si>
  <si>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</si>
  <si>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</si>
  <si>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</si>
  <si>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</si>
  <si>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</si>
  <si>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</si>
  <si>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</si>
  <si>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</si>
  <si>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</si>
  <si>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</si>
  <si>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</si>
  <si>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</si>
  <si>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</si>
  <si>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</si>
  <si>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</si>
  <si>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</si>
  <si>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</si>
  <si>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</si>
  <si>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</si>
  <si>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</si>
  <si>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</si>
  <si>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</si>
  <si>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</si>
  <si>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</si>
  <si>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</si>
  <si>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</si>
  <si>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</si>
  <si>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</si>
  <si>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</si>
  <si>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</si>
  <si>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</si>
  <si>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</si>
  <si>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</si>
  <si>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</si>
  <si>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</si>
  <si>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</si>
  <si>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</si>
  <si>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</si>
  <si>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</si>
  <si>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</si>
  <si>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</si>
  <si>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</si>
  <si>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</si>
  <si>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</si>
  <si>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</si>
  <si>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</si>
  <si>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</si>
  <si>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</si>
  <si>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</si>
  <si>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</si>
  <si>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</si>
  <si>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</si>
  <si>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</si>
  <si>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</si>
  <si>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</si>
  <si>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</si>
  <si>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</si>
  <si>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</si>
  <si>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</si>
  <si>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</si>
  <si>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</si>
  <si>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</si>
  <si>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</si>
  <si>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</si>
  <si>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</si>
  <si>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</si>
  <si>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</si>
  <si>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</si>
  <si>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</si>
  <si>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</si>
  <si>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</si>
  <si>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</si>
  <si>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</si>
  <si>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</si>
  <si>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</si>
  <si>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</si>
  <si>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</si>
  <si>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</si>
  <si>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</si>
  <si>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</si>
  <si>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</si>
  <si>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</si>
  <si>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</si>
  <si>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Rhode Island</t>
  </si>
  <si>
    <t>Newport</t>
  </si>
  <si>
    <t>Providence</t>
  </si>
  <si>
    <t>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</si>
  <si>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</si>
  <si>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</si>
  <si>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</si>
  <si>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</si>
  <si>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</si>
  <si>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</si>
  <si>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</si>
  <si>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</si>
  <si>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</si>
  <si>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</si>
  <si>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</si>
  <si>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</si>
  <si>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</si>
  <si>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</si>
  <si>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</si>
  <si>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</si>
  <si>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</si>
  <si>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</si>
  <si>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</si>
  <si>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</si>
  <si>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</si>
  <si>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</si>
  <si>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</si>
  <si>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</si>
  <si>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</si>
  <si>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</si>
  <si>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</si>
  <si>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</si>
  <si>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</si>
  <si>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</si>
  <si>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</si>
  <si>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</si>
  <si>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</si>
  <si>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</si>
  <si>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</si>
  <si>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</si>
  <si>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</si>
  <si>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</si>
  <si>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</si>
  <si>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</si>
  <si>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</si>
  <si>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</si>
  <si>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</si>
  <si>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</si>
  <si>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</si>
  <si>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</si>
  <si>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</si>
  <si>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</si>
  <si>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</si>
  <si>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</si>
  <si>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</si>
  <si>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</si>
  <si>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</si>
  <si>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</si>
  <si>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</si>
  <si>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</si>
  <si>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</si>
  <si>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</si>
  <si>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</si>
  <si>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</si>
  <si>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</si>
  <si>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</si>
  <si>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</si>
  <si>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</si>
  <si>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</si>
  <si>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</si>
  <si>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Tennessee</t>
  </si>
  <si>
    <t>Bledsoe</t>
  </si>
  <si>
    <t>Bradley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</si>
  <si>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</si>
  <si>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</si>
  <si>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</si>
  <si>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</si>
  <si>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</si>
  <si>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</si>
  <si>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</si>
  <si>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</si>
  <si>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</si>
  <si>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</si>
  <si>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</si>
  <si>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</si>
  <si>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</si>
  <si>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</si>
  <si>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</si>
  <si>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</si>
  <si>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</si>
  <si>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</si>
  <si>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</si>
  <si>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</si>
  <si>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</si>
  <si>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</si>
  <si>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</si>
  <si>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</si>
  <si>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</si>
  <si>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</si>
  <si>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</si>
  <si>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</si>
  <si>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</si>
  <si>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</si>
  <si>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</si>
  <si>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</si>
  <si>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</si>
  <si>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</si>
  <si>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</si>
  <si>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</si>
  <si>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</si>
  <si>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</si>
  <si>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</si>
  <si>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</si>
  <si>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</si>
  <si>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</si>
  <si>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</si>
  <si>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</si>
  <si>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</si>
  <si>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</si>
  <si>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</si>
  <si>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</si>
  <si>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</si>
  <si>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</si>
  <si>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</si>
  <si>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</si>
  <si>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</si>
  <si>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</si>
  <si>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</si>
  <si>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</si>
  <si>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</si>
  <si>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</si>
  <si>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</si>
  <si>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</si>
  <si>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</si>
  <si>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</si>
  <si>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</si>
  <si>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</si>
  <si>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</si>
  <si>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</si>
  <si>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</si>
  <si>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</si>
  <si>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</si>
  <si>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</si>
  <si>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</si>
  <si>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</si>
  <si>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</si>
  <si>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</si>
  <si>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</si>
  <si>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</si>
  <si>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</si>
  <si>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</si>
  <si>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</si>
  <si>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</si>
  <si>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</si>
  <si>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</si>
  <si>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</si>
  <si>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</si>
  <si>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</si>
  <si>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</si>
  <si>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</si>
  <si>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</si>
  <si>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</si>
  <si>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</si>
  <si>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</si>
  <si>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</si>
  <si>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</si>
  <si>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</si>
  <si>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</si>
  <si>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</si>
  <si>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</si>
  <si>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</si>
  <si>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</si>
  <si>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</si>
  <si>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</si>
  <si>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</si>
  <si>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</si>
  <si>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</si>
  <si>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</si>
  <si>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</si>
  <si>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</si>
  <si>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</si>
  <si>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</si>
  <si>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</si>
  <si>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</si>
  <si>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</si>
  <si>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 Salle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</si>
  <si>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</si>
  <si>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</si>
  <si>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</si>
  <si>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</si>
  <si>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</si>
  <si>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</si>
  <si>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</si>
  <si>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</si>
  <si>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</si>
  <si>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</si>
  <si>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</si>
  <si>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</si>
  <si>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</si>
  <si>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</si>
  <si>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</si>
  <si>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</si>
  <si>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</si>
  <si>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</si>
  <si>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</si>
  <si>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</si>
  <si>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</si>
  <si>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</si>
  <si>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</si>
  <si>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</si>
  <si>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</si>
  <si>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</si>
  <si>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</si>
  <si>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</si>
  <si>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</si>
  <si>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</si>
  <si>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</si>
  <si>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</si>
  <si>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</si>
  <si>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</si>
  <si>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</si>
  <si>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</si>
  <si>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</si>
  <si>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</si>
  <si>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</si>
  <si>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</si>
  <si>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</si>
  <si>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</si>
  <si>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</si>
  <si>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</si>
  <si>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</si>
  <si>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</si>
  <si>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</si>
  <si>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</si>
  <si>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</si>
  <si>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</si>
  <si>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</si>
  <si>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</si>
  <si>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</si>
  <si>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</si>
  <si>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</si>
  <si>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</si>
  <si>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</si>
  <si>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</si>
  <si>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</si>
  <si>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</si>
  <si>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</si>
  <si>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</si>
  <si>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</si>
  <si>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</si>
  <si>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</si>
  <si>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</si>
  <si>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</si>
  <si>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</si>
  <si>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</si>
  <si>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</si>
  <si>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</si>
  <si>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</si>
  <si>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</si>
  <si>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</si>
  <si>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</si>
  <si>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</si>
  <si>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</si>
  <si>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</si>
  <si>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</si>
  <si>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</si>
  <si>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</si>
  <si>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</si>
  <si>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</si>
  <si>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</si>
  <si>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</si>
  <si>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</si>
  <si>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</si>
  <si>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</si>
  <si>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</si>
  <si>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</si>
  <si>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</si>
  <si>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</si>
  <si>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</si>
  <si>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</si>
  <si>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</si>
  <si>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</si>
  <si>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</si>
  <si>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</si>
  <si>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</si>
  <si>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</si>
  <si>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</si>
  <si>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</si>
  <si>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</si>
  <si>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</si>
  <si>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</si>
  <si>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</si>
  <si>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</si>
  <si>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</si>
  <si>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</si>
  <si>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</si>
  <si>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</si>
  <si>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</si>
  <si>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</si>
  <si>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</si>
  <si>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</si>
  <si>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</si>
  <si>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</si>
  <si>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</si>
  <si>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</si>
  <si>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</si>
  <si>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</si>
  <si>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</si>
  <si>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</si>
  <si>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</si>
  <si>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</si>
  <si>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</si>
  <si>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</si>
  <si>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</si>
  <si>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</si>
  <si>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</si>
  <si>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</si>
  <si>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</si>
  <si>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</si>
  <si>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</si>
  <si>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</si>
  <si>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</si>
  <si>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</si>
  <si>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</si>
  <si>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</si>
  <si>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</si>
  <si>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</si>
  <si>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</si>
  <si>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</si>
  <si>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</si>
  <si>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</si>
  <si>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</si>
  <si>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</si>
  <si>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</si>
  <si>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</si>
  <si>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</si>
  <si>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</si>
  <si>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</si>
  <si>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</si>
  <si>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</si>
  <si>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</si>
  <si>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</si>
  <si>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</si>
  <si>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</si>
  <si>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</si>
  <si>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</si>
  <si>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</si>
  <si>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</si>
  <si>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</si>
  <si>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</si>
  <si>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</si>
  <si>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</si>
  <si>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</si>
  <si>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</si>
  <si>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</si>
  <si>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</si>
  <si>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</si>
  <si>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</si>
  <si>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</si>
  <si>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</si>
  <si>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</si>
  <si>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</si>
  <si>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</si>
  <si>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</si>
  <si>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</si>
  <si>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</si>
  <si>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</si>
  <si>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</si>
  <si>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</si>
  <si>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</si>
  <si>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</si>
  <si>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</si>
  <si>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</si>
  <si>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</si>
  <si>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</si>
  <si>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</si>
  <si>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</si>
  <si>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</si>
  <si>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</si>
  <si>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</si>
  <si>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</si>
  <si>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</si>
  <si>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</si>
  <si>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</si>
  <si>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</si>
  <si>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</si>
  <si>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</si>
  <si>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West Virginia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</si>
  <si>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</si>
  <si>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</si>
  <si>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</si>
  <si>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</si>
  <si>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</si>
  <si>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</si>
  <si>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</si>
  <si>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</si>
  <si>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</si>
  <si>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</si>
  <si>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</si>
  <si>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</si>
  <si>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</si>
  <si>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</si>
  <si>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</si>
  <si>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</si>
  <si>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</si>
  <si>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Wisconsin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</si>
  <si>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</si>
  <si>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</si>
  <si>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</si>
  <si>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</si>
  <si>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</si>
  <si>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</si>
  <si>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</si>
  <si>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</si>
  <si>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</si>
  <si>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</si>
  <si>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</si>
  <si>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</si>
  <si>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</si>
  <si>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</si>
  <si>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</si>
  <si>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</si>
  <si>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</si>
  <si>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</si>
  <si>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</si>
  <si>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</si>
  <si>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</si>
  <si>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</si>
  <si>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</si>
  <si>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</si>
  <si>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</si>
  <si>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</si>
  <si>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</si>
  <si>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</si>
  <si>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</si>
  <si>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</si>
  <si>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</si>
  <si>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</si>
  <si>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</si>
  <si>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</si>
  <si>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</si>
  <si>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</si>
  <si>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</si>
  <si>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</si>
  <si>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</si>
  <si>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</si>
  <si>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</si>
  <si>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</si>
  <si>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</si>
  <si>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</si>
  <si>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</si>
  <si>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</si>
  <si>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Puerto Rico</t>
  </si>
  <si>
    <t>Adjuntas</t>
  </si>
  <si>
    <t>Aguada</t>
  </si>
  <si>
    <t>Aguadilla</t>
  </si>
  <si>
    <t>Aguas Buenas</t>
  </si>
  <si>
    <t>Aibonito</t>
  </si>
  <si>
    <t>Añasco</t>
  </si>
  <si>
    <t>Arecibo</t>
  </si>
  <si>
    <t>Arroyo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</si>
  <si>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</si>
  <si>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</si>
  <si>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</si>
  <si>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</si>
  <si>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</si>
  <si>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</si>
  <si>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</si>
  <si>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</si>
  <si>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</si>
  <si>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</si>
  <si>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</si>
  <si>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</si>
  <si>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</si>
  <si>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</si>
  <si>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</si>
  <si>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</t>
  </si>
  <si>
    <t>Culebra</t>
  </si>
  <si>
    <t>Dorado</t>
  </si>
  <si>
    <t>Fajardo</t>
  </si>
  <si>
    <t>Guánica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</si>
  <si>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</si>
  <si>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</si>
  <si>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</si>
  <si>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</si>
  <si>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</si>
  <si>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</si>
  <si>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</si>
  <si>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</si>
  <si>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</si>
  <si>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Díaz</t>
  </si>
  <si>
    <t>Juncos</t>
  </si>
  <si>
    <t>Lajas</t>
  </si>
  <si>
    <t>Lares</t>
  </si>
  <si>
    <t>Las Marías</t>
  </si>
  <si>
    <t>Las Piedras</t>
  </si>
  <si>
    <t>Loíza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</si>
  <si>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</si>
  <si>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</si>
  <si>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</si>
  <si>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</si>
  <si>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</si>
  <si>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</si>
  <si>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</si>
  <si>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</si>
  <si>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</si>
  <si>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</si>
  <si>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</si>
  <si>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</si>
  <si>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</si>
  <si>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</si>
  <si>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</si>
  <si>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</si>
  <si>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</si>
  <si>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</si>
  <si>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</si>
  <si>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</si>
  <si>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</si>
  <si>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</si>
  <si>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</si>
  <si>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</si>
  <si>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</si>
  <si>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</si>
  <si>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</si>
  <si>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</si>
  <si>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</si>
  <si>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</si>
  <si>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</si>
  <si>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</si>
  <si>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Количественные данные</t>
  </si>
  <si>
    <t>Среднее значение</t>
  </si>
  <si>
    <t>Дисперсия</t>
  </si>
  <si>
    <t>Среднеквадратичное отклонение</t>
  </si>
  <si>
    <t>Медиана</t>
  </si>
  <si>
    <t>Мода</t>
  </si>
  <si>
    <t>Качественные данные</t>
  </si>
  <si>
    <t xml:space="preserve"> Интервалы</t>
  </si>
  <si>
    <t>Обозначение интервала</t>
  </si>
  <si>
    <t>Нижняя граница</t>
  </si>
  <si>
    <t>Верхняя граница</t>
  </si>
  <si>
    <t>Частота</t>
  </si>
  <si>
    <t>&lt;772263</t>
  </si>
  <si>
    <t>&lt;1544441</t>
  </si>
  <si>
    <t>&lt;2316619</t>
  </si>
  <si>
    <t>&lt;3088797</t>
  </si>
  <si>
    <t>&lt;3860975</t>
  </si>
  <si>
    <t>&lt;4633153</t>
  </si>
  <si>
    <t>&lt;5405331</t>
  </si>
  <si>
    <t>&lt;6177509</t>
  </si>
  <si>
    <t>&lt;6949687</t>
  </si>
  <si>
    <t>&lt;7721865</t>
  </si>
  <si>
    <t>&lt;8494043</t>
  </si>
  <si>
    <t>&lt;9266221</t>
  </si>
  <si>
    <t>&lt;10038389</t>
  </si>
  <si>
    <t>Count</t>
  </si>
  <si>
    <t>Kingston</t>
  </si>
  <si>
    <t>PublicWork_bin</t>
  </si>
  <si>
    <t>Unemployment_bin</t>
  </si>
  <si>
    <t>Названия строк</t>
  </si>
  <si>
    <t>да</t>
  </si>
  <si>
    <t>нет</t>
  </si>
  <si>
    <t>Общий итог</t>
  </si>
  <si>
    <t>Названия столбцов</t>
  </si>
  <si>
    <t>Количество по полю 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</si>
</sst>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" fontId="0" fillId="2" borderId="1" xfId="0" applyNumberFormat="1" applyFill="1" applyBorder="1"/>
    <xf numFmtId="0" fontId="3" fillId="3" borderId="1" xfId="0" applyFont="1" applyFill="1" applyBorder="1"/>
    <xf numFmtId="1" fontId="0" fillId="0" borderId="1" xfId="0" applyNumberFormat="1" applyBorder="1"/>
    <xf numFmtId="0" fontId="2" fillId="0" borderId="0" xfId="0" applyFont="1"/>
    <xf numFmtId="0" fontId="3" fillId="3" borderId="3" xfId="0" applyFont="1" applyFill="1" applyBorder="1"/>
    <xf numFmtId="164" fontId="0" fillId="2" borderId="3" xfId="0" applyNumberFormat="1" applyFill="1" applyBorder="1"/>
    <xf numFmtId="164" fontId="0" fillId="0" borderId="3" xfId="0" applyNumberFormat="1" applyBorder="1"/>
    <xf numFmtId="1" fontId="1" fillId="0" borderId="2" xfId="0" applyNumberFormat="1" applyFont="1" applyBorder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2" borderId="1" xfId="0" applyNumberFormat="1" applyFill="1" applyBorder="1"/>
    <xf numFmtId="164" fontId="0" fillId="0" borderId="1" xfId="0" applyNumberFormat="1" applyBorder="1"/>
  </cellXfs>
  <cellStyles count="1">
    <cellStyle name="Обычный" xfId="0" builtinId="0"/>
  </cellStyles>
  <dxfs count="20">
    <dxf>
      <numFmt numFmtId="2" formatCode="0.00"/>
    </dxf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Unemployment</a:t>
            </a:r>
            <a:endParaRPr lang="ru-RU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877296587926505E-2"/>
          <c:y val="0.21670618630312952"/>
          <c:w val="0.86224781277340334"/>
          <c:h val="0.6909925675053625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</c:marker>
          <c:dPt>
            <c:idx val="1476"/>
            <c:bubble3D val="0"/>
            <c:extLst>
              <c:ext xmlns:c16="http://schemas.microsoft.com/office/drawing/2014/chart" uri="{C3380CC4-5D6E-409C-BE32-E72D297353CC}">
                <c16:uniqueId val="{00000001-9AD5-42D5-BC7E-E9BCBCCFD03F}"/>
              </c:ext>
            </c:extLst>
          </c:dPt>
          <c:dPt>
            <c:idx val="3022"/>
            <c:bubble3D val="0"/>
            <c:spPr>
              <a:ln w="19050">
                <a:noFill/>
              </a:ln>
              <a:effectLst>
                <a:outerShdw blurRad="50800" dist="50800" dir="42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D5-42D5-BC7E-E9BCBCCFD03F}"/>
              </c:ext>
            </c:extLst>
          </c:dPt>
          <c:dPt>
            <c:idx val="3211"/>
            <c:bubble3D val="0"/>
            <c:extLst>
              <c:ext xmlns:c16="http://schemas.microsoft.com/office/drawing/2014/chart" uri="{C3380CC4-5D6E-409C-BE32-E72D297353CC}">
                <c16:uniqueId val="{00000005-9AD5-42D5-BC7E-E9BCBCCFD03F}"/>
              </c:ext>
            </c:extLst>
          </c:dPt>
          <c:xVal>
            <c:numRef>
              <c:f>Визуализация!$A$2:$A$3221</c:f>
              <c:numCache>
                <c:formatCode>0</c:formatCode>
                <c:ptCount val="3220"/>
                <c:pt idx="0">
                  <c:v>24974</c:v>
                </c:pt>
                <c:pt idx="1">
                  <c:v>27317</c:v>
                </c:pt>
                <c:pt idx="2">
                  <c:v>16824</c:v>
                </c:pt>
                <c:pt idx="3">
                  <c:v>18431</c:v>
                </c:pt>
                <c:pt idx="4">
                  <c:v>20532</c:v>
                </c:pt>
                <c:pt idx="5">
                  <c:v>17580</c:v>
                </c:pt>
                <c:pt idx="6">
                  <c:v>18390</c:v>
                </c:pt>
                <c:pt idx="7">
                  <c:v>21374</c:v>
                </c:pt>
                <c:pt idx="8">
                  <c:v>21071</c:v>
                </c:pt>
                <c:pt idx="9">
                  <c:v>21811</c:v>
                </c:pt>
                <c:pt idx="10">
                  <c:v>21399</c:v>
                </c:pt>
                <c:pt idx="11">
                  <c:v>20755</c:v>
                </c:pt>
                <c:pt idx="12">
                  <c:v>20064</c:v>
                </c:pt>
                <c:pt idx="13">
                  <c:v>18905</c:v>
                </c:pt>
                <c:pt idx="14">
                  <c:v>20151</c:v>
                </c:pt>
                <c:pt idx="15">
                  <c:v>24936</c:v>
                </c:pt>
                <c:pt idx="16">
                  <c:v>22546</c:v>
                </c:pt>
                <c:pt idx="17">
                  <c:v>15968</c:v>
                </c:pt>
                <c:pt idx="18">
                  <c:v>17519</c:v>
                </c:pt>
                <c:pt idx="19">
                  <c:v>20977</c:v>
                </c:pt>
                <c:pt idx="20">
                  <c:v>20585</c:v>
                </c:pt>
                <c:pt idx="21">
                  <c:v>20881</c:v>
                </c:pt>
                <c:pt idx="22">
                  <c:v>22566</c:v>
                </c:pt>
                <c:pt idx="23">
                  <c:v>17808</c:v>
                </c:pt>
                <c:pt idx="24">
                  <c:v>18411</c:v>
                </c:pt>
                <c:pt idx="25">
                  <c:v>24381</c:v>
                </c:pt>
                <c:pt idx="26">
                  <c:v>17045</c:v>
                </c:pt>
                <c:pt idx="27">
                  <c:v>20500</c:v>
                </c:pt>
                <c:pt idx="28">
                  <c:v>19545</c:v>
                </c:pt>
                <c:pt idx="29">
                  <c:v>18595</c:v>
                </c:pt>
                <c:pt idx="30">
                  <c:v>20224</c:v>
                </c:pt>
                <c:pt idx="31">
                  <c:v>13611</c:v>
                </c:pt>
                <c:pt idx="32">
                  <c:v>18877</c:v>
                </c:pt>
                <c:pt idx="33">
                  <c:v>22931</c:v>
                </c:pt>
                <c:pt idx="34">
                  <c:v>23925</c:v>
                </c:pt>
                <c:pt idx="35">
                  <c:v>20066</c:v>
                </c:pt>
                <c:pt idx="36">
                  <c:v>27240</c:v>
                </c:pt>
                <c:pt idx="37">
                  <c:v>20130</c:v>
                </c:pt>
                <c:pt idx="38">
                  <c:v>24215</c:v>
                </c:pt>
                <c:pt idx="39">
                  <c:v>21369</c:v>
                </c:pt>
                <c:pt idx="40">
                  <c:v>24356</c:v>
                </c:pt>
                <c:pt idx="41">
                  <c:v>25569</c:v>
                </c:pt>
                <c:pt idx="42">
                  <c:v>18429</c:v>
                </c:pt>
                <c:pt idx="43">
                  <c:v>17374</c:v>
                </c:pt>
                <c:pt idx="44">
                  <c:v>32131</c:v>
                </c:pt>
                <c:pt idx="45">
                  <c:v>21471</c:v>
                </c:pt>
                <c:pt idx="46">
                  <c:v>20042</c:v>
                </c:pt>
                <c:pt idx="47">
                  <c:v>21363</c:v>
                </c:pt>
                <c:pt idx="48">
                  <c:v>22953</c:v>
                </c:pt>
                <c:pt idx="49">
                  <c:v>15863</c:v>
                </c:pt>
                <c:pt idx="50">
                  <c:v>25138</c:v>
                </c:pt>
                <c:pt idx="51">
                  <c:v>24449</c:v>
                </c:pt>
                <c:pt idx="52">
                  <c:v>14804</c:v>
                </c:pt>
                <c:pt idx="53">
                  <c:v>17957</c:v>
                </c:pt>
                <c:pt idx="54">
                  <c:v>19415</c:v>
                </c:pt>
                <c:pt idx="55">
                  <c:v>19363</c:v>
                </c:pt>
                <c:pt idx="56">
                  <c:v>19882</c:v>
                </c:pt>
                <c:pt idx="57">
                  <c:v>24168</c:v>
                </c:pt>
                <c:pt idx="58">
                  <c:v>33494</c:v>
                </c:pt>
                <c:pt idx="59">
                  <c:v>12887</c:v>
                </c:pt>
                <c:pt idx="60">
                  <c:v>19598</c:v>
                </c:pt>
                <c:pt idx="61">
                  <c:v>21177</c:v>
                </c:pt>
                <c:pt idx="62">
                  <c:v>23124</c:v>
                </c:pt>
                <c:pt idx="63">
                  <c:v>20166</c:v>
                </c:pt>
                <c:pt idx="64">
                  <c:v>19743</c:v>
                </c:pt>
                <c:pt idx="65">
                  <c:v>14170</c:v>
                </c:pt>
                <c:pt idx="66">
                  <c:v>18808</c:v>
                </c:pt>
                <c:pt idx="67">
                  <c:v>28608</c:v>
                </c:pt>
                <c:pt idx="68">
                  <c:v>31754</c:v>
                </c:pt>
                <c:pt idx="69">
                  <c:v>36920</c:v>
                </c:pt>
                <c:pt idx="70">
                  <c:v>17746</c:v>
                </c:pt>
                <c:pt idx="71">
                  <c:v>38267</c:v>
                </c:pt>
                <c:pt idx="72">
                  <c:v>35315</c:v>
                </c:pt>
                <c:pt idx="73">
                  <c:v>22257</c:v>
                </c:pt>
                <c:pt idx="74">
                  <c:v>33244</c:v>
                </c:pt>
                <c:pt idx="75">
                  <c:v>33902</c:v>
                </c:pt>
                <c:pt idx="76">
                  <c:v>30943</c:v>
                </c:pt>
                <c:pt idx="77">
                  <c:v>39979</c:v>
                </c:pt>
                <c:pt idx="78">
                  <c:v>31537</c:v>
                </c:pt>
                <c:pt idx="79">
                  <c:v>32021</c:v>
                </c:pt>
                <c:pt idx="80">
                  <c:v>30657</c:v>
                </c:pt>
                <c:pt idx="81">
                  <c:v>11569</c:v>
                </c:pt>
                <c:pt idx="82">
                  <c:v>23041</c:v>
                </c:pt>
                <c:pt idx="83">
                  <c:v>29913</c:v>
                </c:pt>
                <c:pt idx="84">
                  <c:v>19804</c:v>
                </c:pt>
                <c:pt idx="85">
                  <c:v>51085</c:v>
                </c:pt>
                <c:pt idx="86">
                  <c:v>21101</c:v>
                </c:pt>
                <c:pt idx="87">
                  <c:v>34884</c:v>
                </c:pt>
                <c:pt idx="88">
                  <c:v>25205</c:v>
                </c:pt>
                <c:pt idx="89">
                  <c:v>33890</c:v>
                </c:pt>
                <c:pt idx="90">
                  <c:v>38696</c:v>
                </c:pt>
                <c:pt idx="91">
                  <c:v>30079</c:v>
                </c:pt>
                <c:pt idx="92">
                  <c:v>33293</c:v>
                </c:pt>
                <c:pt idx="93">
                  <c:v>30089</c:v>
                </c:pt>
                <c:pt idx="94">
                  <c:v>33159</c:v>
                </c:pt>
                <c:pt idx="95">
                  <c:v>20698</c:v>
                </c:pt>
                <c:pt idx="96">
                  <c:v>13011</c:v>
                </c:pt>
                <c:pt idx="97">
                  <c:v>23506</c:v>
                </c:pt>
                <c:pt idx="98">
                  <c:v>24308</c:v>
                </c:pt>
                <c:pt idx="99">
                  <c:v>20583</c:v>
                </c:pt>
                <c:pt idx="100">
                  <c:v>17481</c:v>
                </c:pt>
                <c:pt idx="101">
                  <c:v>21994</c:v>
                </c:pt>
                <c:pt idx="102">
                  <c:v>20439</c:v>
                </c:pt>
                <c:pt idx="103">
                  <c:v>27832</c:v>
                </c:pt>
                <c:pt idx="104">
                  <c:v>20974</c:v>
                </c:pt>
                <c:pt idx="105">
                  <c:v>16486</c:v>
                </c:pt>
                <c:pt idx="106">
                  <c:v>25729</c:v>
                </c:pt>
                <c:pt idx="107">
                  <c:v>21130</c:v>
                </c:pt>
                <c:pt idx="108">
                  <c:v>17795</c:v>
                </c:pt>
                <c:pt idx="109">
                  <c:v>25418</c:v>
                </c:pt>
                <c:pt idx="110">
                  <c:v>19102</c:v>
                </c:pt>
                <c:pt idx="111">
                  <c:v>22473</c:v>
                </c:pt>
                <c:pt idx="112">
                  <c:v>19891</c:v>
                </c:pt>
                <c:pt idx="113">
                  <c:v>22475</c:v>
                </c:pt>
                <c:pt idx="114">
                  <c:v>27934</c:v>
                </c:pt>
                <c:pt idx="115">
                  <c:v>21946</c:v>
                </c:pt>
                <c:pt idx="116">
                  <c:v>20252</c:v>
                </c:pt>
                <c:pt idx="117">
                  <c:v>20537</c:v>
                </c:pt>
                <c:pt idx="118">
                  <c:v>20195</c:v>
                </c:pt>
                <c:pt idx="119">
                  <c:v>19053</c:v>
                </c:pt>
                <c:pt idx="120">
                  <c:v>19555</c:v>
                </c:pt>
                <c:pt idx="121">
                  <c:v>19166</c:v>
                </c:pt>
                <c:pt idx="122">
                  <c:v>24912</c:v>
                </c:pt>
                <c:pt idx="123">
                  <c:v>21905</c:v>
                </c:pt>
                <c:pt idx="124">
                  <c:v>20045</c:v>
                </c:pt>
                <c:pt idx="125">
                  <c:v>21897</c:v>
                </c:pt>
                <c:pt idx="126">
                  <c:v>23091</c:v>
                </c:pt>
                <c:pt idx="127">
                  <c:v>20849</c:v>
                </c:pt>
                <c:pt idx="128">
                  <c:v>19682</c:v>
                </c:pt>
                <c:pt idx="129">
                  <c:v>19543</c:v>
                </c:pt>
                <c:pt idx="130">
                  <c:v>17868</c:v>
                </c:pt>
                <c:pt idx="131">
                  <c:v>17788</c:v>
                </c:pt>
                <c:pt idx="132">
                  <c:v>17481</c:v>
                </c:pt>
                <c:pt idx="133">
                  <c:v>24603</c:v>
                </c:pt>
                <c:pt idx="134">
                  <c:v>19550</c:v>
                </c:pt>
                <c:pt idx="135">
                  <c:v>19163</c:v>
                </c:pt>
                <c:pt idx="136">
                  <c:v>24070</c:v>
                </c:pt>
                <c:pt idx="137">
                  <c:v>23686</c:v>
                </c:pt>
                <c:pt idx="138">
                  <c:v>20689</c:v>
                </c:pt>
                <c:pt idx="139">
                  <c:v>17049</c:v>
                </c:pt>
                <c:pt idx="140">
                  <c:v>18956</c:v>
                </c:pt>
                <c:pt idx="141">
                  <c:v>21273</c:v>
                </c:pt>
                <c:pt idx="142">
                  <c:v>20242</c:v>
                </c:pt>
                <c:pt idx="143">
                  <c:v>18995</c:v>
                </c:pt>
                <c:pt idx="144">
                  <c:v>17797</c:v>
                </c:pt>
                <c:pt idx="145">
                  <c:v>19885</c:v>
                </c:pt>
                <c:pt idx="146">
                  <c:v>19341</c:v>
                </c:pt>
                <c:pt idx="147">
                  <c:v>20904</c:v>
                </c:pt>
                <c:pt idx="148">
                  <c:v>17312</c:v>
                </c:pt>
                <c:pt idx="149">
                  <c:v>14298</c:v>
                </c:pt>
                <c:pt idx="150">
                  <c:v>14377</c:v>
                </c:pt>
                <c:pt idx="151">
                  <c:v>19858</c:v>
                </c:pt>
                <c:pt idx="152">
                  <c:v>20011</c:v>
                </c:pt>
                <c:pt idx="153">
                  <c:v>23555</c:v>
                </c:pt>
                <c:pt idx="154">
                  <c:v>20693</c:v>
                </c:pt>
                <c:pt idx="155">
                  <c:v>17779</c:v>
                </c:pt>
                <c:pt idx="156">
                  <c:v>21104</c:v>
                </c:pt>
                <c:pt idx="157">
                  <c:v>19073</c:v>
                </c:pt>
                <c:pt idx="158">
                  <c:v>17470</c:v>
                </c:pt>
                <c:pt idx="159">
                  <c:v>19975</c:v>
                </c:pt>
                <c:pt idx="160">
                  <c:v>17277</c:v>
                </c:pt>
                <c:pt idx="161">
                  <c:v>18038</c:v>
                </c:pt>
                <c:pt idx="162">
                  <c:v>19810</c:v>
                </c:pt>
                <c:pt idx="163">
                  <c:v>22328</c:v>
                </c:pt>
                <c:pt idx="164">
                  <c:v>16700</c:v>
                </c:pt>
                <c:pt idx="165">
                  <c:v>19294</c:v>
                </c:pt>
                <c:pt idx="166">
                  <c:v>17202</c:v>
                </c:pt>
                <c:pt idx="167">
                  <c:v>19004</c:v>
                </c:pt>
                <c:pt idx="168">
                  <c:v>20047</c:v>
                </c:pt>
                <c:pt idx="169">
                  <c:v>19329</c:v>
                </c:pt>
                <c:pt idx="170">
                  <c:v>27708</c:v>
                </c:pt>
                <c:pt idx="171">
                  <c:v>19011</c:v>
                </c:pt>
                <c:pt idx="172">
                  <c:v>15971</c:v>
                </c:pt>
                <c:pt idx="173">
                  <c:v>26050</c:v>
                </c:pt>
                <c:pt idx="174">
                  <c:v>17833</c:v>
                </c:pt>
                <c:pt idx="175">
                  <c:v>18533</c:v>
                </c:pt>
                <c:pt idx="176">
                  <c:v>23182</c:v>
                </c:pt>
                <c:pt idx="177">
                  <c:v>17371</c:v>
                </c:pt>
                <c:pt idx="178">
                  <c:v>16848</c:v>
                </c:pt>
                <c:pt idx="179">
                  <c:v>18944</c:v>
                </c:pt>
                <c:pt idx="180">
                  <c:v>21779</c:v>
                </c:pt>
                <c:pt idx="181">
                  <c:v>19047</c:v>
                </c:pt>
                <c:pt idx="182">
                  <c:v>24638</c:v>
                </c:pt>
                <c:pt idx="183">
                  <c:v>22547</c:v>
                </c:pt>
                <c:pt idx="184">
                  <c:v>18377</c:v>
                </c:pt>
                <c:pt idx="185">
                  <c:v>18288</c:v>
                </c:pt>
                <c:pt idx="186">
                  <c:v>37285</c:v>
                </c:pt>
                <c:pt idx="187">
                  <c:v>21415</c:v>
                </c:pt>
                <c:pt idx="188">
                  <c:v>27473</c:v>
                </c:pt>
                <c:pt idx="189">
                  <c:v>24259</c:v>
                </c:pt>
                <c:pt idx="190">
                  <c:v>29553</c:v>
                </c:pt>
                <c:pt idx="191">
                  <c:v>21897</c:v>
                </c:pt>
                <c:pt idx="192">
                  <c:v>39313</c:v>
                </c:pt>
                <c:pt idx="193">
                  <c:v>19560</c:v>
                </c:pt>
                <c:pt idx="194">
                  <c:v>35588</c:v>
                </c:pt>
                <c:pt idx="195">
                  <c:v>20408</c:v>
                </c:pt>
                <c:pt idx="196">
                  <c:v>21313</c:v>
                </c:pt>
                <c:pt idx="197">
                  <c:v>23367</c:v>
                </c:pt>
                <c:pt idx="198">
                  <c:v>16143</c:v>
                </c:pt>
                <c:pt idx="199">
                  <c:v>27850</c:v>
                </c:pt>
                <c:pt idx="200">
                  <c:v>20644</c:v>
                </c:pt>
                <c:pt idx="201">
                  <c:v>18707</c:v>
                </c:pt>
                <c:pt idx="202">
                  <c:v>21407</c:v>
                </c:pt>
                <c:pt idx="203">
                  <c:v>19274</c:v>
                </c:pt>
                <c:pt idx="204">
                  <c:v>28337</c:v>
                </c:pt>
                <c:pt idx="205">
                  <c:v>17970</c:v>
                </c:pt>
                <c:pt idx="206">
                  <c:v>60236</c:v>
                </c:pt>
                <c:pt idx="207">
                  <c:v>28316</c:v>
                </c:pt>
                <c:pt idx="208">
                  <c:v>24059</c:v>
                </c:pt>
                <c:pt idx="209">
                  <c:v>18204</c:v>
                </c:pt>
                <c:pt idx="210">
                  <c:v>21001</c:v>
                </c:pt>
                <c:pt idx="211">
                  <c:v>29437</c:v>
                </c:pt>
                <c:pt idx="212">
                  <c:v>24994</c:v>
                </c:pt>
                <c:pt idx="213">
                  <c:v>36475</c:v>
                </c:pt>
                <c:pt idx="214">
                  <c:v>32442</c:v>
                </c:pt>
                <c:pt idx="215">
                  <c:v>34817</c:v>
                </c:pt>
                <c:pt idx="216">
                  <c:v>36022</c:v>
                </c:pt>
                <c:pt idx="217">
                  <c:v>30842</c:v>
                </c:pt>
                <c:pt idx="218">
                  <c:v>23783</c:v>
                </c:pt>
                <c:pt idx="219">
                  <c:v>27315</c:v>
                </c:pt>
                <c:pt idx="220">
                  <c:v>27239</c:v>
                </c:pt>
                <c:pt idx="221">
                  <c:v>21352</c:v>
                </c:pt>
                <c:pt idx="222">
                  <c:v>31266</c:v>
                </c:pt>
                <c:pt idx="223">
                  <c:v>52220</c:v>
                </c:pt>
                <c:pt idx="224">
                  <c:v>22645</c:v>
                </c:pt>
                <c:pt idx="225">
                  <c:v>31060</c:v>
                </c:pt>
                <c:pt idx="226">
                  <c:v>48278</c:v>
                </c:pt>
                <c:pt idx="227">
                  <c:v>30589</c:v>
                </c:pt>
                <c:pt idx="228">
                  <c:v>43880</c:v>
                </c:pt>
                <c:pt idx="229">
                  <c:v>33241</c:v>
                </c:pt>
                <c:pt idx="230">
                  <c:v>24107</c:v>
                </c:pt>
                <c:pt idx="231">
                  <c:v>29986</c:v>
                </c:pt>
                <c:pt idx="232">
                  <c:v>22561</c:v>
                </c:pt>
                <c:pt idx="233">
                  <c:v>29185</c:v>
                </c:pt>
                <c:pt idx="234">
                  <c:v>34235</c:v>
                </c:pt>
                <c:pt idx="235">
                  <c:v>21922</c:v>
                </c:pt>
                <c:pt idx="236">
                  <c:v>23689</c:v>
                </c:pt>
                <c:pt idx="237">
                  <c:v>21263</c:v>
                </c:pt>
                <c:pt idx="238">
                  <c:v>22975</c:v>
                </c:pt>
                <c:pt idx="239">
                  <c:v>17876</c:v>
                </c:pt>
                <c:pt idx="240">
                  <c:v>27054</c:v>
                </c:pt>
                <c:pt idx="241">
                  <c:v>33435</c:v>
                </c:pt>
                <c:pt idx="242">
                  <c:v>28116</c:v>
                </c:pt>
                <c:pt idx="243">
                  <c:v>20471</c:v>
                </c:pt>
                <c:pt idx="244">
                  <c:v>25039</c:v>
                </c:pt>
                <c:pt idx="245">
                  <c:v>19524</c:v>
                </c:pt>
                <c:pt idx="246">
                  <c:v>34190</c:v>
                </c:pt>
                <c:pt idx="247">
                  <c:v>28884</c:v>
                </c:pt>
                <c:pt idx="248">
                  <c:v>21361</c:v>
                </c:pt>
                <c:pt idx="249">
                  <c:v>13544</c:v>
                </c:pt>
                <c:pt idx="250">
                  <c:v>39074</c:v>
                </c:pt>
                <c:pt idx="251">
                  <c:v>40135</c:v>
                </c:pt>
                <c:pt idx="252">
                  <c:v>28064</c:v>
                </c:pt>
                <c:pt idx="253">
                  <c:v>23553</c:v>
                </c:pt>
                <c:pt idx="254">
                  <c:v>42812</c:v>
                </c:pt>
                <c:pt idx="255">
                  <c:v>18844</c:v>
                </c:pt>
                <c:pt idx="256">
                  <c:v>21809</c:v>
                </c:pt>
                <c:pt idx="257">
                  <c:v>10742</c:v>
                </c:pt>
                <c:pt idx="258">
                  <c:v>22661</c:v>
                </c:pt>
                <c:pt idx="259">
                  <c:v>24417</c:v>
                </c:pt>
                <c:pt idx="260">
                  <c:v>35218</c:v>
                </c:pt>
                <c:pt idx="261">
                  <c:v>20199</c:v>
                </c:pt>
                <c:pt idx="262">
                  <c:v>45500</c:v>
                </c:pt>
                <c:pt idx="263">
                  <c:v>38193</c:v>
                </c:pt>
                <c:pt idx="264">
                  <c:v>38021</c:v>
                </c:pt>
                <c:pt idx="265">
                  <c:v>29659</c:v>
                </c:pt>
                <c:pt idx="266">
                  <c:v>18619</c:v>
                </c:pt>
                <c:pt idx="267">
                  <c:v>27574</c:v>
                </c:pt>
                <c:pt idx="268">
                  <c:v>38361</c:v>
                </c:pt>
                <c:pt idx="269">
                  <c:v>31432</c:v>
                </c:pt>
                <c:pt idx="270">
                  <c:v>25584</c:v>
                </c:pt>
                <c:pt idx="271">
                  <c:v>33816</c:v>
                </c:pt>
                <c:pt idx="272">
                  <c:v>23467</c:v>
                </c:pt>
                <c:pt idx="273">
                  <c:v>27938</c:v>
                </c:pt>
                <c:pt idx="274">
                  <c:v>37065</c:v>
                </c:pt>
                <c:pt idx="275">
                  <c:v>22731</c:v>
                </c:pt>
                <c:pt idx="276">
                  <c:v>21769</c:v>
                </c:pt>
                <c:pt idx="277">
                  <c:v>24399</c:v>
                </c:pt>
                <c:pt idx="278">
                  <c:v>31822</c:v>
                </c:pt>
                <c:pt idx="279">
                  <c:v>31304</c:v>
                </c:pt>
                <c:pt idx="280">
                  <c:v>22935</c:v>
                </c:pt>
                <c:pt idx="281">
                  <c:v>15203</c:v>
                </c:pt>
                <c:pt idx="282">
                  <c:v>23916</c:v>
                </c:pt>
                <c:pt idx="283">
                  <c:v>26569</c:v>
                </c:pt>
                <c:pt idx="284">
                  <c:v>32271</c:v>
                </c:pt>
                <c:pt idx="285">
                  <c:v>24624</c:v>
                </c:pt>
                <c:pt idx="286">
                  <c:v>23470</c:v>
                </c:pt>
                <c:pt idx="287">
                  <c:v>23144</c:v>
                </c:pt>
                <c:pt idx="288">
                  <c:v>22101</c:v>
                </c:pt>
                <c:pt idx="289">
                  <c:v>19228</c:v>
                </c:pt>
                <c:pt idx="290">
                  <c:v>33392</c:v>
                </c:pt>
                <c:pt idx="291">
                  <c:v>31734</c:v>
                </c:pt>
                <c:pt idx="292">
                  <c:v>24967</c:v>
                </c:pt>
                <c:pt idx="293">
                  <c:v>55519</c:v>
                </c:pt>
                <c:pt idx="294">
                  <c:v>20087</c:v>
                </c:pt>
                <c:pt idx="295">
                  <c:v>22191</c:v>
                </c:pt>
                <c:pt idx="296">
                  <c:v>27274</c:v>
                </c:pt>
                <c:pt idx="297">
                  <c:v>22269</c:v>
                </c:pt>
                <c:pt idx="298">
                  <c:v>36472</c:v>
                </c:pt>
                <c:pt idx="299">
                  <c:v>21711</c:v>
                </c:pt>
                <c:pt idx="300">
                  <c:v>23143</c:v>
                </c:pt>
                <c:pt idx="301">
                  <c:v>40149</c:v>
                </c:pt>
                <c:pt idx="302">
                  <c:v>22857</c:v>
                </c:pt>
                <c:pt idx="303">
                  <c:v>35753</c:v>
                </c:pt>
                <c:pt idx="304">
                  <c:v>32707</c:v>
                </c:pt>
                <c:pt idx="305">
                  <c:v>24817</c:v>
                </c:pt>
                <c:pt idx="306">
                  <c:v>26751</c:v>
                </c:pt>
                <c:pt idx="307">
                  <c:v>23246</c:v>
                </c:pt>
                <c:pt idx="308">
                  <c:v>50137</c:v>
                </c:pt>
                <c:pt idx="309">
                  <c:v>35611</c:v>
                </c:pt>
                <c:pt idx="310">
                  <c:v>38530</c:v>
                </c:pt>
                <c:pt idx="311">
                  <c:v>41277</c:v>
                </c:pt>
                <c:pt idx="312">
                  <c:v>32852</c:v>
                </c:pt>
                <c:pt idx="313">
                  <c:v>34208</c:v>
                </c:pt>
                <c:pt idx="314">
                  <c:v>35446</c:v>
                </c:pt>
                <c:pt idx="315">
                  <c:v>28140</c:v>
                </c:pt>
                <c:pt idx="316">
                  <c:v>25404</c:v>
                </c:pt>
                <c:pt idx="317">
                  <c:v>32894</c:v>
                </c:pt>
                <c:pt idx="318">
                  <c:v>28558</c:v>
                </c:pt>
                <c:pt idx="319">
                  <c:v>47675</c:v>
                </c:pt>
                <c:pt idx="320">
                  <c:v>25498</c:v>
                </c:pt>
                <c:pt idx="321">
                  <c:v>20471</c:v>
                </c:pt>
                <c:pt idx="322">
                  <c:v>25246</c:v>
                </c:pt>
                <c:pt idx="323">
                  <c:v>19739</c:v>
                </c:pt>
                <c:pt idx="324">
                  <c:v>27571</c:v>
                </c:pt>
                <c:pt idx="325">
                  <c:v>28381</c:v>
                </c:pt>
                <c:pt idx="326">
                  <c:v>16536</c:v>
                </c:pt>
                <c:pt idx="327">
                  <c:v>26984</c:v>
                </c:pt>
                <c:pt idx="328">
                  <c:v>23979</c:v>
                </c:pt>
                <c:pt idx="329">
                  <c:v>26464</c:v>
                </c:pt>
                <c:pt idx="330">
                  <c:v>38297</c:v>
                </c:pt>
                <c:pt idx="331">
                  <c:v>20563</c:v>
                </c:pt>
                <c:pt idx="332">
                  <c:v>16441</c:v>
                </c:pt>
                <c:pt idx="333">
                  <c:v>17850</c:v>
                </c:pt>
                <c:pt idx="334">
                  <c:v>26543</c:v>
                </c:pt>
                <c:pt idx="335">
                  <c:v>24161</c:v>
                </c:pt>
                <c:pt idx="336">
                  <c:v>24360</c:v>
                </c:pt>
                <c:pt idx="337">
                  <c:v>20868</c:v>
                </c:pt>
                <c:pt idx="338">
                  <c:v>17834</c:v>
                </c:pt>
                <c:pt idx="339">
                  <c:v>21436</c:v>
                </c:pt>
                <c:pt idx="340">
                  <c:v>17879</c:v>
                </c:pt>
                <c:pt idx="341">
                  <c:v>19631</c:v>
                </c:pt>
                <c:pt idx="342">
                  <c:v>14742</c:v>
                </c:pt>
                <c:pt idx="343">
                  <c:v>16298</c:v>
                </c:pt>
                <c:pt idx="344">
                  <c:v>16980</c:v>
                </c:pt>
                <c:pt idx="345">
                  <c:v>21586</c:v>
                </c:pt>
                <c:pt idx="346">
                  <c:v>21117</c:v>
                </c:pt>
                <c:pt idx="347">
                  <c:v>27764</c:v>
                </c:pt>
                <c:pt idx="348">
                  <c:v>16468</c:v>
                </c:pt>
                <c:pt idx="349">
                  <c:v>31882</c:v>
                </c:pt>
                <c:pt idx="350">
                  <c:v>17196</c:v>
                </c:pt>
                <c:pt idx="351">
                  <c:v>21080</c:v>
                </c:pt>
                <c:pt idx="352">
                  <c:v>19404</c:v>
                </c:pt>
                <c:pt idx="353">
                  <c:v>24236</c:v>
                </c:pt>
                <c:pt idx="354">
                  <c:v>28010</c:v>
                </c:pt>
                <c:pt idx="355">
                  <c:v>26522</c:v>
                </c:pt>
                <c:pt idx="356">
                  <c:v>20299</c:v>
                </c:pt>
                <c:pt idx="357">
                  <c:v>16972</c:v>
                </c:pt>
                <c:pt idx="358">
                  <c:v>16274</c:v>
                </c:pt>
                <c:pt idx="359">
                  <c:v>27958</c:v>
                </c:pt>
                <c:pt idx="360">
                  <c:v>21675</c:v>
                </c:pt>
                <c:pt idx="361">
                  <c:v>34742</c:v>
                </c:pt>
                <c:pt idx="362">
                  <c:v>23850</c:v>
                </c:pt>
                <c:pt idx="363">
                  <c:v>36208</c:v>
                </c:pt>
                <c:pt idx="364">
                  <c:v>28670</c:v>
                </c:pt>
                <c:pt idx="365">
                  <c:v>28902</c:v>
                </c:pt>
                <c:pt idx="366">
                  <c:v>16931</c:v>
                </c:pt>
                <c:pt idx="367">
                  <c:v>25411</c:v>
                </c:pt>
                <c:pt idx="368">
                  <c:v>19165</c:v>
                </c:pt>
                <c:pt idx="369">
                  <c:v>33650</c:v>
                </c:pt>
                <c:pt idx="370">
                  <c:v>24455</c:v>
                </c:pt>
                <c:pt idx="371">
                  <c:v>30170</c:v>
                </c:pt>
                <c:pt idx="372">
                  <c:v>21196</c:v>
                </c:pt>
                <c:pt idx="373">
                  <c:v>18082</c:v>
                </c:pt>
                <c:pt idx="374">
                  <c:v>37581</c:v>
                </c:pt>
                <c:pt idx="375">
                  <c:v>23657</c:v>
                </c:pt>
                <c:pt idx="376">
                  <c:v>27892</c:v>
                </c:pt>
                <c:pt idx="377">
                  <c:v>34479</c:v>
                </c:pt>
                <c:pt idx="378">
                  <c:v>29162</c:v>
                </c:pt>
                <c:pt idx="379">
                  <c:v>30145</c:v>
                </c:pt>
                <c:pt idx="380">
                  <c:v>18573</c:v>
                </c:pt>
                <c:pt idx="381">
                  <c:v>15811</c:v>
                </c:pt>
                <c:pt idx="382">
                  <c:v>12291</c:v>
                </c:pt>
                <c:pt idx="383">
                  <c:v>24026</c:v>
                </c:pt>
                <c:pt idx="384">
                  <c:v>20823</c:v>
                </c:pt>
                <c:pt idx="385">
                  <c:v>27393</c:v>
                </c:pt>
                <c:pt idx="386">
                  <c:v>18164</c:v>
                </c:pt>
                <c:pt idx="387">
                  <c:v>19178</c:v>
                </c:pt>
                <c:pt idx="388">
                  <c:v>17022</c:v>
                </c:pt>
                <c:pt idx="389">
                  <c:v>18349</c:v>
                </c:pt>
                <c:pt idx="390">
                  <c:v>20959</c:v>
                </c:pt>
                <c:pt idx="391">
                  <c:v>18611</c:v>
                </c:pt>
                <c:pt idx="392">
                  <c:v>19211</c:v>
                </c:pt>
                <c:pt idx="393">
                  <c:v>21411</c:v>
                </c:pt>
                <c:pt idx="394">
                  <c:v>22592</c:v>
                </c:pt>
                <c:pt idx="395">
                  <c:v>15316</c:v>
                </c:pt>
                <c:pt idx="396">
                  <c:v>16523</c:v>
                </c:pt>
                <c:pt idx="397">
                  <c:v>21591</c:v>
                </c:pt>
                <c:pt idx="398">
                  <c:v>19503</c:v>
                </c:pt>
                <c:pt idx="399">
                  <c:v>17276</c:v>
                </c:pt>
                <c:pt idx="400">
                  <c:v>19744</c:v>
                </c:pt>
                <c:pt idx="401">
                  <c:v>26934</c:v>
                </c:pt>
                <c:pt idx="402">
                  <c:v>18719</c:v>
                </c:pt>
                <c:pt idx="403">
                  <c:v>17546</c:v>
                </c:pt>
                <c:pt idx="404">
                  <c:v>19433</c:v>
                </c:pt>
                <c:pt idx="405">
                  <c:v>14242</c:v>
                </c:pt>
                <c:pt idx="406">
                  <c:v>23856</c:v>
                </c:pt>
                <c:pt idx="407">
                  <c:v>16897</c:v>
                </c:pt>
                <c:pt idx="408">
                  <c:v>21320</c:v>
                </c:pt>
                <c:pt idx="409">
                  <c:v>22642</c:v>
                </c:pt>
                <c:pt idx="410">
                  <c:v>18036</c:v>
                </c:pt>
                <c:pt idx="411">
                  <c:v>25690</c:v>
                </c:pt>
                <c:pt idx="412">
                  <c:v>19487</c:v>
                </c:pt>
                <c:pt idx="413">
                  <c:v>16333</c:v>
                </c:pt>
                <c:pt idx="414">
                  <c:v>30595</c:v>
                </c:pt>
                <c:pt idx="415">
                  <c:v>19276</c:v>
                </c:pt>
                <c:pt idx="416">
                  <c:v>12790</c:v>
                </c:pt>
                <c:pt idx="417">
                  <c:v>18107</c:v>
                </c:pt>
                <c:pt idx="418">
                  <c:v>17127</c:v>
                </c:pt>
                <c:pt idx="419">
                  <c:v>33778</c:v>
                </c:pt>
                <c:pt idx="420">
                  <c:v>17540</c:v>
                </c:pt>
                <c:pt idx="421">
                  <c:v>17353</c:v>
                </c:pt>
                <c:pt idx="422">
                  <c:v>30603</c:v>
                </c:pt>
                <c:pt idx="423">
                  <c:v>18790</c:v>
                </c:pt>
                <c:pt idx="424">
                  <c:v>28106</c:v>
                </c:pt>
                <c:pt idx="425">
                  <c:v>20904</c:v>
                </c:pt>
                <c:pt idx="426">
                  <c:v>19439</c:v>
                </c:pt>
                <c:pt idx="427">
                  <c:v>21547</c:v>
                </c:pt>
                <c:pt idx="428">
                  <c:v>28832</c:v>
                </c:pt>
                <c:pt idx="429">
                  <c:v>18310</c:v>
                </c:pt>
                <c:pt idx="430">
                  <c:v>29486</c:v>
                </c:pt>
                <c:pt idx="431">
                  <c:v>17887</c:v>
                </c:pt>
                <c:pt idx="432">
                  <c:v>14295</c:v>
                </c:pt>
                <c:pt idx="433">
                  <c:v>18999</c:v>
                </c:pt>
                <c:pt idx="434">
                  <c:v>23158</c:v>
                </c:pt>
                <c:pt idx="435">
                  <c:v>18116</c:v>
                </c:pt>
                <c:pt idx="436">
                  <c:v>16954</c:v>
                </c:pt>
                <c:pt idx="437">
                  <c:v>25123</c:v>
                </c:pt>
                <c:pt idx="438">
                  <c:v>19841</c:v>
                </c:pt>
                <c:pt idx="439">
                  <c:v>17096</c:v>
                </c:pt>
                <c:pt idx="440">
                  <c:v>19625</c:v>
                </c:pt>
                <c:pt idx="441">
                  <c:v>20534</c:v>
                </c:pt>
                <c:pt idx="442">
                  <c:v>36362</c:v>
                </c:pt>
                <c:pt idx="443">
                  <c:v>21218</c:v>
                </c:pt>
                <c:pt idx="444">
                  <c:v>35696</c:v>
                </c:pt>
                <c:pt idx="445">
                  <c:v>17743</c:v>
                </c:pt>
                <c:pt idx="446">
                  <c:v>37926</c:v>
                </c:pt>
                <c:pt idx="447">
                  <c:v>21766</c:v>
                </c:pt>
                <c:pt idx="448">
                  <c:v>18921</c:v>
                </c:pt>
                <c:pt idx="449">
                  <c:v>26541</c:v>
                </c:pt>
                <c:pt idx="450">
                  <c:v>19707</c:v>
                </c:pt>
                <c:pt idx="451">
                  <c:v>16953</c:v>
                </c:pt>
                <c:pt idx="452">
                  <c:v>28209</c:v>
                </c:pt>
                <c:pt idx="453">
                  <c:v>25831</c:v>
                </c:pt>
                <c:pt idx="454">
                  <c:v>19026</c:v>
                </c:pt>
                <c:pt idx="455">
                  <c:v>24292</c:v>
                </c:pt>
                <c:pt idx="456">
                  <c:v>12358</c:v>
                </c:pt>
                <c:pt idx="457">
                  <c:v>20740</c:v>
                </c:pt>
                <c:pt idx="458">
                  <c:v>30386</c:v>
                </c:pt>
                <c:pt idx="459">
                  <c:v>20733</c:v>
                </c:pt>
                <c:pt idx="460">
                  <c:v>19222</c:v>
                </c:pt>
                <c:pt idx="461">
                  <c:v>24996</c:v>
                </c:pt>
                <c:pt idx="462">
                  <c:v>24368</c:v>
                </c:pt>
                <c:pt idx="463">
                  <c:v>17576</c:v>
                </c:pt>
                <c:pt idx="464">
                  <c:v>23504</c:v>
                </c:pt>
                <c:pt idx="465">
                  <c:v>20570</c:v>
                </c:pt>
                <c:pt idx="466">
                  <c:v>18446</c:v>
                </c:pt>
                <c:pt idx="467">
                  <c:v>16048</c:v>
                </c:pt>
                <c:pt idx="468">
                  <c:v>17366</c:v>
                </c:pt>
                <c:pt idx="469">
                  <c:v>16954</c:v>
                </c:pt>
                <c:pt idx="470">
                  <c:v>26005</c:v>
                </c:pt>
                <c:pt idx="471">
                  <c:v>19217</c:v>
                </c:pt>
                <c:pt idx="472">
                  <c:v>16688</c:v>
                </c:pt>
                <c:pt idx="473">
                  <c:v>19194</c:v>
                </c:pt>
                <c:pt idx="474">
                  <c:v>27999</c:v>
                </c:pt>
                <c:pt idx="475">
                  <c:v>19785</c:v>
                </c:pt>
                <c:pt idx="476">
                  <c:v>22373</c:v>
                </c:pt>
                <c:pt idx="477">
                  <c:v>18166</c:v>
                </c:pt>
                <c:pt idx="478">
                  <c:v>19173</c:v>
                </c:pt>
                <c:pt idx="479">
                  <c:v>21963</c:v>
                </c:pt>
                <c:pt idx="480">
                  <c:v>19065</c:v>
                </c:pt>
                <c:pt idx="481">
                  <c:v>23887</c:v>
                </c:pt>
                <c:pt idx="482">
                  <c:v>13431</c:v>
                </c:pt>
                <c:pt idx="483">
                  <c:v>20857</c:v>
                </c:pt>
                <c:pt idx="484">
                  <c:v>19077</c:v>
                </c:pt>
                <c:pt idx="485">
                  <c:v>18059</c:v>
                </c:pt>
                <c:pt idx="486">
                  <c:v>18904</c:v>
                </c:pt>
                <c:pt idx="487">
                  <c:v>15297</c:v>
                </c:pt>
                <c:pt idx="488">
                  <c:v>25539</c:v>
                </c:pt>
                <c:pt idx="489">
                  <c:v>17402</c:v>
                </c:pt>
                <c:pt idx="490">
                  <c:v>24435</c:v>
                </c:pt>
                <c:pt idx="491">
                  <c:v>17043</c:v>
                </c:pt>
                <c:pt idx="492">
                  <c:v>23318</c:v>
                </c:pt>
                <c:pt idx="493">
                  <c:v>21717</c:v>
                </c:pt>
                <c:pt idx="494">
                  <c:v>33528</c:v>
                </c:pt>
                <c:pt idx="495">
                  <c:v>21848</c:v>
                </c:pt>
                <c:pt idx="496">
                  <c:v>24930</c:v>
                </c:pt>
                <c:pt idx="497">
                  <c:v>20689</c:v>
                </c:pt>
                <c:pt idx="498">
                  <c:v>27720</c:v>
                </c:pt>
                <c:pt idx="499">
                  <c:v>21619</c:v>
                </c:pt>
                <c:pt idx="500">
                  <c:v>23150</c:v>
                </c:pt>
                <c:pt idx="501">
                  <c:v>20293</c:v>
                </c:pt>
                <c:pt idx="502">
                  <c:v>17656</c:v>
                </c:pt>
                <c:pt idx="503">
                  <c:v>25864</c:v>
                </c:pt>
                <c:pt idx="504">
                  <c:v>17334</c:v>
                </c:pt>
                <c:pt idx="505">
                  <c:v>22869</c:v>
                </c:pt>
                <c:pt idx="506">
                  <c:v>26031</c:v>
                </c:pt>
                <c:pt idx="507">
                  <c:v>20659</c:v>
                </c:pt>
                <c:pt idx="508">
                  <c:v>22614</c:v>
                </c:pt>
                <c:pt idx="509">
                  <c:v>19858</c:v>
                </c:pt>
                <c:pt idx="510">
                  <c:v>18597</c:v>
                </c:pt>
                <c:pt idx="511">
                  <c:v>19891</c:v>
                </c:pt>
                <c:pt idx="512">
                  <c:v>19588</c:v>
                </c:pt>
                <c:pt idx="513">
                  <c:v>20001</c:v>
                </c:pt>
                <c:pt idx="514">
                  <c:v>13721</c:v>
                </c:pt>
                <c:pt idx="515">
                  <c:v>17404</c:v>
                </c:pt>
                <c:pt idx="516">
                  <c:v>18971</c:v>
                </c:pt>
                <c:pt idx="517">
                  <c:v>14805</c:v>
                </c:pt>
                <c:pt idx="518">
                  <c:v>14957</c:v>
                </c:pt>
                <c:pt idx="519">
                  <c:v>16857</c:v>
                </c:pt>
                <c:pt idx="520">
                  <c:v>12155</c:v>
                </c:pt>
                <c:pt idx="521">
                  <c:v>16242</c:v>
                </c:pt>
                <c:pt idx="522">
                  <c:v>20471</c:v>
                </c:pt>
                <c:pt idx="523">
                  <c:v>20078</c:v>
                </c:pt>
                <c:pt idx="524">
                  <c:v>19564</c:v>
                </c:pt>
                <c:pt idx="525">
                  <c:v>19978</c:v>
                </c:pt>
                <c:pt idx="526">
                  <c:v>21127</c:v>
                </c:pt>
                <c:pt idx="527">
                  <c:v>21559</c:v>
                </c:pt>
                <c:pt idx="528">
                  <c:v>18227</c:v>
                </c:pt>
                <c:pt idx="529">
                  <c:v>17768</c:v>
                </c:pt>
                <c:pt idx="530">
                  <c:v>21872</c:v>
                </c:pt>
                <c:pt idx="531">
                  <c:v>19069</c:v>
                </c:pt>
                <c:pt idx="532">
                  <c:v>21430</c:v>
                </c:pt>
                <c:pt idx="533">
                  <c:v>23625</c:v>
                </c:pt>
                <c:pt idx="534">
                  <c:v>18100</c:v>
                </c:pt>
                <c:pt idx="535">
                  <c:v>18174</c:v>
                </c:pt>
                <c:pt idx="536">
                  <c:v>18285</c:v>
                </c:pt>
                <c:pt idx="537">
                  <c:v>18291</c:v>
                </c:pt>
                <c:pt idx="538">
                  <c:v>18767</c:v>
                </c:pt>
                <c:pt idx="539">
                  <c:v>8292</c:v>
                </c:pt>
                <c:pt idx="540">
                  <c:v>21718</c:v>
                </c:pt>
                <c:pt idx="541">
                  <c:v>20353</c:v>
                </c:pt>
                <c:pt idx="542">
                  <c:v>13521</c:v>
                </c:pt>
                <c:pt idx="543">
                  <c:v>18392</c:v>
                </c:pt>
                <c:pt idx="544">
                  <c:v>18037</c:v>
                </c:pt>
                <c:pt idx="545">
                  <c:v>18762</c:v>
                </c:pt>
                <c:pt idx="546">
                  <c:v>24548</c:v>
                </c:pt>
                <c:pt idx="547">
                  <c:v>31041</c:v>
                </c:pt>
                <c:pt idx="548">
                  <c:v>46769</c:v>
                </c:pt>
                <c:pt idx="549">
                  <c:v>27441</c:v>
                </c:pt>
                <c:pt idx="550">
                  <c:v>29664</c:v>
                </c:pt>
                <c:pt idx="551">
                  <c:v>28851</c:v>
                </c:pt>
                <c:pt idx="552">
                  <c:v>21219</c:v>
                </c:pt>
                <c:pt idx="553">
                  <c:v>21598</c:v>
                </c:pt>
                <c:pt idx="554">
                  <c:v>22959</c:v>
                </c:pt>
                <c:pt idx="555">
                  <c:v>20937</c:v>
                </c:pt>
                <c:pt idx="556">
                  <c:v>20164</c:v>
                </c:pt>
                <c:pt idx="557">
                  <c:v>34208</c:v>
                </c:pt>
                <c:pt idx="558">
                  <c:v>27276</c:v>
                </c:pt>
                <c:pt idx="559">
                  <c:v>23981</c:v>
                </c:pt>
                <c:pt idx="560">
                  <c:v>23926</c:v>
                </c:pt>
                <c:pt idx="561">
                  <c:v>20795</c:v>
                </c:pt>
                <c:pt idx="562">
                  <c:v>21982</c:v>
                </c:pt>
                <c:pt idx="563">
                  <c:v>24588</c:v>
                </c:pt>
                <c:pt idx="564">
                  <c:v>17915</c:v>
                </c:pt>
                <c:pt idx="565">
                  <c:v>25172</c:v>
                </c:pt>
                <c:pt idx="566">
                  <c:v>18227</c:v>
                </c:pt>
                <c:pt idx="567">
                  <c:v>15151</c:v>
                </c:pt>
                <c:pt idx="568">
                  <c:v>20079</c:v>
                </c:pt>
                <c:pt idx="569">
                  <c:v>22861</c:v>
                </c:pt>
                <c:pt idx="570">
                  <c:v>21326</c:v>
                </c:pt>
                <c:pt idx="571">
                  <c:v>18855</c:v>
                </c:pt>
                <c:pt idx="572">
                  <c:v>20302</c:v>
                </c:pt>
                <c:pt idx="573">
                  <c:v>19726</c:v>
                </c:pt>
                <c:pt idx="574">
                  <c:v>19688</c:v>
                </c:pt>
                <c:pt idx="575">
                  <c:v>19611</c:v>
                </c:pt>
                <c:pt idx="576">
                  <c:v>19501</c:v>
                </c:pt>
                <c:pt idx="577">
                  <c:v>17708</c:v>
                </c:pt>
                <c:pt idx="578">
                  <c:v>25744</c:v>
                </c:pt>
                <c:pt idx="579">
                  <c:v>22766</c:v>
                </c:pt>
                <c:pt idx="580">
                  <c:v>22134</c:v>
                </c:pt>
                <c:pt idx="581">
                  <c:v>21152</c:v>
                </c:pt>
                <c:pt idx="582">
                  <c:v>17204</c:v>
                </c:pt>
                <c:pt idx="583">
                  <c:v>14653</c:v>
                </c:pt>
                <c:pt idx="584">
                  <c:v>20674</c:v>
                </c:pt>
                <c:pt idx="585">
                  <c:v>25177</c:v>
                </c:pt>
                <c:pt idx="586">
                  <c:v>20089</c:v>
                </c:pt>
                <c:pt idx="587">
                  <c:v>16854</c:v>
                </c:pt>
                <c:pt idx="588">
                  <c:v>20689</c:v>
                </c:pt>
                <c:pt idx="589">
                  <c:v>18877</c:v>
                </c:pt>
                <c:pt idx="590">
                  <c:v>21254</c:v>
                </c:pt>
                <c:pt idx="591">
                  <c:v>24118</c:v>
                </c:pt>
                <c:pt idx="592">
                  <c:v>21553</c:v>
                </c:pt>
                <c:pt idx="593">
                  <c:v>23962</c:v>
                </c:pt>
                <c:pt idx="594">
                  <c:v>18343</c:v>
                </c:pt>
                <c:pt idx="595">
                  <c:v>24380</c:v>
                </c:pt>
                <c:pt idx="596">
                  <c:v>14729</c:v>
                </c:pt>
                <c:pt idx="597">
                  <c:v>22867</c:v>
                </c:pt>
                <c:pt idx="598">
                  <c:v>26170</c:v>
                </c:pt>
                <c:pt idx="599">
                  <c:v>21065</c:v>
                </c:pt>
                <c:pt idx="600">
                  <c:v>27304</c:v>
                </c:pt>
                <c:pt idx="601">
                  <c:v>26407</c:v>
                </c:pt>
                <c:pt idx="602">
                  <c:v>26493</c:v>
                </c:pt>
                <c:pt idx="603">
                  <c:v>24262</c:v>
                </c:pt>
                <c:pt idx="604">
                  <c:v>26078</c:v>
                </c:pt>
                <c:pt idx="605">
                  <c:v>23263</c:v>
                </c:pt>
                <c:pt idx="606">
                  <c:v>25744</c:v>
                </c:pt>
                <c:pt idx="607">
                  <c:v>22797</c:v>
                </c:pt>
                <c:pt idx="608">
                  <c:v>28839</c:v>
                </c:pt>
                <c:pt idx="609">
                  <c:v>23525</c:v>
                </c:pt>
                <c:pt idx="610">
                  <c:v>31013</c:v>
                </c:pt>
                <c:pt idx="611">
                  <c:v>26351</c:v>
                </c:pt>
                <c:pt idx="612">
                  <c:v>22596</c:v>
                </c:pt>
                <c:pt idx="613">
                  <c:v>24025</c:v>
                </c:pt>
                <c:pt idx="614">
                  <c:v>29100</c:v>
                </c:pt>
                <c:pt idx="615">
                  <c:v>25455</c:v>
                </c:pt>
                <c:pt idx="616">
                  <c:v>39336</c:v>
                </c:pt>
                <c:pt idx="617">
                  <c:v>25389</c:v>
                </c:pt>
                <c:pt idx="618">
                  <c:v>22885</c:v>
                </c:pt>
                <c:pt idx="619">
                  <c:v>26775</c:v>
                </c:pt>
                <c:pt idx="620">
                  <c:v>21472</c:v>
                </c:pt>
                <c:pt idx="621">
                  <c:v>26010</c:v>
                </c:pt>
                <c:pt idx="622">
                  <c:v>21625</c:v>
                </c:pt>
                <c:pt idx="623">
                  <c:v>22651</c:v>
                </c:pt>
                <c:pt idx="624">
                  <c:v>22125</c:v>
                </c:pt>
                <c:pt idx="625">
                  <c:v>22105</c:v>
                </c:pt>
                <c:pt idx="626">
                  <c:v>29622</c:v>
                </c:pt>
                <c:pt idx="627">
                  <c:v>24110</c:v>
                </c:pt>
                <c:pt idx="628">
                  <c:v>25085</c:v>
                </c:pt>
                <c:pt idx="629">
                  <c:v>21415</c:v>
                </c:pt>
                <c:pt idx="630">
                  <c:v>26603</c:v>
                </c:pt>
                <c:pt idx="631">
                  <c:v>27402</c:v>
                </c:pt>
                <c:pt idx="632">
                  <c:v>25565</c:v>
                </c:pt>
                <c:pt idx="633">
                  <c:v>21147</c:v>
                </c:pt>
                <c:pt idx="634">
                  <c:v>25303</c:v>
                </c:pt>
                <c:pt idx="635">
                  <c:v>22975</c:v>
                </c:pt>
                <c:pt idx="636">
                  <c:v>25901</c:v>
                </c:pt>
                <c:pt idx="637">
                  <c:v>29362</c:v>
                </c:pt>
                <c:pt idx="638">
                  <c:v>20014</c:v>
                </c:pt>
                <c:pt idx="639">
                  <c:v>31056</c:v>
                </c:pt>
                <c:pt idx="640">
                  <c:v>24449</c:v>
                </c:pt>
                <c:pt idx="641">
                  <c:v>31053</c:v>
                </c:pt>
                <c:pt idx="642">
                  <c:v>22241</c:v>
                </c:pt>
                <c:pt idx="643">
                  <c:v>39299</c:v>
                </c:pt>
                <c:pt idx="644">
                  <c:v>25755</c:v>
                </c:pt>
                <c:pt idx="645">
                  <c:v>14468</c:v>
                </c:pt>
                <c:pt idx="646">
                  <c:v>25363</c:v>
                </c:pt>
                <c:pt idx="647">
                  <c:v>25769</c:v>
                </c:pt>
                <c:pt idx="648">
                  <c:v>21786</c:v>
                </c:pt>
                <c:pt idx="649">
                  <c:v>21664</c:v>
                </c:pt>
                <c:pt idx="650">
                  <c:v>33735</c:v>
                </c:pt>
                <c:pt idx="651">
                  <c:v>31305</c:v>
                </c:pt>
                <c:pt idx="652">
                  <c:v>26895</c:v>
                </c:pt>
                <c:pt idx="653">
                  <c:v>25962</c:v>
                </c:pt>
                <c:pt idx="654">
                  <c:v>28337</c:v>
                </c:pt>
                <c:pt idx="655">
                  <c:v>22808</c:v>
                </c:pt>
                <c:pt idx="656">
                  <c:v>27739</c:v>
                </c:pt>
                <c:pt idx="657">
                  <c:v>24173</c:v>
                </c:pt>
                <c:pt idx="658">
                  <c:v>22927</c:v>
                </c:pt>
                <c:pt idx="659">
                  <c:v>30578</c:v>
                </c:pt>
                <c:pt idx="660">
                  <c:v>26823</c:v>
                </c:pt>
                <c:pt idx="661">
                  <c:v>32889</c:v>
                </c:pt>
                <c:pt idx="662">
                  <c:v>19866</c:v>
                </c:pt>
                <c:pt idx="663">
                  <c:v>24586</c:v>
                </c:pt>
                <c:pt idx="664">
                  <c:v>25053</c:v>
                </c:pt>
                <c:pt idx="665">
                  <c:v>27451</c:v>
                </c:pt>
                <c:pt idx="666">
                  <c:v>28610</c:v>
                </c:pt>
                <c:pt idx="667">
                  <c:v>21720</c:v>
                </c:pt>
                <c:pt idx="668">
                  <c:v>32724</c:v>
                </c:pt>
                <c:pt idx="669">
                  <c:v>21594</c:v>
                </c:pt>
                <c:pt idx="670">
                  <c:v>21131</c:v>
                </c:pt>
                <c:pt idx="671">
                  <c:v>18923</c:v>
                </c:pt>
                <c:pt idx="672">
                  <c:v>29918</c:v>
                </c:pt>
                <c:pt idx="673">
                  <c:v>22895</c:v>
                </c:pt>
                <c:pt idx="674">
                  <c:v>23498</c:v>
                </c:pt>
                <c:pt idx="675">
                  <c:v>26391</c:v>
                </c:pt>
                <c:pt idx="676">
                  <c:v>26738</c:v>
                </c:pt>
                <c:pt idx="677">
                  <c:v>21175</c:v>
                </c:pt>
                <c:pt idx="678">
                  <c:v>31024</c:v>
                </c:pt>
                <c:pt idx="679">
                  <c:v>24077</c:v>
                </c:pt>
                <c:pt idx="680">
                  <c:v>24978</c:v>
                </c:pt>
                <c:pt idx="681">
                  <c:v>23697</c:v>
                </c:pt>
                <c:pt idx="682">
                  <c:v>27148</c:v>
                </c:pt>
                <c:pt idx="683">
                  <c:v>24253</c:v>
                </c:pt>
                <c:pt idx="684">
                  <c:v>29718</c:v>
                </c:pt>
                <c:pt idx="685">
                  <c:v>23140</c:v>
                </c:pt>
                <c:pt idx="686">
                  <c:v>22233</c:v>
                </c:pt>
                <c:pt idx="687">
                  <c:v>24155</c:v>
                </c:pt>
                <c:pt idx="688">
                  <c:v>22876</c:v>
                </c:pt>
                <c:pt idx="689">
                  <c:v>28683</c:v>
                </c:pt>
                <c:pt idx="690">
                  <c:v>23869</c:v>
                </c:pt>
                <c:pt idx="691">
                  <c:v>25534</c:v>
                </c:pt>
                <c:pt idx="692">
                  <c:v>25490</c:v>
                </c:pt>
                <c:pt idx="693">
                  <c:v>31310</c:v>
                </c:pt>
                <c:pt idx="694">
                  <c:v>24669</c:v>
                </c:pt>
                <c:pt idx="695">
                  <c:v>25198</c:v>
                </c:pt>
                <c:pt idx="696">
                  <c:v>30804</c:v>
                </c:pt>
                <c:pt idx="697">
                  <c:v>21274</c:v>
                </c:pt>
                <c:pt idx="698">
                  <c:v>25770</c:v>
                </c:pt>
                <c:pt idx="699">
                  <c:v>27987</c:v>
                </c:pt>
                <c:pt idx="700">
                  <c:v>22526</c:v>
                </c:pt>
                <c:pt idx="701">
                  <c:v>20534</c:v>
                </c:pt>
                <c:pt idx="702">
                  <c:v>38038</c:v>
                </c:pt>
                <c:pt idx="703">
                  <c:v>29903</c:v>
                </c:pt>
                <c:pt idx="704">
                  <c:v>25365</c:v>
                </c:pt>
                <c:pt idx="705">
                  <c:v>22125</c:v>
                </c:pt>
                <c:pt idx="706">
                  <c:v>25470</c:v>
                </c:pt>
                <c:pt idx="707">
                  <c:v>21856</c:v>
                </c:pt>
                <c:pt idx="708">
                  <c:v>22337</c:v>
                </c:pt>
                <c:pt idx="709">
                  <c:v>18835</c:v>
                </c:pt>
                <c:pt idx="710">
                  <c:v>21101</c:v>
                </c:pt>
                <c:pt idx="711">
                  <c:v>27907</c:v>
                </c:pt>
                <c:pt idx="712">
                  <c:v>23346</c:v>
                </c:pt>
                <c:pt idx="713">
                  <c:v>24016</c:v>
                </c:pt>
                <c:pt idx="714">
                  <c:v>21179</c:v>
                </c:pt>
                <c:pt idx="715">
                  <c:v>25972</c:v>
                </c:pt>
                <c:pt idx="716">
                  <c:v>21817</c:v>
                </c:pt>
                <c:pt idx="717">
                  <c:v>20508</c:v>
                </c:pt>
                <c:pt idx="718">
                  <c:v>28116</c:v>
                </c:pt>
                <c:pt idx="719">
                  <c:v>24619</c:v>
                </c:pt>
                <c:pt idx="720">
                  <c:v>24032</c:v>
                </c:pt>
                <c:pt idx="721">
                  <c:v>22807</c:v>
                </c:pt>
                <c:pt idx="722">
                  <c:v>24682</c:v>
                </c:pt>
                <c:pt idx="723">
                  <c:v>20440</c:v>
                </c:pt>
                <c:pt idx="724">
                  <c:v>22767</c:v>
                </c:pt>
                <c:pt idx="725">
                  <c:v>41316</c:v>
                </c:pt>
                <c:pt idx="726">
                  <c:v>29058</c:v>
                </c:pt>
                <c:pt idx="727">
                  <c:v>24460</c:v>
                </c:pt>
                <c:pt idx="728">
                  <c:v>30364</c:v>
                </c:pt>
                <c:pt idx="729">
                  <c:v>21286</c:v>
                </c:pt>
                <c:pt idx="730">
                  <c:v>24297</c:v>
                </c:pt>
                <c:pt idx="731">
                  <c:v>22606</c:v>
                </c:pt>
                <c:pt idx="732">
                  <c:v>22421</c:v>
                </c:pt>
                <c:pt idx="733">
                  <c:v>24614</c:v>
                </c:pt>
                <c:pt idx="734">
                  <c:v>19591</c:v>
                </c:pt>
                <c:pt idx="735">
                  <c:v>22139</c:v>
                </c:pt>
                <c:pt idx="736">
                  <c:v>21434</c:v>
                </c:pt>
                <c:pt idx="737">
                  <c:v>28889</c:v>
                </c:pt>
                <c:pt idx="738">
                  <c:v>21928</c:v>
                </c:pt>
                <c:pt idx="739">
                  <c:v>26011</c:v>
                </c:pt>
                <c:pt idx="740">
                  <c:v>20413</c:v>
                </c:pt>
                <c:pt idx="741">
                  <c:v>24756</c:v>
                </c:pt>
                <c:pt idx="742">
                  <c:v>23499</c:v>
                </c:pt>
                <c:pt idx="743">
                  <c:v>23404</c:v>
                </c:pt>
                <c:pt idx="744">
                  <c:v>22236</c:v>
                </c:pt>
                <c:pt idx="745">
                  <c:v>24330</c:v>
                </c:pt>
                <c:pt idx="746">
                  <c:v>22895</c:v>
                </c:pt>
                <c:pt idx="747">
                  <c:v>22939</c:v>
                </c:pt>
                <c:pt idx="748">
                  <c:v>21745</c:v>
                </c:pt>
                <c:pt idx="749">
                  <c:v>24266</c:v>
                </c:pt>
                <c:pt idx="750">
                  <c:v>22911</c:v>
                </c:pt>
                <c:pt idx="751">
                  <c:v>26175</c:v>
                </c:pt>
                <c:pt idx="752">
                  <c:v>23154</c:v>
                </c:pt>
                <c:pt idx="753">
                  <c:v>23477</c:v>
                </c:pt>
                <c:pt idx="754">
                  <c:v>23848</c:v>
                </c:pt>
                <c:pt idx="755">
                  <c:v>19660</c:v>
                </c:pt>
                <c:pt idx="756">
                  <c:v>21842</c:v>
                </c:pt>
                <c:pt idx="757">
                  <c:v>20592</c:v>
                </c:pt>
                <c:pt idx="758">
                  <c:v>20964</c:v>
                </c:pt>
                <c:pt idx="759">
                  <c:v>23169</c:v>
                </c:pt>
                <c:pt idx="760">
                  <c:v>29922</c:v>
                </c:pt>
                <c:pt idx="761">
                  <c:v>29821</c:v>
                </c:pt>
                <c:pt idx="762">
                  <c:v>22798</c:v>
                </c:pt>
                <c:pt idx="763">
                  <c:v>22983</c:v>
                </c:pt>
                <c:pt idx="764">
                  <c:v>23000</c:v>
                </c:pt>
                <c:pt idx="765">
                  <c:v>23534</c:v>
                </c:pt>
                <c:pt idx="766">
                  <c:v>23186</c:v>
                </c:pt>
                <c:pt idx="767">
                  <c:v>24395</c:v>
                </c:pt>
                <c:pt idx="768">
                  <c:v>21385</c:v>
                </c:pt>
                <c:pt idx="769">
                  <c:v>24645</c:v>
                </c:pt>
                <c:pt idx="770">
                  <c:v>24936</c:v>
                </c:pt>
                <c:pt idx="771">
                  <c:v>20899</c:v>
                </c:pt>
                <c:pt idx="772">
                  <c:v>24576</c:v>
                </c:pt>
                <c:pt idx="773">
                  <c:v>19715</c:v>
                </c:pt>
                <c:pt idx="774">
                  <c:v>19516</c:v>
                </c:pt>
                <c:pt idx="775">
                  <c:v>23529</c:v>
                </c:pt>
                <c:pt idx="776">
                  <c:v>25868</c:v>
                </c:pt>
                <c:pt idx="777">
                  <c:v>21487</c:v>
                </c:pt>
                <c:pt idx="778">
                  <c:v>24961</c:v>
                </c:pt>
                <c:pt idx="779">
                  <c:v>22022</c:v>
                </c:pt>
                <c:pt idx="780">
                  <c:v>21626</c:v>
                </c:pt>
                <c:pt idx="781">
                  <c:v>22674</c:v>
                </c:pt>
                <c:pt idx="782">
                  <c:v>27731</c:v>
                </c:pt>
                <c:pt idx="783">
                  <c:v>30507</c:v>
                </c:pt>
                <c:pt idx="784">
                  <c:v>20483</c:v>
                </c:pt>
                <c:pt idx="785">
                  <c:v>22093</c:v>
                </c:pt>
                <c:pt idx="786">
                  <c:v>24253</c:v>
                </c:pt>
                <c:pt idx="787">
                  <c:v>24944</c:v>
                </c:pt>
                <c:pt idx="788">
                  <c:v>26383</c:v>
                </c:pt>
                <c:pt idx="789">
                  <c:v>25990</c:v>
                </c:pt>
                <c:pt idx="790">
                  <c:v>26428</c:v>
                </c:pt>
                <c:pt idx="791">
                  <c:v>26077</c:v>
                </c:pt>
                <c:pt idx="792">
                  <c:v>23653</c:v>
                </c:pt>
                <c:pt idx="793">
                  <c:v>29882</c:v>
                </c:pt>
                <c:pt idx="794">
                  <c:v>29990</c:v>
                </c:pt>
                <c:pt idx="795">
                  <c:v>25382</c:v>
                </c:pt>
                <c:pt idx="796">
                  <c:v>26935</c:v>
                </c:pt>
                <c:pt idx="797">
                  <c:v>30504</c:v>
                </c:pt>
                <c:pt idx="798">
                  <c:v>29045</c:v>
                </c:pt>
                <c:pt idx="799">
                  <c:v>24511</c:v>
                </c:pt>
                <c:pt idx="800">
                  <c:v>26498</c:v>
                </c:pt>
                <c:pt idx="801">
                  <c:v>26524</c:v>
                </c:pt>
                <c:pt idx="802">
                  <c:v>27100</c:v>
                </c:pt>
                <c:pt idx="803">
                  <c:v>25868</c:v>
                </c:pt>
                <c:pt idx="804">
                  <c:v>27879</c:v>
                </c:pt>
                <c:pt idx="805">
                  <c:v>28270</c:v>
                </c:pt>
                <c:pt idx="806">
                  <c:v>27934</c:v>
                </c:pt>
                <c:pt idx="807">
                  <c:v>26981</c:v>
                </c:pt>
                <c:pt idx="808">
                  <c:v>22586</c:v>
                </c:pt>
                <c:pt idx="809">
                  <c:v>27138</c:v>
                </c:pt>
                <c:pt idx="810">
                  <c:v>26124</c:v>
                </c:pt>
                <c:pt idx="811">
                  <c:v>27255</c:v>
                </c:pt>
                <c:pt idx="812">
                  <c:v>23344</c:v>
                </c:pt>
                <c:pt idx="813">
                  <c:v>37669</c:v>
                </c:pt>
                <c:pt idx="814">
                  <c:v>23867</c:v>
                </c:pt>
                <c:pt idx="815">
                  <c:v>19493</c:v>
                </c:pt>
                <c:pt idx="816">
                  <c:v>27563</c:v>
                </c:pt>
                <c:pt idx="817">
                  <c:v>24614</c:v>
                </c:pt>
                <c:pt idx="818">
                  <c:v>34218</c:v>
                </c:pt>
                <c:pt idx="819">
                  <c:v>27096</c:v>
                </c:pt>
                <c:pt idx="820">
                  <c:v>27707</c:v>
                </c:pt>
                <c:pt idx="821">
                  <c:v>24513</c:v>
                </c:pt>
                <c:pt idx="822">
                  <c:v>25918</c:v>
                </c:pt>
                <c:pt idx="823">
                  <c:v>25417</c:v>
                </c:pt>
                <c:pt idx="824">
                  <c:v>29060</c:v>
                </c:pt>
                <c:pt idx="825">
                  <c:v>26918</c:v>
                </c:pt>
                <c:pt idx="826">
                  <c:v>31076</c:v>
                </c:pt>
                <c:pt idx="827">
                  <c:v>28946</c:v>
                </c:pt>
                <c:pt idx="828">
                  <c:v>26001</c:v>
                </c:pt>
                <c:pt idx="829">
                  <c:v>26846</c:v>
                </c:pt>
                <c:pt idx="830">
                  <c:v>26256</c:v>
                </c:pt>
                <c:pt idx="831">
                  <c:v>26910</c:v>
                </c:pt>
                <c:pt idx="832">
                  <c:v>23439</c:v>
                </c:pt>
                <c:pt idx="833">
                  <c:v>25804</c:v>
                </c:pt>
                <c:pt idx="834">
                  <c:v>27814</c:v>
                </c:pt>
                <c:pt idx="835">
                  <c:v>28398</c:v>
                </c:pt>
                <c:pt idx="836">
                  <c:v>29022</c:v>
                </c:pt>
                <c:pt idx="837">
                  <c:v>25546</c:v>
                </c:pt>
                <c:pt idx="838">
                  <c:v>26138</c:v>
                </c:pt>
                <c:pt idx="839">
                  <c:v>25209</c:v>
                </c:pt>
                <c:pt idx="840">
                  <c:v>31271</c:v>
                </c:pt>
                <c:pt idx="841">
                  <c:v>26937</c:v>
                </c:pt>
                <c:pt idx="842">
                  <c:v>23076</c:v>
                </c:pt>
                <c:pt idx="843">
                  <c:v>28952</c:v>
                </c:pt>
                <c:pt idx="844">
                  <c:v>22746</c:v>
                </c:pt>
                <c:pt idx="845">
                  <c:v>30829</c:v>
                </c:pt>
                <c:pt idx="846">
                  <c:v>26176</c:v>
                </c:pt>
                <c:pt idx="847">
                  <c:v>23512</c:v>
                </c:pt>
                <c:pt idx="848">
                  <c:v>26777</c:v>
                </c:pt>
                <c:pt idx="849">
                  <c:v>28922</c:v>
                </c:pt>
                <c:pt idx="850">
                  <c:v>25228</c:v>
                </c:pt>
                <c:pt idx="851">
                  <c:v>26280</c:v>
                </c:pt>
                <c:pt idx="852">
                  <c:v>24648</c:v>
                </c:pt>
                <c:pt idx="853">
                  <c:v>28280</c:v>
                </c:pt>
                <c:pt idx="854">
                  <c:v>25706</c:v>
                </c:pt>
                <c:pt idx="855">
                  <c:v>24730</c:v>
                </c:pt>
                <c:pt idx="856">
                  <c:v>25753</c:v>
                </c:pt>
                <c:pt idx="857">
                  <c:v>23445</c:v>
                </c:pt>
                <c:pt idx="858">
                  <c:v>25503</c:v>
                </c:pt>
                <c:pt idx="859">
                  <c:v>30600</c:v>
                </c:pt>
                <c:pt idx="860">
                  <c:v>25306</c:v>
                </c:pt>
                <c:pt idx="861">
                  <c:v>23617</c:v>
                </c:pt>
                <c:pt idx="862">
                  <c:v>26154</c:v>
                </c:pt>
                <c:pt idx="863">
                  <c:v>27991</c:v>
                </c:pt>
                <c:pt idx="864">
                  <c:v>26406</c:v>
                </c:pt>
                <c:pt idx="865">
                  <c:v>31291</c:v>
                </c:pt>
                <c:pt idx="866">
                  <c:v>27057</c:v>
                </c:pt>
                <c:pt idx="867">
                  <c:v>26018</c:v>
                </c:pt>
                <c:pt idx="868">
                  <c:v>26557</c:v>
                </c:pt>
                <c:pt idx="869">
                  <c:v>26991</c:v>
                </c:pt>
                <c:pt idx="870">
                  <c:v>29391</c:v>
                </c:pt>
                <c:pt idx="871">
                  <c:v>27695</c:v>
                </c:pt>
                <c:pt idx="872">
                  <c:v>26029</c:v>
                </c:pt>
                <c:pt idx="873">
                  <c:v>25589</c:v>
                </c:pt>
                <c:pt idx="874">
                  <c:v>26432</c:v>
                </c:pt>
                <c:pt idx="875">
                  <c:v>23821</c:v>
                </c:pt>
                <c:pt idx="876">
                  <c:v>24022</c:v>
                </c:pt>
                <c:pt idx="877">
                  <c:v>23268</c:v>
                </c:pt>
                <c:pt idx="878">
                  <c:v>22716</c:v>
                </c:pt>
                <c:pt idx="879">
                  <c:v>30086</c:v>
                </c:pt>
                <c:pt idx="880">
                  <c:v>27228</c:v>
                </c:pt>
                <c:pt idx="881">
                  <c:v>23009</c:v>
                </c:pt>
                <c:pt idx="882">
                  <c:v>23718</c:v>
                </c:pt>
                <c:pt idx="883">
                  <c:v>25021</c:v>
                </c:pt>
                <c:pt idx="884">
                  <c:v>26211</c:v>
                </c:pt>
                <c:pt idx="885">
                  <c:v>23630</c:v>
                </c:pt>
                <c:pt idx="886">
                  <c:v>24734</c:v>
                </c:pt>
                <c:pt idx="887">
                  <c:v>26316</c:v>
                </c:pt>
                <c:pt idx="888">
                  <c:v>20671</c:v>
                </c:pt>
                <c:pt idx="889">
                  <c:v>21226</c:v>
                </c:pt>
                <c:pt idx="890">
                  <c:v>21677</c:v>
                </c:pt>
                <c:pt idx="891">
                  <c:v>28174</c:v>
                </c:pt>
                <c:pt idx="892">
                  <c:v>24338</c:v>
                </c:pt>
                <c:pt idx="893">
                  <c:v>20783</c:v>
                </c:pt>
                <c:pt idx="894">
                  <c:v>22600</c:v>
                </c:pt>
                <c:pt idx="895">
                  <c:v>27647</c:v>
                </c:pt>
                <c:pt idx="896">
                  <c:v>23459</c:v>
                </c:pt>
                <c:pt idx="897">
                  <c:v>23584</c:v>
                </c:pt>
                <c:pt idx="898">
                  <c:v>19809</c:v>
                </c:pt>
                <c:pt idx="899">
                  <c:v>26626</c:v>
                </c:pt>
                <c:pt idx="900">
                  <c:v>25106</c:v>
                </c:pt>
                <c:pt idx="901">
                  <c:v>26807</c:v>
                </c:pt>
                <c:pt idx="902">
                  <c:v>22441</c:v>
                </c:pt>
                <c:pt idx="903">
                  <c:v>29382</c:v>
                </c:pt>
                <c:pt idx="904">
                  <c:v>23661</c:v>
                </c:pt>
                <c:pt idx="905">
                  <c:v>21950</c:v>
                </c:pt>
                <c:pt idx="906">
                  <c:v>20346</c:v>
                </c:pt>
                <c:pt idx="907">
                  <c:v>29891</c:v>
                </c:pt>
                <c:pt idx="908">
                  <c:v>24430</c:v>
                </c:pt>
                <c:pt idx="909">
                  <c:v>23471</c:v>
                </c:pt>
                <c:pt idx="910">
                  <c:v>27611</c:v>
                </c:pt>
                <c:pt idx="911">
                  <c:v>25584</c:v>
                </c:pt>
                <c:pt idx="912">
                  <c:v>21764</c:v>
                </c:pt>
                <c:pt idx="913">
                  <c:v>26098</c:v>
                </c:pt>
                <c:pt idx="914">
                  <c:v>24102</c:v>
                </c:pt>
                <c:pt idx="915">
                  <c:v>22145</c:v>
                </c:pt>
                <c:pt idx="916">
                  <c:v>20619</c:v>
                </c:pt>
                <c:pt idx="917">
                  <c:v>24567</c:v>
                </c:pt>
                <c:pt idx="918">
                  <c:v>21450</c:v>
                </c:pt>
                <c:pt idx="919">
                  <c:v>25484</c:v>
                </c:pt>
                <c:pt idx="920">
                  <c:v>28233</c:v>
                </c:pt>
                <c:pt idx="921">
                  <c:v>25195</c:v>
                </c:pt>
                <c:pt idx="922">
                  <c:v>26131</c:v>
                </c:pt>
                <c:pt idx="923">
                  <c:v>25994</c:v>
                </c:pt>
                <c:pt idx="924">
                  <c:v>23335</c:v>
                </c:pt>
                <c:pt idx="925">
                  <c:v>22250</c:v>
                </c:pt>
                <c:pt idx="926">
                  <c:v>24640</c:v>
                </c:pt>
                <c:pt idx="927">
                  <c:v>24453</c:v>
                </c:pt>
                <c:pt idx="928">
                  <c:v>24362</c:v>
                </c:pt>
                <c:pt idx="929">
                  <c:v>31547</c:v>
                </c:pt>
                <c:pt idx="930">
                  <c:v>25038</c:v>
                </c:pt>
                <c:pt idx="931">
                  <c:v>26227</c:v>
                </c:pt>
                <c:pt idx="932">
                  <c:v>23002</c:v>
                </c:pt>
                <c:pt idx="933">
                  <c:v>40331</c:v>
                </c:pt>
                <c:pt idx="934">
                  <c:v>23884</c:v>
                </c:pt>
                <c:pt idx="935">
                  <c:v>24998</c:v>
                </c:pt>
                <c:pt idx="936">
                  <c:v>24116</c:v>
                </c:pt>
                <c:pt idx="937">
                  <c:v>21006</c:v>
                </c:pt>
                <c:pt idx="938">
                  <c:v>31458</c:v>
                </c:pt>
                <c:pt idx="939">
                  <c:v>27138</c:v>
                </c:pt>
                <c:pt idx="940">
                  <c:v>24953</c:v>
                </c:pt>
                <c:pt idx="941">
                  <c:v>26519</c:v>
                </c:pt>
                <c:pt idx="942">
                  <c:v>28974</c:v>
                </c:pt>
                <c:pt idx="943">
                  <c:v>20943</c:v>
                </c:pt>
                <c:pt idx="944">
                  <c:v>28396</c:v>
                </c:pt>
                <c:pt idx="945">
                  <c:v>23642</c:v>
                </c:pt>
                <c:pt idx="946">
                  <c:v>26313</c:v>
                </c:pt>
                <c:pt idx="947">
                  <c:v>23446</c:v>
                </c:pt>
                <c:pt idx="948">
                  <c:v>29413</c:v>
                </c:pt>
                <c:pt idx="949">
                  <c:v>27555</c:v>
                </c:pt>
                <c:pt idx="950">
                  <c:v>20864</c:v>
                </c:pt>
                <c:pt idx="951">
                  <c:v>23928</c:v>
                </c:pt>
                <c:pt idx="952">
                  <c:v>22297</c:v>
                </c:pt>
                <c:pt idx="953">
                  <c:v>26041</c:v>
                </c:pt>
                <c:pt idx="954">
                  <c:v>22354</c:v>
                </c:pt>
                <c:pt idx="955">
                  <c:v>29968</c:v>
                </c:pt>
                <c:pt idx="956">
                  <c:v>23702</c:v>
                </c:pt>
                <c:pt idx="957">
                  <c:v>24243</c:v>
                </c:pt>
                <c:pt idx="958">
                  <c:v>27132</c:v>
                </c:pt>
                <c:pt idx="959">
                  <c:v>26260</c:v>
                </c:pt>
                <c:pt idx="960">
                  <c:v>24125</c:v>
                </c:pt>
                <c:pt idx="961">
                  <c:v>25072</c:v>
                </c:pt>
                <c:pt idx="962">
                  <c:v>25964</c:v>
                </c:pt>
                <c:pt idx="963">
                  <c:v>27078</c:v>
                </c:pt>
                <c:pt idx="964">
                  <c:v>27559</c:v>
                </c:pt>
                <c:pt idx="965">
                  <c:v>23578</c:v>
                </c:pt>
                <c:pt idx="966">
                  <c:v>25317</c:v>
                </c:pt>
                <c:pt idx="967">
                  <c:v>23687</c:v>
                </c:pt>
                <c:pt idx="968">
                  <c:v>23992</c:v>
                </c:pt>
                <c:pt idx="969">
                  <c:v>23891</c:v>
                </c:pt>
                <c:pt idx="970">
                  <c:v>24843</c:v>
                </c:pt>
                <c:pt idx="971">
                  <c:v>26128</c:v>
                </c:pt>
                <c:pt idx="972">
                  <c:v>25641</c:v>
                </c:pt>
                <c:pt idx="973">
                  <c:v>30179</c:v>
                </c:pt>
                <c:pt idx="974">
                  <c:v>26016</c:v>
                </c:pt>
                <c:pt idx="975">
                  <c:v>20442</c:v>
                </c:pt>
                <c:pt idx="976">
                  <c:v>26691</c:v>
                </c:pt>
                <c:pt idx="977">
                  <c:v>28733</c:v>
                </c:pt>
                <c:pt idx="978">
                  <c:v>21786</c:v>
                </c:pt>
                <c:pt idx="979">
                  <c:v>27315</c:v>
                </c:pt>
                <c:pt idx="980">
                  <c:v>25476</c:v>
                </c:pt>
                <c:pt idx="981">
                  <c:v>22690</c:v>
                </c:pt>
                <c:pt idx="982">
                  <c:v>24827</c:v>
                </c:pt>
                <c:pt idx="983">
                  <c:v>24214</c:v>
                </c:pt>
                <c:pt idx="984">
                  <c:v>26309</c:v>
                </c:pt>
                <c:pt idx="985">
                  <c:v>28817</c:v>
                </c:pt>
                <c:pt idx="986">
                  <c:v>23962</c:v>
                </c:pt>
                <c:pt idx="987">
                  <c:v>28265</c:v>
                </c:pt>
                <c:pt idx="988">
                  <c:v>23440</c:v>
                </c:pt>
                <c:pt idx="989">
                  <c:v>23367</c:v>
                </c:pt>
                <c:pt idx="990">
                  <c:v>22538</c:v>
                </c:pt>
                <c:pt idx="991">
                  <c:v>21432</c:v>
                </c:pt>
                <c:pt idx="992">
                  <c:v>18912</c:v>
                </c:pt>
                <c:pt idx="993">
                  <c:v>18277</c:v>
                </c:pt>
                <c:pt idx="994">
                  <c:v>20702</c:v>
                </c:pt>
                <c:pt idx="995">
                  <c:v>24353</c:v>
                </c:pt>
                <c:pt idx="996">
                  <c:v>24056</c:v>
                </c:pt>
                <c:pt idx="997">
                  <c:v>20262</c:v>
                </c:pt>
                <c:pt idx="998">
                  <c:v>18719</c:v>
                </c:pt>
                <c:pt idx="999">
                  <c:v>13701</c:v>
                </c:pt>
                <c:pt idx="1000">
                  <c:v>29866</c:v>
                </c:pt>
                <c:pt idx="1001">
                  <c:v>23620</c:v>
                </c:pt>
                <c:pt idx="1002">
                  <c:v>25745</c:v>
                </c:pt>
                <c:pt idx="1003">
                  <c:v>22368</c:v>
                </c:pt>
                <c:pt idx="1004">
                  <c:v>21054</c:v>
                </c:pt>
                <c:pt idx="1005">
                  <c:v>15737</c:v>
                </c:pt>
                <c:pt idx="1006">
                  <c:v>19185</c:v>
                </c:pt>
                <c:pt idx="1007">
                  <c:v>24458</c:v>
                </c:pt>
                <c:pt idx="1008">
                  <c:v>18502</c:v>
                </c:pt>
                <c:pt idx="1009">
                  <c:v>20840</c:v>
                </c:pt>
                <c:pt idx="1010">
                  <c:v>20701</c:v>
                </c:pt>
                <c:pt idx="1011">
                  <c:v>28248</c:v>
                </c:pt>
                <c:pt idx="1012">
                  <c:v>21499</c:v>
                </c:pt>
                <c:pt idx="1013">
                  <c:v>20129</c:v>
                </c:pt>
                <c:pt idx="1014">
                  <c:v>18948</c:v>
                </c:pt>
                <c:pt idx="1015">
                  <c:v>17526</c:v>
                </c:pt>
                <c:pt idx="1016">
                  <c:v>19614</c:v>
                </c:pt>
                <c:pt idx="1017">
                  <c:v>25492</c:v>
                </c:pt>
                <c:pt idx="1018">
                  <c:v>13802</c:v>
                </c:pt>
                <c:pt idx="1019">
                  <c:v>16712</c:v>
                </c:pt>
                <c:pt idx="1020">
                  <c:v>21248</c:v>
                </c:pt>
                <c:pt idx="1021">
                  <c:v>17571</c:v>
                </c:pt>
                <c:pt idx="1022">
                  <c:v>23952</c:v>
                </c:pt>
                <c:pt idx="1023">
                  <c:v>20304</c:v>
                </c:pt>
                <c:pt idx="1024">
                  <c:v>15319</c:v>
                </c:pt>
                <c:pt idx="1025">
                  <c:v>16446</c:v>
                </c:pt>
                <c:pt idx="1026">
                  <c:v>30031</c:v>
                </c:pt>
                <c:pt idx="1027">
                  <c:v>21453</c:v>
                </c:pt>
                <c:pt idx="1028">
                  <c:v>18173</c:v>
                </c:pt>
                <c:pt idx="1029">
                  <c:v>26778</c:v>
                </c:pt>
                <c:pt idx="1030">
                  <c:v>18082</c:v>
                </c:pt>
                <c:pt idx="1031">
                  <c:v>21634</c:v>
                </c:pt>
                <c:pt idx="1032">
                  <c:v>22567</c:v>
                </c:pt>
                <c:pt idx="1033">
                  <c:v>19667</c:v>
                </c:pt>
                <c:pt idx="1034">
                  <c:v>20805</c:v>
                </c:pt>
                <c:pt idx="1035">
                  <c:v>19902</c:v>
                </c:pt>
                <c:pt idx="1036">
                  <c:v>19563</c:v>
                </c:pt>
                <c:pt idx="1037">
                  <c:v>23649</c:v>
                </c:pt>
                <c:pt idx="1038">
                  <c:v>22330</c:v>
                </c:pt>
                <c:pt idx="1039">
                  <c:v>24845</c:v>
                </c:pt>
                <c:pt idx="1040">
                  <c:v>15840</c:v>
                </c:pt>
                <c:pt idx="1041">
                  <c:v>20490</c:v>
                </c:pt>
                <c:pt idx="1042">
                  <c:v>18993</c:v>
                </c:pt>
                <c:pt idx="1043">
                  <c:v>22628</c:v>
                </c:pt>
                <c:pt idx="1044">
                  <c:v>21806</c:v>
                </c:pt>
                <c:pt idx="1045">
                  <c:v>19597</c:v>
                </c:pt>
                <c:pt idx="1046">
                  <c:v>22517</c:v>
                </c:pt>
                <c:pt idx="1047">
                  <c:v>16405</c:v>
                </c:pt>
                <c:pt idx="1048">
                  <c:v>28822</c:v>
                </c:pt>
                <c:pt idx="1049">
                  <c:v>26230</c:v>
                </c:pt>
                <c:pt idx="1050">
                  <c:v>18436</c:v>
                </c:pt>
                <c:pt idx="1051">
                  <c:v>27847</c:v>
                </c:pt>
                <c:pt idx="1052">
                  <c:v>17939</c:v>
                </c:pt>
                <c:pt idx="1053">
                  <c:v>15599</c:v>
                </c:pt>
                <c:pt idx="1054">
                  <c:v>20570</c:v>
                </c:pt>
                <c:pt idx="1055">
                  <c:v>18795</c:v>
                </c:pt>
                <c:pt idx="1056">
                  <c:v>18890</c:v>
                </c:pt>
                <c:pt idx="1057">
                  <c:v>13688</c:v>
                </c:pt>
                <c:pt idx="1058">
                  <c:v>15558</c:v>
                </c:pt>
                <c:pt idx="1059">
                  <c:v>17194</c:v>
                </c:pt>
                <c:pt idx="1060">
                  <c:v>16662</c:v>
                </c:pt>
                <c:pt idx="1061">
                  <c:v>18564</c:v>
                </c:pt>
                <c:pt idx="1062">
                  <c:v>23079</c:v>
                </c:pt>
                <c:pt idx="1063">
                  <c:v>19126</c:v>
                </c:pt>
                <c:pt idx="1064">
                  <c:v>24723</c:v>
                </c:pt>
                <c:pt idx="1065">
                  <c:v>28577</c:v>
                </c:pt>
                <c:pt idx="1066">
                  <c:v>10880</c:v>
                </c:pt>
                <c:pt idx="1067">
                  <c:v>20910</c:v>
                </c:pt>
                <c:pt idx="1068">
                  <c:v>21977</c:v>
                </c:pt>
                <c:pt idx="1069">
                  <c:v>16046</c:v>
                </c:pt>
                <c:pt idx="1070">
                  <c:v>19347</c:v>
                </c:pt>
                <c:pt idx="1071">
                  <c:v>23707</c:v>
                </c:pt>
                <c:pt idx="1072">
                  <c:v>14179</c:v>
                </c:pt>
                <c:pt idx="1073">
                  <c:v>23773</c:v>
                </c:pt>
                <c:pt idx="1074">
                  <c:v>23473</c:v>
                </c:pt>
                <c:pt idx="1075">
                  <c:v>16768</c:v>
                </c:pt>
                <c:pt idx="1076">
                  <c:v>22658</c:v>
                </c:pt>
                <c:pt idx="1077">
                  <c:v>17608</c:v>
                </c:pt>
                <c:pt idx="1078">
                  <c:v>17635</c:v>
                </c:pt>
                <c:pt idx="1079">
                  <c:v>20850</c:v>
                </c:pt>
                <c:pt idx="1080">
                  <c:v>16007</c:v>
                </c:pt>
                <c:pt idx="1081">
                  <c:v>19609</c:v>
                </c:pt>
                <c:pt idx="1082">
                  <c:v>24699</c:v>
                </c:pt>
                <c:pt idx="1083">
                  <c:v>20039</c:v>
                </c:pt>
                <c:pt idx="1084">
                  <c:v>19254</c:v>
                </c:pt>
                <c:pt idx="1085">
                  <c:v>34423</c:v>
                </c:pt>
                <c:pt idx="1086">
                  <c:v>22878</c:v>
                </c:pt>
                <c:pt idx="1087">
                  <c:v>15158</c:v>
                </c:pt>
                <c:pt idx="1088">
                  <c:v>23725</c:v>
                </c:pt>
                <c:pt idx="1089">
                  <c:v>18910</c:v>
                </c:pt>
                <c:pt idx="1090">
                  <c:v>20061</c:v>
                </c:pt>
                <c:pt idx="1091">
                  <c:v>17241</c:v>
                </c:pt>
                <c:pt idx="1092">
                  <c:v>20215</c:v>
                </c:pt>
                <c:pt idx="1093">
                  <c:v>19246</c:v>
                </c:pt>
                <c:pt idx="1094">
                  <c:v>16963</c:v>
                </c:pt>
                <c:pt idx="1095">
                  <c:v>18185</c:v>
                </c:pt>
                <c:pt idx="1096">
                  <c:v>17010</c:v>
                </c:pt>
                <c:pt idx="1097">
                  <c:v>28232</c:v>
                </c:pt>
                <c:pt idx="1098">
                  <c:v>27631</c:v>
                </c:pt>
                <c:pt idx="1099">
                  <c:v>19397</c:v>
                </c:pt>
                <c:pt idx="1100">
                  <c:v>27016</c:v>
                </c:pt>
                <c:pt idx="1101">
                  <c:v>18120</c:v>
                </c:pt>
                <c:pt idx="1102">
                  <c:v>19042</c:v>
                </c:pt>
                <c:pt idx="1103">
                  <c:v>26001</c:v>
                </c:pt>
                <c:pt idx="1104">
                  <c:v>23465</c:v>
                </c:pt>
                <c:pt idx="1105">
                  <c:v>20164</c:v>
                </c:pt>
                <c:pt idx="1106">
                  <c:v>23823</c:v>
                </c:pt>
                <c:pt idx="1107">
                  <c:v>19793</c:v>
                </c:pt>
                <c:pt idx="1108">
                  <c:v>15475</c:v>
                </c:pt>
                <c:pt idx="1109">
                  <c:v>19891</c:v>
                </c:pt>
                <c:pt idx="1110">
                  <c:v>16748</c:v>
                </c:pt>
                <c:pt idx="1111">
                  <c:v>13901</c:v>
                </c:pt>
                <c:pt idx="1112">
                  <c:v>30490</c:v>
                </c:pt>
                <c:pt idx="1113">
                  <c:v>20552</c:v>
                </c:pt>
                <c:pt idx="1114">
                  <c:v>19868</c:v>
                </c:pt>
                <c:pt idx="1115">
                  <c:v>29269</c:v>
                </c:pt>
                <c:pt idx="1116">
                  <c:v>23886</c:v>
                </c:pt>
                <c:pt idx="1117">
                  <c:v>18967</c:v>
                </c:pt>
                <c:pt idx="1118">
                  <c:v>22961</c:v>
                </c:pt>
                <c:pt idx="1119">
                  <c:v>20464</c:v>
                </c:pt>
                <c:pt idx="1120">
                  <c:v>27572</c:v>
                </c:pt>
                <c:pt idx="1121">
                  <c:v>24876</c:v>
                </c:pt>
                <c:pt idx="1122">
                  <c:v>25005</c:v>
                </c:pt>
                <c:pt idx="1123">
                  <c:v>21493</c:v>
                </c:pt>
                <c:pt idx="1124">
                  <c:v>29679</c:v>
                </c:pt>
                <c:pt idx="1125">
                  <c:v>21851</c:v>
                </c:pt>
                <c:pt idx="1126">
                  <c:v>17547</c:v>
                </c:pt>
                <c:pt idx="1127">
                  <c:v>17498</c:v>
                </c:pt>
                <c:pt idx="1128">
                  <c:v>22513</c:v>
                </c:pt>
                <c:pt idx="1129">
                  <c:v>27944</c:v>
                </c:pt>
                <c:pt idx="1130">
                  <c:v>11313</c:v>
                </c:pt>
                <c:pt idx="1131">
                  <c:v>21348</c:v>
                </c:pt>
                <c:pt idx="1132">
                  <c:v>18484</c:v>
                </c:pt>
                <c:pt idx="1133">
                  <c:v>17324</c:v>
                </c:pt>
                <c:pt idx="1134">
                  <c:v>17987</c:v>
                </c:pt>
                <c:pt idx="1135">
                  <c:v>23977</c:v>
                </c:pt>
                <c:pt idx="1136">
                  <c:v>21428</c:v>
                </c:pt>
                <c:pt idx="1137">
                  <c:v>18986</c:v>
                </c:pt>
                <c:pt idx="1138">
                  <c:v>27127</c:v>
                </c:pt>
                <c:pt idx="1139">
                  <c:v>22260</c:v>
                </c:pt>
                <c:pt idx="1140">
                  <c:v>30240</c:v>
                </c:pt>
                <c:pt idx="1141">
                  <c:v>25303</c:v>
                </c:pt>
                <c:pt idx="1142">
                  <c:v>20818</c:v>
                </c:pt>
                <c:pt idx="1143">
                  <c:v>21003</c:v>
                </c:pt>
                <c:pt idx="1144">
                  <c:v>25999</c:v>
                </c:pt>
                <c:pt idx="1145">
                  <c:v>14205</c:v>
                </c:pt>
                <c:pt idx="1146">
                  <c:v>18209</c:v>
                </c:pt>
                <c:pt idx="1147">
                  <c:v>19883</c:v>
                </c:pt>
                <c:pt idx="1148">
                  <c:v>27721</c:v>
                </c:pt>
                <c:pt idx="1149">
                  <c:v>21770</c:v>
                </c:pt>
                <c:pt idx="1150">
                  <c:v>24837</c:v>
                </c:pt>
                <c:pt idx="1151">
                  <c:v>25024</c:v>
                </c:pt>
                <c:pt idx="1152">
                  <c:v>21671</c:v>
                </c:pt>
                <c:pt idx="1153">
                  <c:v>23016</c:v>
                </c:pt>
                <c:pt idx="1154">
                  <c:v>19699</c:v>
                </c:pt>
                <c:pt idx="1155">
                  <c:v>22605</c:v>
                </c:pt>
                <c:pt idx="1156">
                  <c:v>20160</c:v>
                </c:pt>
                <c:pt idx="1157">
                  <c:v>27247</c:v>
                </c:pt>
                <c:pt idx="1158">
                  <c:v>18620</c:v>
                </c:pt>
                <c:pt idx="1159">
                  <c:v>24071</c:v>
                </c:pt>
                <c:pt idx="1160">
                  <c:v>22660</c:v>
                </c:pt>
                <c:pt idx="1161">
                  <c:v>19156</c:v>
                </c:pt>
                <c:pt idx="1162">
                  <c:v>22983</c:v>
                </c:pt>
                <c:pt idx="1163">
                  <c:v>21847</c:v>
                </c:pt>
                <c:pt idx="1164">
                  <c:v>31022</c:v>
                </c:pt>
                <c:pt idx="1165">
                  <c:v>21671</c:v>
                </c:pt>
                <c:pt idx="1166">
                  <c:v>16912</c:v>
                </c:pt>
                <c:pt idx="1167">
                  <c:v>23626</c:v>
                </c:pt>
                <c:pt idx="1168">
                  <c:v>19676</c:v>
                </c:pt>
                <c:pt idx="1169">
                  <c:v>23261</c:v>
                </c:pt>
                <c:pt idx="1170">
                  <c:v>21578</c:v>
                </c:pt>
                <c:pt idx="1171">
                  <c:v>17745</c:v>
                </c:pt>
                <c:pt idx="1172">
                  <c:v>20248</c:v>
                </c:pt>
                <c:pt idx="1173">
                  <c:v>26118</c:v>
                </c:pt>
                <c:pt idx="1174">
                  <c:v>19353</c:v>
                </c:pt>
                <c:pt idx="1175">
                  <c:v>22122</c:v>
                </c:pt>
                <c:pt idx="1176">
                  <c:v>17877</c:v>
                </c:pt>
                <c:pt idx="1177">
                  <c:v>25011</c:v>
                </c:pt>
                <c:pt idx="1178">
                  <c:v>21763</c:v>
                </c:pt>
                <c:pt idx="1179">
                  <c:v>34081</c:v>
                </c:pt>
                <c:pt idx="1180">
                  <c:v>22980</c:v>
                </c:pt>
                <c:pt idx="1181">
                  <c:v>28432</c:v>
                </c:pt>
                <c:pt idx="1182">
                  <c:v>25957</c:v>
                </c:pt>
                <c:pt idx="1183">
                  <c:v>28144</c:v>
                </c:pt>
                <c:pt idx="1184">
                  <c:v>29078</c:v>
                </c:pt>
                <c:pt idx="1185">
                  <c:v>21280</c:v>
                </c:pt>
                <c:pt idx="1186">
                  <c:v>24149</c:v>
                </c:pt>
                <c:pt idx="1187">
                  <c:v>22856</c:v>
                </c:pt>
                <c:pt idx="1188">
                  <c:v>30062</c:v>
                </c:pt>
                <c:pt idx="1189">
                  <c:v>21729</c:v>
                </c:pt>
                <c:pt idx="1190">
                  <c:v>24473</c:v>
                </c:pt>
                <c:pt idx="1191">
                  <c:v>21977</c:v>
                </c:pt>
                <c:pt idx="1192">
                  <c:v>30705</c:v>
                </c:pt>
                <c:pt idx="1193">
                  <c:v>21674</c:v>
                </c:pt>
                <c:pt idx="1194">
                  <c:v>41706</c:v>
                </c:pt>
                <c:pt idx="1195">
                  <c:v>35011</c:v>
                </c:pt>
                <c:pt idx="1196">
                  <c:v>39011</c:v>
                </c:pt>
                <c:pt idx="1197">
                  <c:v>24943</c:v>
                </c:pt>
                <c:pt idx="1198">
                  <c:v>36936</c:v>
                </c:pt>
                <c:pt idx="1199">
                  <c:v>29538</c:v>
                </c:pt>
                <c:pt idx="1200">
                  <c:v>36809</c:v>
                </c:pt>
                <c:pt idx="1201">
                  <c:v>27870</c:v>
                </c:pt>
                <c:pt idx="1202">
                  <c:v>37449</c:v>
                </c:pt>
                <c:pt idx="1203">
                  <c:v>25348</c:v>
                </c:pt>
                <c:pt idx="1204">
                  <c:v>35746</c:v>
                </c:pt>
                <c:pt idx="1205">
                  <c:v>48104</c:v>
                </c:pt>
                <c:pt idx="1206">
                  <c:v>30081</c:v>
                </c:pt>
                <c:pt idx="1207">
                  <c:v>49110</c:v>
                </c:pt>
                <c:pt idx="1208">
                  <c:v>32639</c:v>
                </c:pt>
                <c:pt idx="1209">
                  <c:v>38733</c:v>
                </c:pt>
                <c:pt idx="1210">
                  <c:v>36668</c:v>
                </c:pt>
                <c:pt idx="1211">
                  <c:v>16631</c:v>
                </c:pt>
                <c:pt idx="1212">
                  <c:v>38317</c:v>
                </c:pt>
                <c:pt idx="1213">
                  <c:v>27066</c:v>
                </c:pt>
                <c:pt idx="1214">
                  <c:v>26241</c:v>
                </c:pt>
                <c:pt idx="1215">
                  <c:v>32419</c:v>
                </c:pt>
                <c:pt idx="1216">
                  <c:v>25707</c:v>
                </c:pt>
                <c:pt idx="1217">
                  <c:v>37678</c:v>
                </c:pt>
                <c:pt idx="1218">
                  <c:v>30469</c:v>
                </c:pt>
                <c:pt idx="1219">
                  <c:v>29607</c:v>
                </c:pt>
                <c:pt idx="1220">
                  <c:v>38560</c:v>
                </c:pt>
                <c:pt idx="1221">
                  <c:v>36212</c:v>
                </c:pt>
                <c:pt idx="1222">
                  <c:v>30584</c:v>
                </c:pt>
                <c:pt idx="1223">
                  <c:v>26560</c:v>
                </c:pt>
                <c:pt idx="1224">
                  <c:v>30244</c:v>
                </c:pt>
                <c:pt idx="1225">
                  <c:v>44152</c:v>
                </c:pt>
                <c:pt idx="1226">
                  <c:v>45000</c:v>
                </c:pt>
                <c:pt idx="1227">
                  <c:v>45829</c:v>
                </c:pt>
                <c:pt idx="1228">
                  <c:v>36163</c:v>
                </c:pt>
                <c:pt idx="1229">
                  <c:v>34420</c:v>
                </c:pt>
                <c:pt idx="1230">
                  <c:v>32284</c:v>
                </c:pt>
                <c:pt idx="1231">
                  <c:v>23933</c:v>
                </c:pt>
                <c:pt idx="1232">
                  <c:v>21259</c:v>
                </c:pt>
                <c:pt idx="1233">
                  <c:v>25161</c:v>
                </c:pt>
                <c:pt idx="1234">
                  <c:v>22082</c:v>
                </c:pt>
                <c:pt idx="1235">
                  <c:v>27155</c:v>
                </c:pt>
                <c:pt idx="1236">
                  <c:v>21197</c:v>
                </c:pt>
                <c:pt idx="1237">
                  <c:v>17461</c:v>
                </c:pt>
                <c:pt idx="1238">
                  <c:v>25795</c:v>
                </c:pt>
                <c:pt idx="1239">
                  <c:v>24445</c:v>
                </c:pt>
                <c:pt idx="1240">
                  <c:v>25023</c:v>
                </c:pt>
                <c:pt idx="1241">
                  <c:v>25241</c:v>
                </c:pt>
                <c:pt idx="1242">
                  <c:v>21263</c:v>
                </c:pt>
                <c:pt idx="1243">
                  <c:v>23150</c:v>
                </c:pt>
                <c:pt idx="1244">
                  <c:v>24314</c:v>
                </c:pt>
                <c:pt idx="1245">
                  <c:v>28188</c:v>
                </c:pt>
                <c:pt idx="1246">
                  <c:v>23631</c:v>
                </c:pt>
                <c:pt idx="1247">
                  <c:v>20396</c:v>
                </c:pt>
                <c:pt idx="1248">
                  <c:v>19181</c:v>
                </c:pt>
                <c:pt idx="1249">
                  <c:v>29766</c:v>
                </c:pt>
                <c:pt idx="1250">
                  <c:v>22595</c:v>
                </c:pt>
                <c:pt idx="1251">
                  <c:v>23061</c:v>
                </c:pt>
                <c:pt idx="1252">
                  <c:v>24880</c:v>
                </c:pt>
                <c:pt idx="1253">
                  <c:v>27577</c:v>
                </c:pt>
                <c:pt idx="1254">
                  <c:v>31109</c:v>
                </c:pt>
                <c:pt idx="1255">
                  <c:v>22957</c:v>
                </c:pt>
                <c:pt idx="1256">
                  <c:v>21234</c:v>
                </c:pt>
                <c:pt idx="1257">
                  <c:v>21008</c:v>
                </c:pt>
                <c:pt idx="1258">
                  <c:v>28050</c:v>
                </c:pt>
                <c:pt idx="1259">
                  <c:v>19618</c:v>
                </c:pt>
                <c:pt idx="1260">
                  <c:v>21291</c:v>
                </c:pt>
                <c:pt idx="1261">
                  <c:v>20081</c:v>
                </c:pt>
                <c:pt idx="1262">
                  <c:v>23382</c:v>
                </c:pt>
                <c:pt idx="1263">
                  <c:v>25436</c:v>
                </c:pt>
                <c:pt idx="1264">
                  <c:v>20921</c:v>
                </c:pt>
                <c:pt idx="1265">
                  <c:v>23486</c:v>
                </c:pt>
                <c:pt idx="1266">
                  <c:v>21725</c:v>
                </c:pt>
                <c:pt idx="1267">
                  <c:v>20518</c:v>
                </c:pt>
                <c:pt idx="1268">
                  <c:v>23377</c:v>
                </c:pt>
                <c:pt idx="1269">
                  <c:v>26416</c:v>
                </c:pt>
                <c:pt idx="1270">
                  <c:v>21320</c:v>
                </c:pt>
                <c:pt idx="1271">
                  <c:v>27032</c:v>
                </c:pt>
                <c:pt idx="1272">
                  <c:v>24384</c:v>
                </c:pt>
                <c:pt idx="1273">
                  <c:v>16679</c:v>
                </c:pt>
                <c:pt idx="1274">
                  <c:v>24478</c:v>
                </c:pt>
                <c:pt idx="1275">
                  <c:v>34322</c:v>
                </c:pt>
                <c:pt idx="1276">
                  <c:v>23252</c:v>
                </c:pt>
                <c:pt idx="1277">
                  <c:v>33619</c:v>
                </c:pt>
                <c:pt idx="1278">
                  <c:v>18427</c:v>
                </c:pt>
                <c:pt idx="1279">
                  <c:v>23889</c:v>
                </c:pt>
                <c:pt idx="1280">
                  <c:v>27525</c:v>
                </c:pt>
                <c:pt idx="1281">
                  <c:v>22647</c:v>
                </c:pt>
                <c:pt idx="1282">
                  <c:v>23785</c:v>
                </c:pt>
                <c:pt idx="1283">
                  <c:v>24244</c:v>
                </c:pt>
                <c:pt idx="1284">
                  <c:v>20405</c:v>
                </c:pt>
                <c:pt idx="1285">
                  <c:v>23233</c:v>
                </c:pt>
                <c:pt idx="1286">
                  <c:v>30172</c:v>
                </c:pt>
                <c:pt idx="1287">
                  <c:v>20530</c:v>
                </c:pt>
                <c:pt idx="1288">
                  <c:v>26982</c:v>
                </c:pt>
                <c:pt idx="1289">
                  <c:v>19955</c:v>
                </c:pt>
                <c:pt idx="1290">
                  <c:v>20771</c:v>
                </c:pt>
                <c:pt idx="1291">
                  <c:v>21291</c:v>
                </c:pt>
                <c:pt idx="1292">
                  <c:v>21230</c:v>
                </c:pt>
                <c:pt idx="1293">
                  <c:v>37728</c:v>
                </c:pt>
                <c:pt idx="1294">
                  <c:v>20234</c:v>
                </c:pt>
                <c:pt idx="1295">
                  <c:v>20972</c:v>
                </c:pt>
                <c:pt idx="1296">
                  <c:v>21896</c:v>
                </c:pt>
                <c:pt idx="1297">
                  <c:v>19205</c:v>
                </c:pt>
                <c:pt idx="1298">
                  <c:v>19520</c:v>
                </c:pt>
                <c:pt idx="1299">
                  <c:v>25743</c:v>
                </c:pt>
                <c:pt idx="1300">
                  <c:v>26519</c:v>
                </c:pt>
                <c:pt idx="1301">
                  <c:v>23550</c:v>
                </c:pt>
                <c:pt idx="1302">
                  <c:v>22513</c:v>
                </c:pt>
                <c:pt idx="1303">
                  <c:v>23139</c:v>
                </c:pt>
                <c:pt idx="1304">
                  <c:v>25429</c:v>
                </c:pt>
                <c:pt idx="1305">
                  <c:v>21559</c:v>
                </c:pt>
                <c:pt idx="1306">
                  <c:v>21374</c:v>
                </c:pt>
                <c:pt idx="1307">
                  <c:v>20580</c:v>
                </c:pt>
                <c:pt idx="1308">
                  <c:v>23582</c:v>
                </c:pt>
                <c:pt idx="1309">
                  <c:v>21904</c:v>
                </c:pt>
                <c:pt idx="1310">
                  <c:v>22358</c:v>
                </c:pt>
                <c:pt idx="1311">
                  <c:v>34738</c:v>
                </c:pt>
                <c:pt idx="1312">
                  <c:v>22897</c:v>
                </c:pt>
                <c:pt idx="1313">
                  <c:v>20988</c:v>
                </c:pt>
                <c:pt idx="1314">
                  <c:v>25591</c:v>
                </c:pt>
                <c:pt idx="1315">
                  <c:v>31775</c:v>
                </c:pt>
                <c:pt idx="1316">
                  <c:v>26399</c:v>
                </c:pt>
                <c:pt idx="1317">
                  <c:v>22524</c:v>
                </c:pt>
                <c:pt idx="1318">
                  <c:v>25341</c:v>
                </c:pt>
                <c:pt idx="1319">
                  <c:v>27426</c:v>
                </c:pt>
                <c:pt idx="1320">
                  <c:v>26440</c:v>
                </c:pt>
                <c:pt idx="1321">
                  <c:v>28018</c:v>
                </c:pt>
                <c:pt idx="1322">
                  <c:v>24584</c:v>
                </c:pt>
                <c:pt idx="1323">
                  <c:v>40322</c:v>
                </c:pt>
                <c:pt idx="1324">
                  <c:v>25720</c:v>
                </c:pt>
                <c:pt idx="1325">
                  <c:v>26372</c:v>
                </c:pt>
                <c:pt idx="1326">
                  <c:v>29553</c:v>
                </c:pt>
                <c:pt idx="1327">
                  <c:v>25896</c:v>
                </c:pt>
                <c:pt idx="1328">
                  <c:v>23391</c:v>
                </c:pt>
                <c:pt idx="1329">
                  <c:v>33056</c:v>
                </c:pt>
                <c:pt idx="1330">
                  <c:v>24978</c:v>
                </c:pt>
                <c:pt idx="1331">
                  <c:v>27936</c:v>
                </c:pt>
                <c:pt idx="1332">
                  <c:v>36171</c:v>
                </c:pt>
                <c:pt idx="1333">
                  <c:v>30091</c:v>
                </c:pt>
                <c:pt idx="1334">
                  <c:v>29953</c:v>
                </c:pt>
                <c:pt idx="1335">
                  <c:v>27135</c:v>
                </c:pt>
                <c:pt idx="1336">
                  <c:v>26348</c:v>
                </c:pt>
                <c:pt idx="1337">
                  <c:v>26494</c:v>
                </c:pt>
                <c:pt idx="1338">
                  <c:v>30236</c:v>
                </c:pt>
                <c:pt idx="1339">
                  <c:v>27952</c:v>
                </c:pt>
                <c:pt idx="1340">
                  <c:v>38724</c:v>
                </c:pt>
                <c:pt idx="1341">
                  <c:v>27626</c:v>
                </c:pt>
                <c:pt idx="1342">
                  <c:v>25725</c:v>
                </c:pt>
                <c:pt idx="1343">
                  <c:v>27152</c:v>
                </c:pt>
                <c:pt idx="1344">
                  <c:v>25219</c:v>
                </c:pt>
                <c:pt idx="1345">
                  <c:v>27494</c:v>
                </c:pt>
                <c:pt idx="1346">
                  <c:v>23661</c:v>
                </c:pt>
                <c:pt idx="1347">
                  <c:v>27560</c:v>
                </c:pt>
                <c:pt idx="1348">
                  <c:v>29279</c:v>
                </c:pt>
                <c:pt idx="1349">
                  <c:v>25398</c:v>
                </c:pt>
                <c:pt idx="1350">
                  <c:v>29541</c:v>
                </c:pt>
                <c:pt idx="1351">
                  <c:v>29346</c:v>
                </c:pt>
                <c:pt idx="1352">
                  <c:v>22543</c:v>
                </c:pt>
                <c:pt idx="1353">
                  <c:v>28483</c:v>
                </c:pt>
                <c:pt idx="1354">
                  <c:v>26910</c:v>
                </c:pt>
                <c:pt idx="1355">
                  <c:v>28010</c:v>
                </c:pt>
                <c:pt idx="1356">
                  <c:v>27612</c:v>
                </c:pt>
                <c:pt idx="1357">
                  <c:v>19743</c:v>
                </c:pt>
                <c:pt idx="1358">
                  <c:v>27863</c:v>
                </c:pt>
                <c:pt idx="1359">
                  <c:v>28244</c:v>
                </c:pt>
                <c:pt idx="1360">
                  <c:v>27313</c:v>
                </c:pt>
                <c:pt idx="1361">
                  <c:v>23603</c:v>
                </c:pt>
                <c:pt idx="1362">
                  <c:v>24984</c:v>
                </c:pt>
                <c:pt idx="1363">
                  <c:v>26265</c:v>
                </c:pt>
                <c:pt idx="1364">
                  <c:v>28976</c:v>
                </c:pt>
                <c:pt idx="1365">
                  <c:v>28118</c:v>
                </c:pt>
                <c:pt idx="1366">
                  <c:v>23515</c:v>
                </c:pt>
                <c:pt idx="1367">
                  <c:v>25314</c:v>
                </c:pt>
                <c:pt idx="1368">
                  <c:v>35267</c:v>
                </c:pt>
                <c:pt idx="1369">
                  <c:v>28066</c:v>
                </c:pt>
                <c:pt idx="1370">
                  <c:v>25500</c:v>
                </c:pt>
                <c:pt idx="1371">
                  <c:v>22436</c:v>
                </c:pt>
                <c:pt idx="1372">
                  <c:v>26842</c:v>
                </c:pt>
                <c:pt idx="1373">
                  <c:v>26766</c:v>
                </c:pt>
                <c:pt idx="1374">
                  <c:v>30071</c:v>
                </c:pt>
                <c:pt idx="1375">
                  <c:v>30333</c:v>
                </c:pt>
                <c:pt idx="1376">
                  <c:v>25183</c:v>
                </c:pt>
                <c:pt idx="1377">
                  <c:v>25716</c:v>
                </c:pt>
                <c:pt idx="1378">
                  <c:v>28698</c:v>
                </c:pt>
                <c:pt idx="1379">
                  <c:v>26660</c:v>
                </c:pt>
                <c:pt idx="1380">
                  <c:v>26065</c:v>
                </c:pt>
                <c:pt idx="1381">
                  <c:v>26698</c:v>
                </c:pt>
                <c:pt idx="1382">
                  <c:v>27190</c:v>
                </c:pt>
                <c:pt idx="1383">
                  <c:v>36180</c:v>
                </c:pt>
                <c:pt idx="1384">
                  <c:v>29923</c:v>
                </c:pt>
                <c:pt idx="1385">
                  <c:v>27493</c:v>
                </c:pt>
                <c:pt idx="1386">
                  <c:v>27135</c:v>
                </c:pt>
                <c:pt idx="1387">
                  <c:v>28087</c:v>
                </c:pt>
                <c:pt idx="1388">
                  <c:v>25739</c:v>
                </c:pt>
                <c:pt idx="1389">
                  <c:v>27202</c:v>
                </c:pt>
                <c:pt idx="1390">
                  <c:v>23808</c:v>
                </c:pt>
                <c:pt idx="1391">
                  <c:v>29120</c:v>
                </c:pt>
                <c:pt idx="1392">
                  <c:v>30468</c:v>
                </c:pt>
                <c:pt idx="1393">
                  <c:v>22002</c:v>
                </c:pt>
                <c:pt idx="1394">
                  <c:v>26457</c:v>
                </c:pt>
                <c:pt idx="1395">
                  <c:v>38461</c:v>
                </c:pt>
                <c:pt idx="1396">
                  <c:v>25973</c:v>
                </c:pt>
                <c:pt idx="1397">
                  <c:v>26862</c:v>
                </c:pt>
                <c:pt idx="1398">
                  <c:v>24660</c:v>
                </c:pt>
                <c:pt idx="1399">
                  <c:v>30238</c:v>
                </c:pt>
                <c:pt idx="1400">
                  <c:v>26885</c:v>
                </c:pt>
                <c:pt idx="1401">
                  <c:v>17669</c:v>
                </c:pt>
                <c:pt idx="1402">
                  <c:v>19467</c:v>
                </c:pt>
                <c:pt idx="1403">
                  <c:v>17635</c:v>
                </c:pt>
                <c:pt idx="1404">
                  <c:v>20604</c:v>
                </c:pt>
                <c:pt idx="1405">
                  <c:v>19935</c:v>
                </c:pt>
                <c:pt idx="1406">
                  <c:v>15751</c:v>
                </c:pt>
                <c:pt idx="1407">
                  <c:v>17434</c:v>
                </c:pt>
                <c:pt idx="1408">
                  <c:v>20627</c:v>
                </c:pt>
                <c:pt idx="1409">
                  <c:v>17538</c:v>
                </c:pt>
                <c:pt idx="1410">
                  <c:v>17464</c:v>
                </c:pt>
                <c:pt idx="1411">
                  <c:v>12229</c:v>
                </c:pt>
                <c:pt idx="1412">
                  <c:v>20071</c:v>
                </c:pt>
                <c:pt idx="1413">
                  <c:v>18405</c:v>
                </c:pt>
                <c:pt idx="1414">
                  <c:v>15393</c:v>
                </c:pt>
                <c:pt idx="1415">
                  <c:v>17762</c:v>
                </c:pt>
                <c:pt idx="1416">
                  <c:v>16245</c:v>
                </c:pt>
                <c:pt idx="1417">
                  <c:v>26085</c:v>
                </c:pt>
                <c:pt idx="1418">
                  <c:v>19897</c:v>
                </c:pt>
                <c:pt idx="1419">
                  <c:v>22098</c:v>
                </c:pt>
                <c:pt idx="1420">
                  <c:v>21413</c:v>
                </c:pt>
                <c:pt idx="1421">
                  <c:v>15728</c:v>
                </c:pt>
                <c:pt idx="1422">
                  <c:v>19138</c:v>
                </c:pt>
                <c:pt idx="1423">
                  <c:v>22286</c:v>
                </c:pt>
                <c:pt idx="1424">
                  <c:v>22120</c:v>
                </c:pt>
                <c:pt idx="1425">
                  <c:v>20598</c:v>
                </c:pt>
                <c:pt idx="1426">
                  <c:v>11972</c:v>
                </c:pt>
                <c:pt idx="1427">
                  <c:v>13503</c:v>
                </c:pt>
                <c:pt idx="1428">
                  <c:v>12423</c:v>
                </c:pt>
                <c:pt idx="1429">
                  <c:v>19483</c:v>
                </c:pt>
                <c:pt idx="1430">
                  <c:v>24001</c:v>
                </c:pt>
                <c:pt idx="1431">
                  <c:v>18260</c:v>
                </c:pt>
                <c:pt idx="1432">
                  <c:v>12601</c:v>
                </c:pt>
                <c:pt idx="1433">
                  <c:v>15682</c:v>
                </c:pt>
                <c:pt idx="1434">
                  <c:v>20465</c:v>
                </c:pt>
                <c:pt idx="1435">
                  <c:v>14516</c:v>
                </c:pt>
                <c:pt idx="1436">
                  <c:v>23227</c:v>
                </c:pt>
                <c:pt idx="1437">
                  <c:v>26403</c:v>
                </c:pt>
                <c:pt idx="1438">
                  <c:v>21525</c:v>
                </c:pt>
                <c:pt idx="1439">
                  <c:v>19844</c:v>
                </c:pt>
                <c:pt idx="1440">
                  <c:v>17696</c:v>
                </c:pt>
                <c:pt idx="1441">
                  <c:v>22282</c:v>
                </c:pt>
                <c:pt idx="1442">
                  <c:v>14563</c:v>
                </c:pt>
                <c:pt idx="1443">
                  <c:v>18844</c:v>
                </c:pt>
                <c:pt idx="1444">
                  <c:v>21410</c:v>
                </c:pt>
                <c:pt idx="1445">
                  <c:v>34478</c:v>
                </c:pt>
                <c:pt idx="1446">
                  <c:v>19491</c:v>
                </c:pt>
                <c:pt idx="1447">
                  <c:v>19047</c:v>
                </c:pt>
                <c:pt idx="1448">
                  <c:v>19215</c:v>
                </c:pt>
                <c:pt idx="1449">
                  <c:v>17674</c:v>
                </c:pt>
                <c:pt idx="1450">
                  <c:v>18572</c:v>
                </c:pt>
                <c:pt idx="1451">
                  <c:v>20413</c:v>
                </c:pt>
                <c:pt idx="1452">
                  <c:v>14450</c:v>
                </c:pt>
                <c:pt idx="1453">
                  <c:v>20091</c:v>
                </c:pt>
                <c:pt idx="1454">
                  <c:v>19525</c:v>
                </c:pt>
                <c:pt idx="1455">
                  <c:v>19786</c:v>
                </c:pt>
                <c:pt idx="1456">
                  <c:v>17928</c:v>
                </c:pt>
                <c:pt idx="1457">
                  <c:v>17777</c:v>
                </c:pt>
                <c:pt idx="1458">
                  <c:v>19695</c:v>
                </c:pt>
                <c:pt idx="1459">
                  <c:v>17644</c:v>
                </c:pt>
                <c:pt idx="1460">
                  <c:v>14503</c:v>
                </c:pt>
                <c:pt idx="1461">
                  <c:v>27389</c:v>
                </c:pt>
                <c:pt idx="1462">
                  <c:v>17256</c:v>
                </c:pt>
                <c:pt idx="1463">
                  <c:v>15993</c:v>
                </c:pt>
                <c:pt idx="1464">
                  <c:v>17412</c:v>
                </c:pt>
                <c:pt idx="1465">
                  <c:v>21050</c:v>
                </c:pt>
                <c:pt idx="1466">
                  <c:v>19484</c:v>
                </c:pt>
                <c:pt idx="1467">
                  <c:v>13718</c:v>
                </c:pt>
                <c:pt idx="1468">
                  <c:v>13819</c:v>
                </c:pt>
                <c:pt idx="1469">
                  <c:v>21547</c:v>
                </c:pt>
                <c:pt idx="1470">
                  <c:v>20012</c:v>
                </c:pt>
                <c:pt idx="1471">
                  <c:v>18881</c:v>
                </c:pt>
                <c:pt idx="1472">
                  <c:v>17246</c:v>
                </c:pt>
                <c:pt idx="1473">
                  <c:v>18889</c:v>
                </c:pt>
                <c:pt idx="1474">
                  <c:v>17872</c:v>
                </c:pt>
                <c:pt idx="1475">
                  <c:v>22417</c:v>
                </c:pt>
                <c:pt idx="1476">
                  <c:v>17160</c:v>
                </c:pt>
                <c:pt idx="1477">
                  <c:v>20231</c:v>
                </c:pt>
                <c:pt idx="1478">
                  <c:v>19938</c:v>
                </c:pt>
                <c:pt idx="1479">
                  <c:v>15307</c:v>
                </c:pt>
                <c:pt idx="1480">
                  <c:v>19199</c:v>
                </c:pt>
                <c:pt idx="1481">
                  <c:v>19679</c:v>
                </c:pt>
                <c:pt idx="1482">
                  <c:v>14934</c:v>
                </c:pt>
                <c:pt idx="1483">
                  <c:v>19671</c:v>
                </c:pt>
                <c:pt idx="1484">
                  <c:v>26778</c:v>
                </c:pt>
                <c:pt idx="1485">
                  <c:v>26069</c:v>
                </c:pt>
                <c:pt idx="1486">
                  <c:v>18934</c:v>
                </c:pt>
                <c:pt idx="1487">
                  <c:v>19313</c:v>
                </c:pt>
                <c:pt idx="1488">
                  <c:v>20780</c:v>
                </c:pt>
                <c:pt idx="1489">
                  <c:v>21715</c:v>
                </c:pt>
                <c:pt idx="1490">
                  <c:v>19122</c:v>
                </c:pt>
                <c:pt idx="1491">
                  <c:v>19605</c:v>
                </c:pt>
                <c:pt idx="1492">
                  <c:v>27150</c:v>
                </c:pt>
                <c:pt idx="1493">
                  <c:v>22218</c:v>
                </c:pt>
                <c:pt idx="1494">
                  <c:v>19473</c:v>
                </c:pt>
                <c:pt idx="1495">
                  <c:v>23082</c:v>
                </c:pt>
                <c:pt idx="1496">
                  <c:v>22520</c:v>
                </c:pt>
                <c:pt idx="1497">
                  <c:v>23996</c:v>
                </c:pt>
                <c:pt idx="1498">
                  <c:v>24479</c:v>
                </c:pt>
                <c:pt idx="1499">
                  <c:v>23403</c:v>
                </c:pt>
                <c:pt idx="1500">
                  <c:v>20318</c:v>
                </c:pt>
                <c:pt idx="1501">
                  <c:v>28398</c:v>
                </c:pt>
                <c:pt idx="1502">
                  <c:v>18255</c:v>
                </c:pt>
                <c:pt idx="1503">
                  <c:v>20953</c:v>
                </c:pt>
                <c:pt idx="1504">
                  <c:v>24730</c:v>
                </c:pt>
                <c:pt idx="1505">
                  <c:v>23463</c:v>
                </c:pt>
                <c:pt idx="1506">
                  <c:v>29793</c:v>
                </c:pt>
                <c:pt idx="1507">
                  <c:v>25500</c:v>
                </c:pt>
                <c:pt idx="1508">
                  <c:v>26014</c:v>
                </c:pt>
                <c:pt idx="1509">
                  <c:v>23252</c:v>
                </c:pt>
                <c:pt idx="1510">
                  <c:v>19017</c:v>
                </c:pt>
                <c:pt idx="1511">
                  <c:v>20828</c:v>
                </c:pt>
                <c:pt idx="1512">
                  <c:v>17494</c:v>
                </c:pt>
                <c:pt idx="1513">
                  <c:v>19208</c:v>
                </c:pt>
                <c:pt idx="1514">
                  <c:v>17125</c:v>
                </c:pt>
                <c:pt idx="1515">
                  <c:v>19747</c:v>
                </c:pt>
                <c:pt idx="1516">
                  <c:v>17343</c:v>
                </c:pt>
                <c:pt idx="1517">
                  <c:v>18009</c:v>
                </c:pt>
                <c:pt idx="1518">
                  <c:v>25241</c:v>
                </c:pt>
                <c:pt idx="1519">
                  <c:v>22845</c:v>
                </c:pt>
                <c:pt idx="1520">
                  <c:v>20687</c:v>
                </c:pt>
                <c:pt idx="1521">
                  <c:v>24097</c:v>
                </c:pt>
                <c:pt idx="1522">
                  <c:v>19365</c:v>
                </c:pt>
                <c:pt idx="1523">
                  <c:v>19906</c:v>
                </c:pt>
                <c:pt idx="1524">
                  <c:v>23961</c:v>
                </c:pt>
                <c:pt idx="1525">
                  <c:v>18153</c:v>
                </c:pt>
                <c:pt idx="1526">
                  <c:v>25319</c:v>
                </c:pt>
                <c:pt idx="1527">
                  <c:v>22158</c:v>
                </c:pt>
                <c:pt idx="1528">
                  <c:v>18817</c:v>
                </c:pt>
                <c:pt idx="1529">
                  <c:v>19559</c:v>
                </c:pt>
                <c:pt idx="1530">
                  <c:v>26629</c:v>
                </c:pt>
                <c:pt idx="1531">
                  <c:v>22431</c:v>
                </c:pt>
                <c:pt idx="1532">
                  <c:v>25247</c:v>
                </c:pt>
                <c:pt idx="1533">
                  <c:v>22722</c:v>
                </c:pt>
                <c:pt idx="1534">
                  <c:v>22397</c:v>
                </c:pt>
                <c:pt idx="1535">
                  <c:v>19567</c:v>
                </c:pt>
                <c:pt idx="1536">
                  <c:v>24266</c:v>
                </c:pt>
                <c:pt idx="1537">
                  <c:v>19508</c:v>
                </c:pt>
                <c:pt idx="1538">
                  <c:v>20042</c:v>
                </c:pt>
                <c:pt idx="1539">
                  <c:v>22232</c:v>
                </c:pt>
                <c:pt idx="1540">
                  <c:v>19889</c:v>
                </c:pt>
                <c:pt idx="1541">
                  <c:v>22557</c:v>
                </c:pt>
                <c:pt idx="1542">
                  <c:v>18498</c:v>
                </c:pt>
                <c:pt idx="1543">
                  <c:v>19738</c:v>
                </c:pt>
                <c:pt idx="1544">
                  <c:v>17179</c:v>
                </c:pt>
                <c:pt idx="1545">
                  <c:v>20731</c:v>
                </c:pt>
                <c:pt idx="1546">
                  <c:v>21614</c:v>
                </c:pt>
                <c:pt idx="1547">
                  <c:v>20404</c:v>
                </c:pt>
                <c:pt idx="1548">
                  <c:v>21268</c:v>
                </c:pt>
                <c:pt idx="1549">
                  <c:v>16515</c:v>
                </c:pt>
                <c:pt idx="1550">
                  <c:v>20901</c:v>
                </c:pt>
                <c:pt idx="1551">
                  <c:v>20921</c:v>
                </c:pt>
                <c:pt idx="1552">
                  <c:v>20710</c:v>
                </c:pt>
                <c:pt idx="1553">
                  <c:v>18431</c:v>
                </c:pt>
                <c:pt idx="1554">
                  <c:v>19918</c:v>
                </c:pt>
                <c:pt idx="1555">
                  <c:v>22735</c:v>
                </c:pt>
                <c:pt idx="1556">
                  <c:v>18307</c:v>
                </c:pt>
                <c:pt idx="1557">
                  <c:v>17070</c:v>
                </c:pt>
                <c:pt idx="1558">
                  <c:v>23918</c:v>
                </c:pt>
                <c:pt idx="1559">
                  <c:v>16959</c:v>
                </c:pt>
                <c:pt idx="1560">
                  <c:v>16902</c:v>
                </c:pt>
                <c:pt idx="1561">
                  <c:v>23695</c:v>
                </c:pt>
                <c:pt idx="1562">
                  <c:v>20494</c:v>
                </c:pt>
                <c:pt idx="1563">
                  <c:v>21611</c:v>
                </c:pt>
                <c:pt idx="1564">
                  <c:v>19005</c:v>
                </c:pt>
                <c:pt idx="1565">
                  <c:v>35666</c:v>
                </c:pt>
                <c:pt idx="1566">
                  <c:v>19908</c:v>
                </c:pt>
                <c:pt idx="1567">
                  <c:v>19568</c:v>
                </c:pt>
                <c:pt idx="1568">
                  <c:v>20203</c:v>
                </c:pt>
                <c:pt idx="1569">
                  <c:v>23442</c:v>
                </c:pt>
                <c:pt idx="1570">
                  <c:v>18151</c:v>
                </c:pt>
                <c:pt idx="1571">
                  <c:v>24101</c:v>
                </c:pt>
                <c:pt idx="1572">
                  <c:v>20082</c:v>
                </c:pt>
                <c:pt idx="1573">
                  <c:v>17315</c:v>
                </c:pt>
                <c:pt idx="1574">
                  <c:v>32946</c:v>
                </c:pt>
                <c:pt idx="1575">
                  <c:v>18840</c:v>
                </c:pt>
                <c:pt idx="1576">
                  <c:v>23772</c:v>
                </c:pt>
                <c:pt idx="1577">
                  <c:v>19315</c:v>
                </c:pt>
                <c:pt idx="1578">
                  <c:v>35570</c:v>
                </c:pt>
                <c:pt idx="1579">
                  <c:v>20339</c:v>
                </c:pt>
                <c:pt idx="1580">
                  <c:v>19650</c:v>
                </c:pt>
                <c:pt idx="1581">
                  <c:v>20859</c:v>
                </c:pt>
                <c:pt idx="1582">
                  <c:v>20542</c:v>
                </c:pt>
                <c:pt idx="1583">
                  <c:v>19658</c:v>
                </c:pt>
                <c:pt idx="1584">
                  <c:v>20569</c:v>
                </c:pt>
                <c:pt idx="1585">
                  <c:v>21797</c:v>
                </c:pt>
                <c:pt idx="1586">
                  <c:v>22473</c:v>
                </c:pt>
                <c:pt idx="1587">
                  <c:v>19930</c:v>
                </c:pt>
                <c:pt idx="1588">
                  <c:v>20520</c:v>
                </c:pt>
                <c:pt idx="1589">
                  <c:v>17741</c:v>
                </c:pt>
                <c:pt idx="1590">
                  <c:v>20479</c:v>
                </c:pt>
                <c:pt idx="1591">
                  <c:v>24033</c:v>
                </c:pt>
                <c:pt idx="1592">
                  <c:v>17762</c:v>
                </c:pt>
                <c:pt idx="1593">
                  <c:v>18748</c:v>
                </c:pt>
                <c:pt idx="1594">
                  <c:v>19956</c:v>
                </c:pt>
                <c:pt idx="1595">
                  <c:v>23815</c:v>
                </c:pt>
                <c:pt idx="1596">
                  <c:v>18481</c:v>
                </c:pt>
                <c:pt idx="1597">
                  <c:v>23945</c:v>
                </c:pt>
                <c:pt idx="1598">
                  <c:v>26763</c:v>
                </c:pt>
                <c:pt idx="1599">
                  <c:v>16244</c:v>
                </c:pt>
                <c:pt idx="1600">
                  <c:v>17442</c:v>
                </c:pt>
                <c:pt idx="1601">
                  <c:v>29188</c:v>
                </c:pt>
                <c:pt idx="1602">
                  <c:v>28153</c:v>
                </c:pt>
                <c:pt idx="1603">
                  <c:v>29391</c:v>
                </c:pt>
                <c:pt idx="1604">
                  <c:v>25870</c:v>
                </c:pt>
                <c:pt idx="1605">
                  <c:v>22032</c:v>
                </c:pt>
                <c:pt idx="1606">
                  <c:v>25506</c:v>
                </c:pt>
                <c:pt idx="1607">
                  <c:v>33140</c:v>
                </c:pt>
                <c:pt idx="1608">
                  <c:v>27878</c:v>
                </c:pt>
                <c:pt idx="1609">
                  <c:v>23156</c:v>
                </c:pt>
                <c:pt idx="1610">
                  <c:v>32755</c:v>
                </c:pt>
                <c:pt idx="1611">
                  <c:v>26111</c:v>
                </c:pt>
                <c:pt idx="1612">
                  <c:v>26388</c:v>
                </c:pt>
                <c:pt idx="1613">
                  <c:v>30293</c:v>
                </c:pt>
                <c:pt idx="1614">
                  <c:v>26142</c:v>
                </c:pt>
                <c:pt idx="1615">
                  <c:v>16892</c:v>
                </c:pt>
                <c:pt idx="1616">
                  <c:v>21562</c:v>
                </c:pt>
                <c:pt idx="1617">
                  <c:v>27136</c:v>
                </c:pt>
                <c:pt idx="1618">
                  <c:v>20869</c:v>
                </c:pt>
                <c:pt idx="1619">
                  <c:v>30886</c:v>
                </c:pt>
                <c:pt idx="1620">
                  <c:v>26595</c:v>
                </c:pt>
                <c:pt idx="1621">
                  <c:v>22278</c:v>
                </c:pt>
                <c:pt idx="1622">
                  <c:v>28476</c:v>
                </c:pt>
                <c:pt idx="1623">
                  <c:v>23587</c:v>
                </c:pt>
                <c:pt idx="1624">
                  <c:v>22856</c:v>
                </c:pt>
                <c:pt idx="1625">
                  <c:v>28654</c:v>
                </c:pt>
                <c:pt idx="1626">
                  <c:v>29700</c:v>
                </c:pt>
                <c:pt idx="1627">
                  <c:v>20736</c:v>
                </c:pt>
                <c:pt idx="1628">
                  <c:v>20691</c:v>
                </c:pt>
                <c:pt idx="1629">
                  <c:v>26779</c:v>
                </c:pt>
                <c:pt idx="1630">
                  <c:v>23545</c:v>
                </c:pt>
                <c:pt idx="1631">
                  <c:v>27045</c:v>
                </c:pt>
                <c:pt idx="1632">
                  <c:v>25378</c:v>
                </c:pt>
                <c:pt idx="1633">
                  <c:v>22139</c:v>
                </c:pt>
                <c:pt idx="1634">
                  <c:v>22797</c:v>
                </c:pt>
                <c:pt idx="1635">
                  <c:v>29902</c:v>
                </c:pt>
                <c:pt idx="1636">
                  <c:v>21536</c:v>
                </c:pt>
                <c:pt idx="1637">
                  <c:v>23285</c:v>
                </c:pt>
                <c:pt idx="1638">
                  <c:v>22482</c:v>
                </c:pt>
                <c:pt idx="1639">
                  <c:v>32900</c:v>
                </c:pt>
                <c:pt idx="1640">
                  <c:v>16182</c:v>
                </c:pt>
                <c:pt idx="1641">
                  <c:v>23238</c:v>
                </c:pt>
                <c:pt idx="1642">
                  <c:v>20169</c:v>
                </c:pt>
                <c:pt idx="1643">
                  <c:v>30814</c:v>
                </c:pt>
                <c:pt idx="1644">
                  <c:v>24383</c:v>
                </c:pt>
                <c:pt idx="1645">
                  <c:v>29217</c:v>
                </c:pt>
                <c:pt idx="1646">
                  <c:v>25522</c:v>
                </c:pt>
                <c:pt idx="1647">
                  <c:v>24443</c:v>
                </c:pt>
                <c:pt idx="1648">
                  <c:v>22101</c:v>
                </c:pt>
                <c:pt idx="1649">
                  <c:v>20758</c:v>
                </c:pt>
                <c:pt idx="1650">
                  <c:v>26337</c:v>
                </c:pt>
                <c:pt idx="1651">
                  <c:v>19385</c:v>
                </c:pt>
                <c:pt idx="1652">
                  <c:v>23875</c:v>
                </c:pt>
                <c:pt idx="1653">
                  <c:v>29576</c:v>
                </c:pt>
                <c:pt idx="1654">
                  <c:v>27690</c:v>
                </c:pt>
                <c:pt idx="1655">
                  <c:v>26763</c:v>
                </c:pt>
                <c:pt idx="1656">
                  <c:v>22035</c:v>
                </c:pt>
                <c:pt idx="1657">
                  <c:v>31735</c:v>
                </c:pt>
                <c:pt idx="1658">
                  <c:v>21854</c:v>
                </c:pt>
                <c:pt idx="1659">
                  <c:v>27799</c:v>
                </c:pt>
                <c:pt idx="1660">
                  <c:v>25897</c:v>
                </c:pt>
                <c:pt idx="1661">
                  <c:v>24085</c:v>
                </c:pt>
                <c:pt idx="1662">
                  <c:v>26390</c:v>
                </c:pt>
                <c:pt idx="1663">
                  <c:v>26846</c:v>
                </c:pt>
                <c:pt idx="1664">
                  <c:v>24332</c:v>
                </c:pt>
                <c:pt idx="1665">
                  <c:v>29457</c:v>
                </c:pt>
                <c:pt idx="1666">
                  <c:v>30694</c:v>
                </c:pt>
                <c:pt idx="1667">
                  <c:v>27774</c:v>
                </c:pt>
                <c:pt idx="1668">
                  <c:v>29905</c:v>
                </c:pt>
                <c:pt idx="1669">
                  <c:v>26229</c:v>
                </c:pt>
                <c:pt idx="1670">
                  <c:v>30339</c:v>
                </c:pt>
                <c:pt idx="1671">
                  <c:v>26324</c:v>
                </c:pt>
                <c:pt idx="1672">
                  <c:v>22857</c:v>
                </c:pt>
                <c:pt idx="1673">
                  <c:v>25318</c:v>
                </c:pt>
                <c:pt idx="1674">
                  <c:v>29406</c:v>
                </c:pt>
                <c:pt idx="1675">
                  <c:v>20543</c:v>
                </c:pt>
                <c:pt idx="1676">
                  <c:v>22176</c:v>
                </c:pt>
                <c:pt idx="1677">
                  <c:v>22098</c:v>
                </c:pt>
                <c:pt idx="1678">
                  <c:v>27439</c:v>
                </c:pt>
                <c:pt idx="1679">
                  <c:v>24286</c:v>
                </c:pt>
                <c:pt idx="1680">
                  <c:v>25112</c:v>
                </c:pt>
                <c:pt idx="1681">
                  <c:v>29842</c:v>
                </c:pt>
                <c:pt idx="1682">
                  <c:v>28870</c:v>
                </c:pt>
                <c:pt idx="1683">
                  <c:v>27875</c:v>
                </c:pt>
                <c:pt idx="1684">
                  <c:v>28426</c:v>
                </c:pt>
                <c:pt idx="1685">
                  <c:v>25837</c:v>
                </c:pt>
                <c:pt idx="1686">
                  <c:v>22769</c:v>
                </c:pt>
                <c:pt idx="1687">
                  <c:v>26207</c:v>
                </c:pt>
                <c:pt idx="1688">
                  <c:v>30790</c:v>
                </c:pt>
                <c:pt idx="1689">
                  <c:v>23612</c:v>
                </c:pt>
                <c:pt idx="1690">
                  <c:v>27402</c:v>
                </c:pt>
                <c:pt idx="1691">
                  <c:v>21782</c:v>
                </c:pt>
                <c:pt idx="1692">
                  <c:v>23333</c:v>
                </c:pt>
                <c:pt idx="1693">
                  <c:v>23995</c:v>
                </c:pt>
                <c:pt idx="1694">
                  <c:v>30424</c:v>
                </c:pt>
                <c:pt idx="1695">
                  <c:v>26139</c:v>
                </c:pt>
                <c:pt idx="1696">
                  <c:v>26221</c:v>
                </c:pt>
                <c:pt idx="1697">
                  <c:v>23152</c:v>
                </c:pt>
                <c:pt idx="1698">
                  <c:v>25672</c:v>
                </c:pt>
                <c:pt idx="1699">
                  <c:v>22949</c:v>
                </c:pt>
                <c:pt idx="1700">
                  <c:v>26658</c:v>
                </c:pt>
                <c:pt idx="1701">
                  <c:v>25469</c:v>
                </c:pt>
                <c:pt idx="1702">
                  <c:v>21488</c:v>
                </c:pt>
                <c:pt idx="1703">
                  <c:v>27360</c:v>
                </c:pt>
                <c:pt idx="1704">
                  <c:v>26422</c:v>
                </c:pt>
                <c:pt idx="1705">
                  <c:v>26666</c:v>
                </c:pt>
                <c:pt idx="1706">
                  <c:v>24255</c:v>
                </c:pt>
                <c:pt idx="1707">
                  <c:v>26560</c:v>
                </c:pt>
                <c:pt idx="1708">
                  <c:v>27764</c:v>
                </c:pt>
                <c:pt idx="1709">
                  <c:v>27056</c:v>
                </c:pt>
                <c:pt idx="1710">
                  <c:v>25920</c:v>
                </c:pt>
                <c:pt idx="1711">
                  <c:v>27794</c:v>
                </c:pt>
                <c:pt idx="1712">
                  <c:v>27364</c:v>
                </c:pt>
                <c:pt idx="1713">
                  <c:v>26083</c:v>
                </c:pt>
                <c:pt idx="1714">
                  <c:v>26136</c:v>
                </c:pt>
                <c:pt idx="1715">
                  <c:v>24869</c:v>
                </c:pt>
                <c:pt idx="1716">
                  <c:v>25479</c:v>
                </c:pt>
                <c:pt idx="1717">
                  <c:v>27087</c:v>
                </c:pt>
                <c:pt idx="1718">
                  <c:v>24447</c:v>
                </c:pt>
                <c:pt idx="1719">
                  <c:v>26032</c:v>
                </c:pt>
                <c:pt idx="1720">
                  <c:v>29030</c:v>
                </c:pt>
                <c:pt idx="1721">
                  <c:v>29171</c:v>
                </c:pt>
                <c:pt idx="1722">
                  <c:v>26697</c:v>
                </c:pt>
                <c:pt idx="1723">
                  <c:v>26668</c:v>
                </c:pt>
                <c:pt idx="1724">
                  <c:v>25869</c:v>
                </c:pt>
                <c:pt idx="1725">
                  <c:v>30428</c:v>
                </c:pt>
                <c:pt idx="1726">
                  <c:v>23387</c:v>
                </c:pt>
                <c:pt idx="1727">
                  <c:v>25358</c:v>
                </c:pt>
                <c:pt idx="1728">
                  <c:v>29205</c:v>
                </c:pt>
                <c:pt idx="1729">
                  <c:v>21955</c:v>
                </c:pt>
                <c:pt idx="1730">
                  <c:v>30902</c:v>
                </c:pt>
                <c:pt idx="1731">
                  <c:v>29637</c:v>
                </c:pt>
                <c:pt idx="1732">
                  <c:v>25064</c:v>
                </c:pt>
                <c:pt idx="1733">
                  <c:v>28124</c:v>
                </c:pt>
                <c:pt idx="1734">
                  <c:v>23734</c:v>
                </c:pt>
                <c:pt idx="1735">
                  <c:v>26416</c:v>
                </c:pt>
                <c:pt idx="1736">
                  <c:v>27216</c:v>
                </c:pt>
                <c:pt idx="1737">
                  <c:v>27463</c:v>
                </c:pt>
                <c:pt idx="1738">
                  <c:v>29120</c:v>
                </c:pt>
                <c:pt idx="1739">
                  <c:v>30475</c:v>
                </c:pt>
                <c:pt idx="1740">
                  <c:v>18529</c:v>
                </c:pt>
                <c:pt idx="1741">
                  <c:v>25951</c:v>
                </c:pt>
                <c:pt idx="1742">
                  <c:v>31151</c:v>
                </c:pt>
                <c:pt idx="1743">
                  <c:v>26031</c:v>
                </c:pt>
                <c:pt idx="1744">
                  <c:v>22385</c:v>
                </c:pt>
                <c:pt idx="1745">
                  <c:v>30126</c:v>
                </c:pt>
                <c:pt idx="1746">
                  <c:v>27646</c:v>
                </c:pt>
                <c:pt idx="1747">
                  <c:v>24202</c:v>
                </c:pt>
                <c:pt idx="1748">
                  <c:v>26048</c:v>
                </c:pt>
                <c:pt idx="1749">
                  <c:v>33057</c:v>
                </c:pt>
                <c:pt idx="1750">
                  <c:v>29988</c:v>
                </c:pt>
                <c:pt idx="1751">
                  <c:v>20984</c:v>
                </c:pt>
                <c:pt idx="1752">
                  <c:v>30459</c:v>
                </c:pt>
                <c:pt idx="1753">
                  <c:v>27255</c:v>
                </c:pt>
                <c:pt idx="1754">
                  <c:v>29390</c:v>
                </c:pt>
                <c:pt idx="1755">
                  <c:v>23924</c:v>
                </c:pt>
                <c:pt idx="1756">
                  <c:v>23173</c:v>
                </c:pt>
                <c:pt idx="1757">
                  <c:v>24146</c:v>
                </c:pt>
                <c:pt idx="1758">
                  <c:v>23085</c:v>
                </c:pt>
                <c:pt idx="1759">
                  <c:v>17332</c:v>
                </c:pt>
                <c:pt idx="1760">
                  <c:v>35115</c:v>
                </c:pt>
                <c:pt idx="1761">
                  <c:v>28757</c:v>
                </c:pt>
                <c:pt idx="1762">
                  <c:v>24359</c:v>
                </c:pt>
                <c:pt idx="1763">
                  <c:v>26127</c:v>
                </c:pt>
                <c:pt idx="1764">
                  <c:v>31644</c:v>
                </c:pt>
                <c:pt idx="1765">
                  <c:v>32612</c:v>
                </c:pt>
                <c:pt idx="1766">
                  <c:v>30181</c:v>
                </c:pt>
                <c:pt idx="1767">
                  <c:v>24546</c:v>
                </c:pt>
                <c:pt idx="1768">
                  <c:v>32469</c:v>
                </c:pt>
                <c:pt idx="1769">
                  <c:v>35242</c:v>
                </c:pt>
                <c:pt idx="1770">
                  <c:v>32020</c:v>
                </c:pt>
                <c:pt idx="1771">
                  <c:v>40469</c:v>
                </c:pt>
                <c:pt idx="1772">
                  <c:v>29917</c:v>
                </c:pt>
                <c:pt idx="1773">
                  <c:v>29004</c:v>
                </c:pt>
                <c:pt idx="1774">
                  <c:v>28005</c:v>
                </c:pt>
                <c:pt idx="1775">
                  <c:v>44002</c:v>
                </c:pt>
                <c:pt idx="1776">
                  <c:v>37255</c:v>
                </c:pt>
                <c:pt idx="1777">
                  <c:v>30822</c:v>
                </c:pt>
                <c:pt idx="1778">
                  <c:v>33028</c:v>
                </c:pt>
                <c:pt idx="1779">
                  <c:v>22417</c:v>
                </c:pt>
                <c:pt idx="1780">
                  <c:v>32708</c:v>
                </c:pt>
                <c:pt idx="1781">
                  <c:v>34025</c:v>
                </c:pt>
                <c:pt idx="1782">
                  <c:v>33185</c:v>
                </c:pt>
                <c:pt idx="1783">
                  <c:v>51353</c:v>
                </c:pt>
                <c:pt idx="1784">
                  <c:v>37680</c:v>
                </c:pt>
                <c:pt idx="1785">
                  <c:v>34674</c:v>
                </c:pt>
                <c:pt idx="1786">
                  <c:v>43469</c:v>
                </c:pt>
                <c:pt idx="1787">
                  <c:v>49552</c:v>
                </c:pt>
                <c:pt idx="1788">
                  <c:v>31200</c:v>
                </c:pt>
                <c:pt idx="1789">
                  <c:v>27643</c:v>
                </c:pt>
                <c:pt idx="1790">
                  <c:v>29712</c:v>
                </c:pt>
                <c:pt idx="1791">
                  <c:v>48791</c:v>
                </c:pt>
                <c:pt idx="1792">
                  <c:v>38810</c:v>
                </c:pt>
                <c:pt idx="1793">
                  <c:v>35308</c:v>
                </c:pt>
                <c:pt idx="1794">
                  <c:v>34136</c:v>
                </c:pt>
                <c:pt idx="1795">
                  <c:v>26765</c:v>
                </c:pt>
                <c:pt idx="1796">
                  <c:v>20685</c:v>
                </c:pt>
                <c:pt idx="1797">
                  <c:v>20559</c:v>
                </c:pt>
                <c:pt idx="1798">
                  <c:v>16072</c:v>
                </c:pt>
                <c:pt idx="1799">
                  <c:v>20534</c:v>
                </c:pt>
                <c:pt idx="1800">
                  <c:v>21929</c:v>
                </c:pt>
                <c:pt idx="1801">
                  <c:v>24370</c:v>
                </c:pt>
                <c:pt idx="1802">
                  <c:v>20129</c:v>
                </c:pt>
                <c:pt idx="1803">
                  <c:v>28308</c:v>
                </c:pt>
                <c:pt idx="1804">
                  <c:v>23011</c:v>
                </c:pt>
                <c:pt idx="1805">
                  <c:v>16820</c:v>
                </c:pt>
                <c:pt idx="1806">
                  <c:v>22946</c:v>
                </c:pt>
                <c:pt idx="1807">
                  <c:v>18871</c:v>
                </c:pt>
                <c:pt idx="1808">
                  <c:v>23804</c:v>
                </c:pt>
                <c:pt idx="1809">
                  <c:v>25756</c:v>
                </c:pt>
                <c:pt idx="1810">
                  <c:v>51148</c:v>
                </c:pt>
                <c:pt idx="1811">
                  <c:v>15078</c:v>
                </c:pt>
                <c:pt idx="1812">
                  <c:v>12614</c:v>
                </c:pt>
                <c:pt idx="1813">
                  <c:v>15591</c:v>
                </c:pt>
                <c:pt idx="1814">
                  <c:v>19457</c:v>
                </c:pt>
                <c:pt idx="1815">
                  <c:v>17335</c:v>
                </c:pt>
                <c:pt idx="1816">
                  <c:v>19678</c:v>
                </c:pt>
                <c:pt idx="1817">
                  <c:v>18187</c:v>
                </c:pt>
                <c:pt idx="1818">
                  <c:v>26742</c:v>
                </c:pt>
                <c:pt idx="1819">
                  <c:v>22460</c:v>
                </c:pt>
                <c:pt idx="1820">
                  <c:v>17849</c:v>
                </c:pt>
                <c:pt idx="1821">
                  <c:v>33044</c:v>
                </c:pt>
                <c:pt idx="1822">
                  <c:v>18982</c:v>
                </c:pt>
                <c:pt idx="1823">
                  <c:v>18553</c:v>
                </c:pt>
                <c:pt idx="1824">
                  <c:v>22358</c:v>
                </c:pt>
                <c:pt idx="1825">
                  <c:v>18300</c:v>
                </c:pt>
                <c:pt idx="1826">
                  <c:v>21705</c:v>
                </c:pt>
                <c:pt idx="1827">
                  <c:v>19412</c:v>
                </c:pt>
                <c:pt idx="1828">
                  <c:v>32779</c:v>
                </c:pt>
                <c:pt idx="1829">
                  <c:v>20940</c:v>
                </c:pt>
                <c:pt idx="1830">
                  <c:v>18456</c:v>
                </c:pt>
                <c:pt idx="1831">
                  <c:v>25105</c:v>
                </c:pt>
                <c:pt idx="1832">
                  <c:v>22336</c:v>
                </c:pt>
                <c:pt idx="1833">
                  <c:v>25786</c:v>
                </c:pt>
                <c:pt idx="1834">
                  <c:v>22903</c:v>
                </c:pt>
                <c:pt idx="1835">
                  <c:v>26262</c:v>
                </c:pt>
                <c:pt idx="1836">
                  <c:v>23036</c:v>
                </c:pt>
                <c:pt idx="1837">
                  <c:v>24941</c:v>
                </c:pt>
                <c:pt idx="1838">
                  <c:v>32851</c:v>
                </c:pt>
                <c:pt idx="1839">
                  <c:v>24228</c:v>
                </c:pt>
                <c:pt idx="1840">
                  <c:v>23835</c:v>
                </c:pt>
                <c:pt idx="1841">
                  <c:v>33923</c:v>
                </c:pt>
                <c:pt idx="1842">
                  <c:v>28879</c:v>
                </c:pt>
                <c:pt idx="1843">
                  <c:v>26805</c:v>
                </c:pt>
                <c:pt idx="1844">
                  <c:v>22488</c:v>
                </c:pt>
                <c:pt idx="1845">
                  <c:v>24339</c:v>
                </c:pt>
                <c:pt idx="1846">
                  <c:v>25240</c:v>
                </c:pt>
                <c:pt idx="1847">
                  <c:v>26261</c:v>
                </c:pt>
                <c:pt idx="1848">
                  <c:v>26968</c:v>
                </c:pt>
                <c:pt idx="1849">
                  <c:v>23753</c:v>
                </c:pt>
                <c:pt idx="1850">
                  <c:v>23659</c:v>
                </c:pt>
                <c:pt idx="1851">
                  <c:v>26774</c:v>
                </c:pt>
                <c:pt idx="1852">
                  <c:v>24772</c:v>
                </c:pt>
                <c:pt idx="1853">
                  <c:v>24142</c:v>
                </c:pt>
                <c:pt idx="1854">
                  <c:v>25984</c:v>
                </c:pt>
                <c:pt idx="1855">
                  <c:v>29424</c:v>
                </c:pt>
                <c:pt idx="1856">
                  <c:v>23554</c:v>
                </c:pt>
                <c:pt idx="1857">
                  <c:v>43206</c:v>
                </c:pt>
                <c:pt idx="1858">
                  <c:v>64993</c:v>
                </c:pt>
                <c:pt idx="1859">
                  <c:v>26891</c:v>
                </c:pt>
                <c:pt idx="1860">
                  <c:v>25982</c:v>
                </c:pt>
                <c:pt idx="1861">
                  <c:v>29444</c:v>
                </c:pt>
                <c:pt idx="1862">
                  <c:v>30934</c:v>
                </c:pt>
                <c:pt idx="1863">
                  <c:v>31023</c:v>
                </c:pt>
                <c:pt idx="1864">
                  <c:v>22070</c:v>
                </c:pt>
                <c:pt idx="1865">
                  <c:v>23466</c:v>
                </c:pt>
                <c:pt idx="1866">
                  <c:v>24625</c:v>
                </c:pt>
                <c:pt idx="1867">
                  <c:v>41173</c:v>
                </c:pt>
                <c:pt idx="1868">
                  <c:v>26876</c:v>
                </c:pt>
                <c:pt idx="1869">
                  <c:v>30803</c:v>
                </c:pt>
                <c:pt idx="1870">
                  <c:v>32041</c:v>
                </c:pt>
                <c:pt idx="1871">
                  <c:v>34647</c:v>
                </c:pt>
                <c:pt idx="1872">
                  <c:v>22562</c:v>
                </c:pt>
                <c:pt idx="1873">
                  <c:v>35922</c:v>
                </c:pt>
                <c:pt idx="1874">
                  <c:v>28902</c:v>
                </c:pt>
                <c:pt idx="1875">
                  <c:v>25498</c:v>
                </c:pt>
                <c:pt idx="1876">
                  <c:v>25189</c:v>
                </c:pt>
                <c:pt idx="1877">
                  <c:v>24666</c:v>
                </c:pt>
                <c:pt idx="1878">
                  <c:v>25800</c:v>
                </c:pt>
                <c:pt idx="1879">
                  <c:v>37634</c:v>
                </c:pt>
                <c:pt idx="1880">
                  <c:v>25742</c:v>
                </c:pt>
                <c:pt idx="1881">
                  <c:v>29427</c:v>
                </c:pt>
                <c:pt idx="1882">
                  <c:v>28460</c:v>
                </c:pt>
                <c:pt idx="1883">
                  <c:v>30732</c:v>
                </c:pt>
                <c:pt idx="1884">
                  <c:v>30611</c:v>
                </c:pt>
                <c:pt idx="1885">
                  <c:v>24345</c:v>
                </c:pt>
                <c:pt idx="1886">
                  <c:v>25609</c:v>
                </c:pt>
                <c:pt idx="1887">
                  <c:v>48885</c:v>
                </c:pt>
                <c:pt idx="1888">
                  <c:v>23960</c:v>
                </c:pt>
                <c:pt idx="1889">
                  <c:v>25224</c:v>
                </c:pt>
                <c:pt idx="1890">
                  <c:v>23434</c:v>
                </c:pt>
                <c:pt idx="1891">
                  <c:v>20043</c:v>
                </c:pt>
                <c:pt idx="1892">
                  <c:v>20366</c:v>
                </c:pt>
                <c:pt idx="1893">
                  <c:v>17025</c:v>
                </c:pt>
                <c:pt idx="1894">
                  <c:v>21269</c:v>
                </c:pt>
                <c:pt idx="1895">
                  <c:v>21298</c:v>
                </c:pt>
                <c:pt idx="1896">
                  <c:v>22356</c:v>
                </c:pt>
                <c:pt idx="1897">
                  <c:v>16629</c:v>
                </c:pt>
                <c:pt idx="1898">
                  <c:v>18903</c:v>
                </c:pt>
                <c:pt idx="1899">
                  <c:v>27586</c:v>
                </c:pt>
                <c:pt idx="1900">
                  <c:v>27066</c:v>
                </c:pt>
                <c:pt idx="1901">
                  <c:v>20263</c:v>
                </c:pt>
                <c:pt idx="1902">
                  <c:v>26183</c:v>
                </c:pt>
                <c:pt idx="1903">
                  <c:v>19601</c:v>
                </c:pt>
                <c:pt idx="1904">
                  <c:v>26585</c:v>
                </c:pt>
                <c:pt idx="1905">
                  <c:v>28991</c:v>
                </c:pt>
                <c:pt idx="1906">
                  <c:v>19698</c:v>
                </c:pt>
                <c:pt idx="1907">
                  <c:v>23657</c:v>
                </c:pt>
                <c:pt idx="1908">
                  <c:v>32845</c:v>
                </c:pt>
                <c:pt idx="1909">
                  <c:v>18787</c:v>
                </c:pt>
                <c:pt idx="1910">
                  <c:v>21451</c:v>
                </c:pt>
                <c:pt idx="1911">
                  <c:v>22106</c:v>
                </c:pt>
                <c:pt idx="1912">
                  <c:v>20825</c:v>
                </c:pt>
                <c:pt idx="1913">
                  <c:v>19814</c:v>
                </c:pt>
                <c:pt idx="1914">
                  <c:v>24553</c:v>
                </c:pt>
                <c:pt idx="1915">
                  <c:v>22931</c:v>
                </c:pt>
                <c:pt idx="1916">
                  <c:v>27521</c:v>
                </c:pt>
                <c:pt idx="1917">
                  <c:v>30682</c:v>
                </c:pt>
                <c:pt idx="1918">
                  <c:v>23060</c:v>
                </c:pt>
                <c:pt idx="1919">
                  <c:v>28141</c:v>
                </c:pt>
                <c:pt idx="1920">
                  <c:v>17593</c:v>
                </c:pt>
                <c:pt idx="1921">
                  <c:v>30268</c:v>
                </c:pt>
                <c:pt idx="1922">
                  <c:v>17956</c:v>
                </c:pt>
                <c:pt idx="1923">
                  <c:v>26674</c:v>
                </c:pt>
                <c:pt idx="1924">
                  <c:v>21526</c:v>
                </c:pt>
                <c:pt idx="1925">
                  <c:v>22828</c:v>
                </c:pt>
                <c:pt idx="1926">
                  <c:v>22035</c:v>
                </c:pt>
                <c:pt idx="1927">
                  <c:v>19372</c:v>
                </c:pt>
                <c:pt idx="1928">
                  <c:v>23127</c:v>
                </c:pt>
                <c:pt idx="1929">
                  <c:v>18107</c:v>
                </c:pt>
                <c:pt idx="1930">
                  <c:v>26762</c:v>
                </c:pt>
                <c:pt idx="1931">
                  <c:v>19709</c:v>
                </c:pt>
                <c:pt idx="1932">
                  <c:v>20864</c:v>
                </c:pt>
                <c:pt idx="1933">
                  <c:v>25562</c:v>
                </c:pt>
                <c:pt idx="1934">
                  <c:v>26059</c:v>
                </c:pt>
                <c:pt idx="1935">
                  <c:v>17280</c:v>
                </c:pt>
                <c:pt idx="1936">
                  <c:v>18421</c:v>
                </c:pt>
                <c:pt idx="1937">
                  <c:v>19333</c:v>
                </c:pt>
                <c:pt idx="1938">
                  <c:v>27558</c:v>
                </c:pt>
                <c:pt idx="1939">
                  <c:v>21517</c:v>
                </c:pt>
                <c:pt idx="1940">
                  <c:v>22858</c:v>
                </c:pt>
                <c:pt idx="1941">
                  <c:v>20630</c:v>
                </c:pt>
                <c:pt idx="1942">
                  <c:v>21743</c:v>
                </c:pt>
                <c:pt idx="1943">
                  <c:v>20191</c:v>
                </c:pt>
                <c:pt idx="1944">
                  <c:v>26439</c:v>
                </c:pt>
                <c:pt idx="1945">
                  <c:v>18717</c:v>
                </c:pt>
                <c:pt idx="1946">
                  <c:v>24060</c:v>
                </c:pt>
                <c:pt idx="1947">
                  <c:v>21076</c:v>
                </c:pt>
                <c:pt idx="1948">
                  <c:v>19032</c:v>
                </c:pt>
                <c:pt idx="1949">
                  <c:v>33169</c:v>
                </c:pt>
                <c:pt idx="1950">
                  <c:v>21429</c:v>
                </c:pt>
                <c:pt idx="1951">
                  <c:v>19331</c:v>
                </c:pt>
                <c:pt idx="1952">
                  <c:v>29643</c:v>
                </c:pt>
                <c:pt idx="1953">
                  <c:v>23082</c:v>
                </c:pt>
                <c:pt idx="1954">
                  <c:v>29880</c:v>
                </c:pt>
                <c:pt idx="1955">
                  <c:v>18180</c:v>
                </c:pt>
                <c:pt idx="1956">
                  <c:v>21862</c:v>
                </c:pt>
                <c:pt idx="1957">
                  <c:v>36380</c:v>
                </c:pt>
                <c:pt idx="1958">
                  <c:v>24176</c:v>
                </c:pt>
                <c:pt idx="1959">
                  <c:v>22187</c:v>
                </c:pt>
                <c:pt idx="1960">
                  <c:v>23561</c:v>
                </c:pt>
                <c:pt idx="1961">
                  <c:v>23006</c:v>
                </c:pt>
                <c:pt idx="1962">
                  <c:v>21148</c:v>
                </c:pt>
                <c:pt idx="1963">
                  <c:v>23461</c:v>
                </c:pt>
                <c:pt idx="1964">
                  <c:v>27164</c:v>
                </c:pt>
                <c:pt idx="1965">
                  <c:v>21175</c:v>
                </c:pt>
                <c:pt idx="1966">
                  <c:v>18059</c:v>
                </c:pt>
                <c:pt idx="1967">
                  <c:v>15559</c:v>
                </c:pt>
                <c:pt idx="1968">
                  <c:v>20726</c:v>
                </c:pt>
                <c:pt idx="1969">
                  <c:v>21706</c:v>
                </c:pt>
                <c:pt idx="1970">
                  <c:v>19419</c:v>
                </c:pt>
                <c:pt idx="1971">
                  <c:v>19063</c:v>
                </c:pt>
                <c:pt idx="1972">
                  <c:v>15849</c:v>
                </c:pt>
                <c:pt idx="1973">
                  <c:v>20990</c:v>
                </c:pt>
                <c:pt idx="1974">
                  <c:v>20950</c:v>
                </c:pt>
                <c:pt idx="1975">
                  <c:v>20330</c:v>
                </c:pt>
                <c:pt idx="1976">
                  <c:v>20409</c:v>
                </c:pt>
                <c:pt idx="1977">
                  <c:v>24080</c:v>
                </c:pt>
                <c:pt idx="1978">
                  <c:v>16268</c:v>
                </c:pt>
                <c:pt idx="1979">
                  <c:v>29662</c:v>
                </c:pt>
                <c:pt idx="1980">
                  <c:v>18606</c:v>
                </c:pt>
                <c:pt idx="1981">
                  <c:v>34202</c:v>
                </c:pt>
                <c:pt idx="1982">
                  <c:v>19354</c:v>
                </c:pt>
                <c:pt idx="1983">
                  <c:v>20067</c:v>
                </c:pt>
                <c:pt idx="1984">
                  <c:v>22314</c:v>
                </c:pt>
                <c:pt idx="1985">
                  <c:v>21204</c:v>
                </c:pt>
                <c:pt idx="1986">
                  <c:v>19163</c:v>
                </c:pt>
                <c:pt idx="1987">
                  <c:v>21486</c:v>
                </c:pt>
                <c:pt idx="1988">
                  <c:v>21372</c:v>
                </c:pt>
                <c:pt idx="1989">
                  <c:v>20798</c:v>
                </c:pt>
                <c:pt idx="1990">
                  <c:v>34005</c:v>
                </c:pt>
                <c:pt idx="1991">
                  <c:v>33016</c:v>
                </c:pt>
                <c:pt idx="1992">
                  <c:v>20697</c:v>
                </c:pt>
                <c:pt idx="1993">
                  <c:v>42729</c:v>
                </c:pt>
                <c:pt idx="1994">
                  <c:v>33541</c:v>
                </c:pt>
                <c:pt idx="1995">
                  <c:v>34414</c:v>
                </c:pt>
                <c:pt idx="1996">
                  <c:v>34161</c:v>
                </c:pt>
                <c:pt idx="1997">
                  <c:v>34813</c:v>
                </c:pt>
                <c:pt idx="1998">
                  <c:v>31795</c:v>
                </c:pt>
                <c:pt idx="1999">
                  <c:v>38721</c:v>
                </c:pt>
                <c:pt idx="2000">
                  <c:v>27825</c:v>
                </c:pt>
                <c:pt idx="2001">
                  <c:v>41625</c:v>
                </c:pt>
                <c:pt idx="2002">
                  <c:v>41849</c:v>
                </c:pt>
                <c:pt idx="2003">
                  <c:v>31806</c:v>
                </c:pt>
                <c:pt idx="2004">
                  <c:v>29367</c:v>
                </c:pt>
                <c:pt idx="2005">
                  <c:v>29710</c:v>
                </c:pt>
                <c:pt idx="2006">
                  <c:v>27650</c:v>
                </c:pt>
                <c:pt idx="2007">
                  <c:v>29088</c:v>
                </c:pt>
                <c:pt idx="2008">
                  <c:v>32412</c:v>
                </c:pt>
                <c:pt idx="2009">
                  <c:v>29639</c:v>
                </c:pt>
                <c:pt idx="2010">
                  <c:v>28132</c:v>
                </c:pt>
                <c:pt idx="2011">
                  <c:v>32743</c:v>
                </c:pt>
                <c:pt idx="2012">
                  <c:v>34471</c:v>
                </c:pt>
                <c:pt idx="2013">
                  <c:v>32180</c:v>
                </c:pt>
                <c:pt idx="2014">
                  <c:v>34169</c:v>
                </c:pt>
                <c:pt idx="2015">
                  <c:v>28735</c:v>
                </c:pt>
                <c:pt idx="2016">
                  <c:v>37045</c:v>
                </c:pt>
                <c:pt idx="2017">
                  <c:v>31777</c:v>
                </c:pt>
                <c:pt idx="2018">
                  <c:v>31759</c:v>
                </c:pt>
                <c:pt idx="2019">
                  <c:v>32614</c:v>
                </c:pt>
                <c:pt idx="2020">
                  <c:v>38061</c:v>
                </c:pt>
                <c:pt idx="2021">
                  <c:v>32259</c:v>
                </c:pt>
                <c:pt idx="2022">
                  <c:v>32235</c:v>
                </c:pt>
                <c:pt idx="2023">
                  <c:v>31244</c:v>
                </c:pt>
                <c:pt idx="2024">
                  <c:v>25029</c:v>
                </c:pt>
                <c:pt idx="2025">
                  <c:v>29006</c:v>
                </c:pt>
                <c:pt idx="2026">
                  <c:v>30779</c:v>
                </c:pt>
                <c:pt idx="2027">
                  <c:v>31281</c:v>
                </c:pt>
                <c:pt idx="2028">
                  <c:v>28413</c:v>
                </c:pt>
                <c:pt idx="2029">
                  <c:v>16706</c:v>
                </c:pt>
                <c:pt idx="2030">
                  <c:v>32280</c:v>
                </c:pt>
                <c:pt idx="2031">
                  <c:v>32095</c:v>
                </c:pt>
                <c:pt idx="2032">
                  <c:v>15557</c:v>
                </c:pt>
                <c:pt idx="2033">
                  <c:v>34597</c:v>
                </c:pt>
                <c:pt idx="2034">
                  <c:v>35114</c:v>
                </c:pt>
                <c:pt idx="2035">
                  <c:v>34774</c:v>
                </c:pt>
                <c:pt idx="2036">
                  <c:v>29490</c:v>
                </c:pt>
                <c:pt idx="2037">
                  <c:v>33277</c:v>
                </c:pt>
                <c:pt idx="2038">
                  <c:v>30213</c:v>
                </c:pt>
                <c:pt idx="2039">
                  <c:v>30154</c:v>
                </c:pt>
                <c:pt idx="2040">
                  <c:v>31215</c:v>
                </c:pt>
                <c:pt idx="2041">
                  <c:v>30514</c:v>
                </c:pt>
                <c:pt idx="2042">
                  <c:v>43946</c:v>
                </c:pt>
                <c:pt idx="2043">
                  <c:v>18556</c:v>
                </c:pt>
                <c:pt idx="2044">
                  <c:v>22922</c:v>
                </c:pt>
                <c:pt idx="2045">
                  <c:v>22928</c:v>
                </c:pt>
                <c:pt idx="2046">
                  <c:v>20378</c:v>
                </c:pt>
                <c:pt idx="2047">
                  <c:v>17868</c:v>
                </c:pt>
                <c:pt idx="2048">
                  <c:v>25727</c:v>
                </c:pt>
                <c:pt idx="2049">
                  <c:v>23684</c:v>
                </c:pt>
                <c:pt idx="2050">
                  <c:v>22133</c:v>
                </c:pt>
                <c:pt idx="2051">
                  <c:v>27490</c:v>
                </c:pt>
                <c:pt idx="2052">
                  <c:v>23706</c:v>
                </c:pt>
                <c:pt idx="2053">
                  <c:v>23513</c:v>
                </c:pt>
                <c:pt idx="2054">
                  <c:v>23445</c:v>
                </c:pt>
                <c:pt idx="2055">
                  <c:v>29288</c:v>
                </c:pt>
                <c:pt idx="2056">
                  <c:v>23039</c:v>
                </c:pt>
                <c:pt idx="2057">
                  <c:v>23348</c:v>
                </c:pt>
                <c:pt idx="2058">
                  <c:v>20713</c:v>
                </c:pt>
                <c:pt idx="2059">
                  <c:v>22499</c:v>
                </c:pt>
                <c:pt idx="2060">
                  <c:v>28215</c:v>
                </c:pt>
                <c:pt idx="2061">
                  <c:v>22832</c:v>
                </c:pt>
                <c:pt idx="2062">
                  <c:v>24143</c:v>
                </c:pt>
                <c:pt idx="2063">
                  <c:v>41824</c:v>
                </c:pt>
                <c:pt idx="2064">
                  <c:v>27249</c:v>
                </c:pt>
                <c:pt idx="2065">
                  <c:v>28130</c:v>
                </c:pt>
                <c:pt idx="2066">
                  <c:v>21632</c:v>
                </c:pt>
                <c:pt idx="2067">
                  <c:v>29244</c:v>
                </c:pt>
                <c:pt idx="2068">
                  <c:v>26470</c:v>
                </c:pt>
                <c:pt idx="2069">
                  <c:v>21195</c:v>
                </c:pt>
                <c:pt idx="2070">
                  <c:v>37021</c:v>
                </c:pt>
                <c:pt idx="2071">
                  <c:v>31075</c:v>
                </c:pt>
                <c:pt idx="2072">
                  <c:v>21564</c:v>
                </c:pt>
                <c:pt idx="2073">
                  <c:v>30360</c:v>
                </c:pt>
                <c:pt idx="2074">
                  <c:v>27129</c:v>
                </c:pt>
                <c:pt idx="2075">
                  <c:v>20332</c:v>
                </c:pt>
                <c:pt idx="2076">
                  <c:v>22197</c:v>
                </c:pt>
                <c:pt idx="2077">
                  <c:v>25205</c:v>
                </c:pt>
                <c:pt idx="2078">
                  <c:v>20240</c:v>
                </c:pt>
                <c:pt idx="2079">
                  <c:v>21360</c:v>
                </c:pt>
                <c:pt idx="2080">
                  <c:v>18906</c:v>
                </c:pt>
                <c:pt idx="2081">
                  <c:v>23158</c:v>
                </c:pt>
                <c:pt idx="2082">
                  <c:v>20697</c:v>
                </c:pt>
                <c:pt idx="2083">
                  <c:v>23188</c:v>
                </c:pt>
                <c:pt idx="2084">
                  <c:v>23520</c:v>
                </c:pt>
                <c:pt idx="2085">
                  <c:v>30094</c:v>
                </c:pt>
                <c:pt idx="2086">
                  <c:v>21955</c:v>
                </c:pt>
                <c:pt idx="2087">
                  <c:v>27389</c:v>
                </c:pt>
                <c:pt idx="2088">
                  <c:v>25428</c:v>
                </c:pt>
                <c:pt idx="2089">
                  <c:v>26804</c:v>
                </c:pt>
                <c:pt idx="2090">
                  <c:v>24816</c:v>
                </c:pt>
                <c:pt idx="2091">
                  <c:v>25159</c:v>
                </c:pt>
                <c:pt idx="2092">
                  <c:v>24056</c:v>
                </c:pt>
                <c:pt idx="2093">
                  <c:v>20811</c:v>
                </c:pt>
                <c:pt idx="2094">
                  <c:v>31760</c:v>
                </c:pt>
                <c:pt idx="2095">
                  <c:v>19999</c:v>
                </c:pt>
                <c:pt idx="2096">
                  <c:v>24978</c:v>
                </c:pt>
                <c:pt idx="2097">
                  <c:v>26320</c:v>
                </c:pt>
                <c:pt idx="2098">
                  <c:v>22522</c:v>
                </c:pt>
                <c:pt idx="2099">
                  <c:v>25734</c:v>
                </c:pt>
                <c:pt idx="2100">
                  <c:v>20180</c:v>
                </c:pt>
                <c:pt idx="2101">
                  <c:v>23420</c:v>
                </c:pt>
                <c:pt idx="2102">
                  <c:v>21274</c:v>
                </c:pt>
                <c:pt idx="2103">
                  <c:v>21788</c:v>
                </c:pt>
                <c:pt idx="2104">
                  <c:v>29343</c:v>
                </c:pt>
                <c:pt idx="2105">
                  <c:v>23836</c:v>
                </c:pt>
                <c:pt idx="2106">
                  <c:v>20302</c:v>
                </c:pt>
                <c:pt idx="2107">
                  <c:v>24921</c:v>
                </c:pt>
                <c:pt idx="2108">
                  <c:v>20790</c:v>
                </c:pt>
                <c:pt idx="2109">
                  <c:v>26042</c:v>
                </c:pt>
                <c:pt idx="2110">
                  <c:v>23414</c:v>
                </c:pt>
                <c:pt idx="2111">
                  <c:v>26269</c:v>
                </c:pt>
                <c:pt idx="2112">
                  <c:v>22367</c:v>
                </c:pt>
                <c:pt idx="2113">
                  <c:v>21365</c:v>
                </c:pt>
                <c:pt idx="2114">
                  <c:v>23782</c:v>
                </c:pt>
                <c:pt idx="2115">
                  <c:v>19769</c:v>
                </c:pt>
                <c:pt idx="2116">
                  <c:v>23020</c:v>
                </c:pt>
                <c:pt idx="2117">
                  <c:v>26741</c:v>
                </c:pt>
                <c:pt idx="2118">
                  <c:v>25547</c:v>
                </c:pt>
                <c:pt idx="2119">
                  <c:v>28986</c:v>
                </c:pt>
                <c:pt idx="2120">
                  <c:v>23509</c:v>
                </c:pt>
                <c:pt idx="2121">
                  <c:v>23314</c:v>
                </c:pt>
                <c:pt idx="2122">
                  <c:v>28549</c:v>
                </c:pt>
                <c:pt idx="2123">
                  <c:v>24422</c:v>
                </c:pt>
                <c:pt idx="2124">
                  <c:v>18330</c:v>
                </c:pt>
                <c:pt idx="2125">
                  <c:v>34271</c:v>
                </c:pt>
                <c:pt idx="2126">
                  <c:v>24013</c:v>
                </c:pt>
                <c:pt idx="2127">
                  <c:v>23695</c:v>
                </c:pt>
                <c:pt idx="2128">
                  <c:v>22234</c:v>
                </c:pt>
                <c:pt idx="2129">
                  <c:v>27477</c:v>
                </c:pt>
                <c:pt idx="2130">
                  <c:v>24246</c:v>
                </c:pt>
                <c:pt idx="2131">
                  <c:v>16247</c:v>
                </c:pt>
                <c:pt idx="2132">
                  <c:v>28233</c:v>
                </c:pt>
                <c:pt idx="2133">
                  <c:v>18810</c:v>
                </c:pt>
                <c:pt idx="2134">
                  <c:v>26258</c:v>
                </c:pt>
                <c:pt idx="2135">
                  <c:v>25156</c:v>
                </c:pt>
                <c:pt idx="2136">
                  <c:v>19576</c:v>
                </c:pt>
                <c:pt idx="2137">
                  <c:v>20688</c:v>
                </c:pt>
                <c:pt idx="2138">
                  <c:v>20003</c:v>
                </c:pt>
                <c:pt idx="2139">
                  <c:v>28246</c:v>
                </c:pt>
                <c:pt idx="2140">
                  <c:v>22870</c:v>
                </c:pt>
                <c:pt idx="2141">
                  <c:v>19509</c:v>
                </c:pt>
                <c:pt idx="2142">
                  <c:v>18269</c:v>
                </c:pt>
                <c:pt idx="2143">
                  <c:v>26981</c:v>
                </c:pt>
                <c:pt idx="2144">
                  <c:v>27745</c:v>
                </c:pt>
                <c:pt idx="2145">
                  <c:v>22977</c:v>
                </c:pt>
                <c:pt idx="2146">
                  <c:v>23264</c:v>
                </c:pt>
                <c:pt idx="2147">
                  <c:v>21640</c:v>
                </c:pt>
                <c:pt idx="2148">
                  <c:v>19623</c:v>
                </c:pt>
                <c:pt idx="2149">
                  <c:v>23010</c:v>
                </c:pt>
                <c:pt idx="2150">
                  <c:v>23044</c:v>
                </c:pt>
                <c:pt idx="2151">
                  <c:v>21736</c:v>
                </c:pt>
                <c:pt idx="2152">
                  <c:v>25942</c:v>
                </c:pt>
                <c:pt idx="2153">
                  <c:v>28417</c:v>
                </c:pt>
                <c:pt idx="2154">
                  <c:v>24928</c:v>
                </c:pt>
                <c:pt idx="2155">
                  <c:v>21644</c:v>
                </c:pt>
                <c:pt idx="2156">
                  <c:v>24965</c:v>
                </c:pt>
                <c:pt idx="2157">
                  <c:v>28552</c:v>
                </c:pt>
                <c:pt idx="2158">
                  <c:v>19552</c:v>
                </c:pt>
                <c:pt idx="2159">
                  <c:v>20891</c:v>
                </c:pt>
                <c:pt idx="2160">
                  <c:v>24364</c:v>
                </c:pt>
                <c:pt idx="2161">
                  <c:v>18858</c:v>
                </c:pt>
                <c:pt idx="2162">
                  <c:v>17723</c:v>
                </c:pt>
                <c:pt idx="2163">
                  <c:v>21923</c:v>
                </c:pt>
                <c:pt idx="2164">
                  <c:v>19409</c:v>
                </c:pt>
                <c:pt idx="2165">
                  <c:v>20425</c:v>
                </c:pt>
                <c:pt idx="2166">
                  <c:v>23044</c:v>
                </c:pt>
                <c:pt idx="2167">
                  <c:v>27733</c:v>
                </c:pt>
                <c:pt idx="2168">
                  <c:v>23260</c:v>
                </c:pt>
                <c:pt idx="2169">
                  <c:v>22343</c:v>
                </c:pt>
                <c:pt idx="2170">
                  <c:v>18881</c:v>
                </c:pt>
                <c:pt idx="2171">
                  <c:v>23072</c:v>
                </c:pt>
                <c:pt idx="2172">
                  <c:v>27402</c:v>
                </c:pt>
                <c:pt idx="2173">
                  <c:v>20589</c:v>
                </c:pt>
                <c:pt idx="2174">
                  <c:v>26562</c:v>
                </c:pt>
                <c:pt idx="2175">
                  <c:v>17898</c:v>
                </c:pt>
                <c:pt idx="2176">
                  <c:v>20599</c:v>
                </c:pt>
                <c:pt idx="2177">
                  <c:v>27877</c:v>
                </c:pt>
                <c:pt idx="2178">
                  <c:v>20339</c:v>
                </c:pt>
                <c:pt idx="2179">
                  <c:v>20884</c:v>
                </c:pt>
                <c:pt idx="2180">
                  <c:v>23146</c:v>
                </c:pt>
                <c:pt idx="2181">
                  <c:v>20516</c:v>
                </c:pt>
                <c:pt idx="2182">
                  <c:v>25368</c:v>
                </c:pt>
                <c:pt idx="2183">
                  <c:v>20524</c:v>
                </c:pt>
                <c:pt idx="2184">
                  <c:v>16818</c:v>
                </c:pt>
                <c:pt idx="2185">
                  <c:v>27401</c:v>
                </c:pt>
                <c:pt idx="2186">
                  <c:v>20313</c:v>
                </c:pt>
                <c:pt idx="2187">
                  <c:v>22935</c:v>
                </c:pt>
                <c:pt idx="2188">
                  <c:v>18136</c:v>
                </c:pt>
                <c:pt idx="2189">
                  <c:v>22603</c:v>
                </c:pt>
                <c:pt idx="2190">
                  <c:v>21469</c:v>
                </c:pt>
                <c:pt idx="2191">
                  <c:v>23311</c:v>
                </c:pt>
                <c:pt idx="2192">
                  <c:v>21827</c:v>
                </c:pt>
                <c:pt idx="2193">
                  <c:v>21974</c:v>
                </c:pt>
                <c:pt idx="2194">
                  <c:v>20802</c:v>
                </c:pt>
                <c:pt idx="2195">
                  <c:v>26257</c:v>
                </c:pt>
                <c:pt idx="2196">
                  <c:v>28057</c:v>
                </c:pt>
                <c:pt idx="2197">
                  <c:v>19141</c:v>
                </c:pt>
                <c:pt idx="2198">
                  <c:v>18451</c:v>
                </c:pt>
                <c:pt idx="2199">
                  <c:v>24291</c:v>
                </c:pt>
                <c:pt idx="2200">
                  <c:v>21809</c:v>
                </c:pt>
                <c:pt idx="2201">
                  <c:v>19057</c:v>
                </c:pt>
                <c:pt idx="2202">
                  <c:v>28350</c:v>
                </c:pt>
                <c:pt idx="2203">
                  <c:v>25535</c:v>
                </c:pt>
                <c:pt idx="2204">
                  <c:v>28145</c:v>
                </c:pt>
                <c:pt idx="2205">
                  <c:v>25493</c:v>
                </c:pt>
                <c:pt idx="2206">
                  <c:v>26700</c:v>
                </c:pt>
                <c:pt idx="2207">
                  <c:v>26124</c:v>
                </c:pt>
                <c:pt idx="2208">
                  <c:v>24360</c:v>
                </c:pt>
                <c:pt idx="2209">
                  <c:v>27888</c:v>
                </c:pt>
                <c:pt idx="2210">
                  <c:v>34047</c:v>
                </c:pt>
                <c:pt idx="2211">
                  <c:v>26294</c:v>
                </c:pt>
                <c:pt idx="2212">
                  <c:v>25885</c:v>
                </c:pt>
                <c:pt idx="2213">
                  <c:v>22667</c:v>
                </c:pt>
                <c:pt idx="2214">
                  <c:v>21496</c:v>
                </c:pt>
                <c:pt idx="2215">
                  <c:v>24682</c:v>
                </c:pt>
                <c:pt idx="2216">
                  <c:v>29158</c:v>
                </c:pt>
                <c:pt idx="2217">
                  <c:v>22591</c:v>
                </c:pt>
                <c:pt idx="2218">
                  <c:v>25227</c:v>
                </c:pt>
                <c:pt idx="2219">
                  <c:v>22538</c:v>
                </c:pt>
                <c:pt idx="2220">
                  <c:v>21040</c:v>
                </c:pt>
                <c:pt idx="2221">
                  <c:v>27719</c:v>
                </c:pt>
                <c:pt idx="2222">
                  <c:v>24605</c:v>
                </c:pt>
                <c:pt idx="2223">
                  <c:v>21341</c:v>
                </c:pt>
                <c:pt idx="2224">
                  <c:v>22470</c:v>
                </c:pt>
                <c:pt idx="2225">
                  <c:v>22177</c:v>
                </c:pt>
                <c:pt idx="2226">
                  <c:v>20142</c:v>
                </c:pt>
                <c:pt idx="2227">
                  <c:v>24960</c:v>
                </c:pt>
                <c:pt idx="2228">
                  <c:v>25124</c:v>
                </c:pt>
                <c:pt idx="2229">
                  <c:v>21706</c:v>
                </c:pt>
                <c:pt idx="2230">
                  <c:v>16867</c:v>
                </c:pt>
                <c:pt idx="2231">
                  <c:v>22490</c:v>
                </c:pt>
                <c:pt idx="2232">
                  <c:v>20497</c:v>
                </c:pt>
                <c:pt idx="2233">
                  <c:v>31544</c:v>
                </c:pt>
                <c:pt idx="2234">
                  <c:v>23967</c:v>
                </c:pt>
                <c:pt idx="2235">
                  <c:v>26178</c:v>
                </c:pt>
                <c:pt idx="2236">
                  <c:v>22426</c:v>
                </c:pt>
                <c:pt idx="2237">
                  <c:v>21214</c:v>
                </c:pt>
                <c:pt idx="2238">
                  <c:v>23764</c:v>
                </c:pt>
                <c:pt idx="2239">
                  <c:v>24386</c:v>
                </c:pt>
                <c:pt idx="2240">
                  <c:v>22828</c:v>
                </c:pt>
                <c:pt idx="2241">
                  <c:v>32369</c:v>
                </c:pt>
                <c:pt idx="2242">
                  <c:v>23535</c:v>
                </c:pt>
                <c:pt idx="2243">
                  <c:v>25047</c:v>
                </c:pt>
                <c:pt idx="2244">
                  <c:v>27870</c:v>
                </c:pt>
                <c:pt idx="2245">
                  <c:v>32848</c:v>
                </c:pt>
                <c:pt idx="2246">
                  <c:v>24391</c:v>
                </c:pt>
                <c:pt idx="2247">
                  <c:v>27233</c:v>
                </c:pt>
                <c:pt idx="2248">
                  <c:v>23195</c:v>
                </c:pt>
                <c:pt idx="2249">
                  <c:v>27146</c:v>
                </c:pt>
                <c:pt idx="2250">
                  <c:v>23865</c:v>
                </c:pt>
                <c:pt idx="2251">
                  <c:v>25577</c:v>
                </c:pt>
                <c:pt idx="2252">
                  <c:v>38795</c:v>
                </c:pt>
                <c:pt idx="2253">
                  <c:v>32301</c:v>
                </c:pt>
                <c:pt idx="2254">
                  <c:v>23410</c:v>
                </c:pt>
                <c:pt idx="2255">
                  <c:v>25240</c:v>
                </c:pt>
                <c:pt idx="2256">
                  <c:v>25398</c:v>
                </c:pt>
                <c:pt idx="2257">
                  <c:v>26492</c:v>
                </c:pt>
                <c:pt idx="2258">
                  <c:v>42556</c:v>
                </c:pt>
                <c:pt idx="2259">
                  <c:v>22136</c:v>
                </c:pt>
                <c:pt idx="2260">
                  <c:v>21362</c:v>
                </c:pt>
                <c:pt idx="2261">
                  <c:v>21937</c:v>
                </c:pt>
                <c:pt idx="2262">
                  <c:v>23580</c:v>
                </c:pt>
                <c:pt idx="2263">
                  <c:v>22726</c:v>
                </c:pt>
                <c:pt idx="2264">
                  <c:v>32398</c:v>
                </c:pt>
                <c:pt idx="2265">
                  <c:v>29461</c:v>
                </c:pt>
                <c:pt idx="2266">
                  <c:v>34064</c:v>
                </c:pt>
                <c:pt idx="2267">
                  <c:v>24647</c:v>
                </c:pt>
                <c:pt idx="2268">
                  <c:v>24856</c:v>
                </c:pt>
                <c:pt idx="2269">
                  <c:v>22014</c:v>
                </c:pt>
                <c:pt idx="2270">
                  <c:v>13645</c:v>
                </c:pt>
                <c:pt idx="2271">
                  <c:v>26025</c:v>
                </c:pt>
                <c:pt idx="2272">
                  <c:v>23435</c:v>
                </c:pt>
                <c:pt idx="2273">
                  <c:v>23232</c:v>
                </c:pt>
                <c:pt idx="2274">
                  <c:v>21714</c:v>
                </c:pt>
                <c:pt idx="2275">
                  <c:v>23450</c:v>
                </c:pt>
                <c:pt idx="2276">
                  <c:v>22282</c:v>
                </c:pt>
                <c:pt idx="2277">
                  <c:v>22170</c:v>
                </c:pt>
                <c:pt idx="2278">
                  <c:v>25608</c:v>
                </c:pt>
                <c:pt idx="2279">
                  <c:v>27158</c:v>
                </c:pt>
                <c:pt idx="2280">
                  <c:v>24450</c:v>
                </c:pt>
                <c:pt idx="2281">
                  <c:v>26526</c:v>
                </c:pt>
                <c:pt idx="2282">
                  <c:v>28688</c:v>
                </c:pt>
                <c:pt idx="2283">
                  <c:v>25224</c:v>
                </c:pt>
                <c:pt idx="2284">
                  <c:v>24194</c:v>
                </c:pt>
                <c:pt idx="2285">
                  <c:v>23554</c:v>
                </c:pt>
                <c:pt idx="2286">
                  <c:v>23683</c:v>
                </c:pt>
                <c:pt idx="2287">
                  <c:v>20769</c:v>
                </c:pt>
                <c:pt idx="2288">
                  <c:v>25022</c:v>
                </c:pt>
                <c:pt idx="2289">
                  <c:v>42275</c:v>
                </c:pt>
                <c:pt idx="2290">
                  <c:v>30272</c:v>
                </c:pt>
                <c:pt idx="2291">
                  <c:v>30176</c:v>
                </c:pt>
                <c:pt idx="2292">
                  <c:v>23291</c:v>
                </c:pt>
                <c:pt idx="2293">
                  <c:v>27019</c:v>
                </c:pt>
                <c:pt idx="2294">
                  <c:v>22919</c:v>
                </c:pt>
                <c:pt idx="2295">
                  <c:v>28533</c:v>
                </c:pt>
                <c:pt idx="2296">
                  <c:v>22318</c:v>
                </c:pt>
                <c:pt idx="2297">
                  <c:v>23682</c:v>
                </c:pt>
                <c:pt idx="2298">
                  <c:v>23836</c:v>
                </c:pt>
                <c:pt idx="2299">
                  <c:v>22980</c:v>
                </c:pt>
                <c:pt idx="2300">
                  <c:v>25054</c:v>
                </c:pt>
                <c:pt idx="2301">
                  <c:v>25958</c:v>
                </c:pt>
                <c:pt idx="2302">
                  <c:v>23980</c:v>
                </c:pt>
                <c:pt idx="2303">
                  <c:v>22863</c:v>
                </c:pt>
                <c:pt idx="2304">
                  <c:v>23380</c:v>
                </c:pt>
                <c:pt idx="2305">
                  <c:v>24830</c:v>
                </c:pt>
                <c:pt idx="2306">
                  <c:v>30605</c:v>
                </c:pt>
                <c:pt idx="2307">
                  <c:v>24539</c:v>
                </c:pt>
                <c:pt idx="2308">
                  <c:v>29472</c:v>
                </c:pt>
                <c:pt idx="2309">
                  <c:v>26087</c:v>
                </c:pt>
                <c:pt idx="2310">
                  <c:v>28403</c:v>
                </c:pt>
                <c:pt idx="2311">
                  <c:v>39196</c:v>
                </c:pt>
                <c:pt idx="2312">
                  <c:v>34824</c:v>
                </c:pt>
                <c:pt idx="2313">
                  <c:v>40320</c:v>
                </c:pt>
                <c:pt idx="2314">
                  <c:v>27162</c:v>
                </c:pt>
                <c:pt idx="2315">
                  <c:v>36851</c:v>
                </c:pt>
                <c:pt idx="2316">
                  <c:v>18112</c:v>
                </c:pt>
                <c:pt idx="2317">
                  <c:v>25321</c:v>
                </c:pt>
                <c:pt idx="2318">
                  <c:v>12199</c:v>
                </c:pt>
                <c:pt idx="2319">
                  <c:v>22400</c:v>
                </c:pt>
                <c:pt idx="2320">
                  <c:v>18215</c:v>
                </c:pt>
                <c:pt idx="2321">
                  <c:v>19026</c:v>
                </c:pt>
                <c:pt idx="2322">
                  <c:v>32401</c:v>
                </c:pt>
                <c:pt idx="2323">
                  <c:v>24826</c:v>
                </c:pt>
                <c:pt idx="2324">
                  <c:v>24900</c:v>
                </c:pt>
                <c:pt idx="2325">
                  <c:v>32162</c:v>
                </c:pt>
                <c:pt idx="2326">
                  <c:v>19279</c:v>
                </c:pt>
                <c:pt idx="2327">
                  <c:v>18819</c:v>
                </c:pt>
                <c:pt idx="2328">
                  <c:v>17840</c:v>
                </c:pt>
                <c:pt idx="2329">
                  <c:v>18535</c:v>
                </c:pt>
                <c:pt idx="2330">
                  <c:v>19015</c:v>
                </c:pt>
                <c:pt idx="2331">
                  <c:v>19810</c:v>
                </c:pt>
                <c:pt idx="2332">
                  <c:v>14736</c:v>
                </c:pt>
                <c:pt idx="2333">
                  <c:v>25223</c:v>
                </c:pt>
                <c:pt idx="2334">
                  <c:v>21723</c:v>
                </c:pt>
                <c:pt idx="2335">
                  <c:v>20401</c:v>
                </c:pt>
                <c:pt idx="2336">
                  <c:v>22877</c:v>
                </c:pt>
                <c:pt idx="2337">
                  <c:v>25216</c:v>
                </c:pt>
                <c:pt idx="2338">
                  <c:v>27200</c:v>
                </c:pt>
                <c:pt idx="2339">
                  <c:v>21287</c:v>
                </c:pt>
                <c:pt idx="2340">
                  <c:v>20046</c:v>
                </c:pt>
                <c:pt idx="2341">
                  <c:v>24094</c:v>
                </c:pt>
                <c:pt idx="2342">
                  <c:v>17565</c:v>
                </c:pt>
                <c:pt idx="2343">
                  <c:v>22434</c:v>
                </c:pt>
                <c:pt idx="2344">
                  <c:v>22647</c:v>
                </c:pt>
                <c:pt idx="2345">
                  <c:v>20072</c:v>
                </c:pt>
                <c:pt idx="2346">
                  <c:v>15662</c:v>
                </c:pt>
                <c:pt idx="2347">
                  <c:v>27248</c:v>
                </c:pt>
                <c:pt idx="2348">
                  <c:v>22201</c:v>
                </c:pt>
                <c:pt idx="2349">
                  <c:v>17553</c:v>
                </c:pt>
                <c:pt idx="2350">
                  <c:v>15682</c:v>
                </c:pt>
                <c:pt idx="2351">
                  <c:v>21267</c:v>
                </c:pt>
                <c:pt idx="2352">
                  <c:v>24666</c:v>
                </c:pt>
                <c:pt idx="2353">
                  <c:v>17889</c:v>
                </c:pt>
                <c:pt idx="2354">
                  <c:v>21222</c:v>
                </c:pt>
                <c:pt idx="2355">
                  <c:v>26026</c:v>
                </c:pt>
                <c:pt idx="2356">
                  <c:v>20430</c:v>
                </c:pt>
                <c:pt idx="2357">
                  <c:v>22618</c:v>
                </c:pt>
                <c:pt idx="2358">
                  <c:v>20806</c:v>
                </c:pt>
                <c:pt idx="2359">
                  <c:v>19087</c:v>
                </c:pt>
                <c:pt idx="2360">
                  <c:v>16344</c:v>
                </c:pt>
                <c:pt idx="2361">
                  <c:v>27868</c:v>
                </c:pt>
                <c:pt idx="2362">
                  <c:v>25965</c:v>
                </c:pt>
                <c:pt idx="2363">
                  <c:v>24662</c:v>
                </c:pt>
                <c:pt idx="2364">
                  <c:v>16549</c:v>
                </c:pt>
                <c:pt idx="2365">
                  <c:v>22165</c:v>
                </c:pt>
                <c:pt idx="2366">
                  <c:v>25727</c:v>
                </c:pt>
                <c:pt idx="2367">
                  <c:v>28841</c:v>
                </c:pt>
                <c:pt idx="2368">
                  <c:v>22591</c:v>
                </c:pt>
                <c:pt idx="2369">
                  <c:v>11372</c:v>
                </c:pt>
                <c:pt idx="2370">
                  <c:v>23267</c:v>
                </c:pt>
                <c:pt idx="2371">
                  <c:v>30998</c:v>
                </c:pt>
                <c:pt idx="2372">
                  <c:v>20814</c:v>
                </c:pt>
                <c:pt idx="2373">
                  <c:v>25250</c:v>
                </c:pt>
                <c:pt idx="2374">
                  <c:v>21121</c:v>
                </c:pt>
                <c:pt idx="2375">
                  <c:v>26767</c:v>
                </c:pt>
                <c:pt idx="2376">
                  <c:v>13848</c:v>
                </c:pt>
                <c:pt idx="2377">
                  <c:v>29934</c:v>
                </c:pt>
                <c:pt idx="2378">
                  <c:v>25881</c:v>
                </c:pt>
                <c:pt idx="2379">
                  <c:v>25844</c:v>
                </c:pt>
                <c:pt idx="2380">
                  <c:v>30511</c:v>
                </c:pt>
                <c:pt idx="2381">
                  <c:v>16216</c:v>
                </c:pt>
                <c:pt idx="2382">
                  <c:v>29235</c:v>
                </c:pt>
                <c:pt idx="2383">
                  <c:v>27487</c:v>
                </c:pt>
                <c:pt idx="2384">
                  <c:v>24653</c:v>
                </c:pt>
                <c:pt idx="2385">
                  <c:v>26958</c:v>
                </c:pt>
                <c:pt idx="2386">
                  <c:v>26741</c:v>
                </c:pt>
                <c:pt idx="2387">
                  <c:v>24035</c:v>
                </c:pt>
                <c:pt idx="2388">
                  <c:v>23599</c:v>
                </c:pt>
                <c:pt idx="2389">
                  <c:v>26153</c:v>
                </c:pt>
                <c:pt idx="2390">
                  <c:v>29723</c:v>
                </c:pt>
                <c:pt idx="2391">
                  <c:v>23656</c:v>
                </c:pt>
                <c:pt idx="2392">
                  <c:v>25087</c:v>
                </c:pt>
                <c:pt idx="2393">
                  <c:v>29642</c:v>
                </c:pt>
                <c:pt idx="2394">
                  <c:v>27880</c:v>
                </c:pt>
                <c:pt idx="2395">
                  <c:v>26239</c:v>
                </c:pt>
                <c:pt idx="2396">
                  <c:v>19216</c:v>
                </c:pt>
                <c:pt idx="2397">
                  <c:v>34277</c:v>
                </c:pt>
                <c:pt idx="2398">
                  <c:v>26103</c:v>
                </c:pt>
                <c:pt idx="2399">
                  <c:v>29747</c:v>
                </c:pt>
                <c:pt idx="2400">
                  <c:v>29610</c:v>
                </c:pt>
                <c:pt idx="2401">
                  <c:v>27083</c:v>
                </c:pt>
                <c:pt idx="2402">
                  <c:v>35559</c:v>
                </c:pt>
                <c:pt idx="2403">
                  <c:v>20912</c:v>
                </c:pt>
                <c:pt idx="2404">
                  <c:v>30086</c:v>
                </c:pt>
                <c:pt idx="2405">
                  <c:v>22263</c:v>
                </c:pt>
                <c:pt idx="2406">
                  <c:v>25161</c:v>
                </c:pt>
                <c:pt idx="2407">
                  <c:v>27123</c:v>
                </c:pt>
                <c:pt idx="2408">
                  <c:v>14123</c:v>
                </c:pt>
                <c:pt idx="2409">
                  <c:v>30204</c:v>
                </c:pt>
                <c:pt idx="2410">
                  <c:v>27387</c:v>
                </c:pt>
                <c:pt idx="2411">
                  <c:v>26918</c:v>
                </c:pt>
                <c:pt idx="2412">
                  <c:v>9150</c:v>
                </c:pt>
                <c:pt idx="2413">
                  <c:v>27298</c:v>
                </c:pt>
                <c:pt idx="2414">
                  <c:v>27174</c:v>
                </c:pt>
                <c:pt idx="2415">
                  <c:v>29158</c:v>
                </c:pt>
                <c:pt idx="2416">
                  <c:v>23010</c:v>
                </c:pt>
                <c:pt idx="2417">
                  <c:v>29952</c:v>
                </c:pt>
                <c:pt idx="2418">
                  <c:v>28165</c:v>
                </c:pt>
                <c:pt idx="2419">
                  <c:v>30597</c:v>
                </c:pt>
                <c:pt idx="2420">
                  <c:v>37078</c:v>
                </c:pt>
                <c:pt idx="2421">
                  <c:v>11616</c:v>
                </c:pt>
                <c:pt idx="2422">
                  <c:v>24560</c:v>
                </c:pt>
                <c:pt idx="2423">
                  <c:v>26958</c:v>
                </c:pt>
                <c:pt idx="2424">
                  <c:v>36730</c:v>
                </c:pt>
                <c:pt idx="2425">
                  <c:v>25553</c:v>
                </c:pt>
                <c:pt idx="2426">
                  <c:v>27044</c:v>
                </c:pt>
                <c:pt idx="2427">
                  <c:v>12877</c:v>
                </c:pt>
                <c:pt idx="2428">
                  <c:v>25590</c:v>
                </c:pt>
                <c:pt idx="2429">
                  <c:v>20390</c:v>
                </c:pt>
                <c:pt idx="2430">
                  <c:v>19285</c:v>
                </c:pt>
                <c:pt idx="2431">
                  <c:v>18061</c:v>
                </c:pt>
                <c:pt idx="2432">
                  <c:v>25916</c:v>
                </c:pt>
                <c:pt idx="2433">
                  <c:v>23336</c:v>
                </c:pt>
                <c:pt idx="2434">
                  <c:v>18117</c:v>
                </c:pt>
                <c:pt idx="2435">
                  <c:v>21897</c:v>
                </c:pt>
                <c:pt idx="2436">
                  <c:v>19086</c:v>
                </c:pt>
                <c:pt idx="2437">
                  <c:v>19166</c:v>
                </c:pt>
                <c:pt idx="2438">
                  <c:v>23922</c:v>
                </c:pt>
                <c:pt idx="2439">
                  <c:v>19440</c:v>
                </c:pt>
                <c:pt idx="2440">
                  <c:v>18817</c:v>
                </c:pt>
                <c:pt idx="2441">
                  <c:v>16881</c:v>
                </c:pt>
                <c:pt idx="2442">
                  <c:v>18691</c:v>
                </c:pt>
                <c:pt idx="2443">
                  <c:v>21680</c:v>
                </c:pt>
                <c:pt idx="2444">
                  <c:v>19178</c:v>
                </c:pt>
                <c:pt idx="2445">
                  <c:v>21770</c:v>
                </c:pt>
                <c:pt idx="2446">
                  <c:v>29589</c:v>
                </c:pt>
                <c:pt idx="2447">
                  <c:v>23715</c:v>
                </c:pt>
                <c:pt idx="2448">
                  <c:v>25573</c:v>
                </c:pt>
                <c:pt idx="2449">
                  <c:v>22369</c:v>
                </c:pt>
                <c:pt idx="2450">
                  <c:v>23044</c:v>
                </c:pt>
                <c:pt idx="2451">
                  <c:v>29431</c:v>
                </c:pt>
                <c:pt idx="2452">
                  <c:v>16539</c:v>
                </c:pt>
                <c:pt idx="2453">
                  <c:v>22889</c:v>
                </c:pt>
                <c:pt idx="2454">
                  <c:v>20704</c:v>
                </c:pt>
                <c:pt idx="2455">
                  <c:v>20765</c:v>
                </c:pt>
                <c:pt idx="2456">
                  <c:v>18974</c:v>
                </c:pt>
                <c:pt idx="2457">
                  <c:v>20398</c:v>
                </c:pt>
                <c:pt idx="2458">
                  <c:v>16356</c:v>
                </c:pt>
                <c:pt idx="2459">
                  <c:v>20246</c:v>
                </c:pt>
                <c:pt idx="2460">
                  <c:v>27518</c:v>
                </c:pt>
                <c:pt idx="2461">
                  <c:v>15169</c:v>
                </c:pt>
                <c:pt idx="2462">
                  <c:v>15671</c:v>
                </c:pt>
                <c:pt idx="2463">
                  <c:v>20740</c:v>
                </c:pt>
                <c:pt idx="2464">
                  <c:v>20338</c:v>
                </c:pt>
                <c:pt idx="2465">
                  <c:v>19027</c:v>
                </c:pt>
                <c:pt idx="2466">
                  <c:v>19269</c:v>
                </c:pt>
                <c:pt idx="2467">
                  <c:v>22207</c:v>
                </c:pt>
                <c:pt idx="2468">
                  <c:v>17957</c:v>
                </c:pt>
                <c:pt idx="2469">
                  <c:v>18234</c:v>
                </c:pt>
                <c:pt idx="2470">
                  <c:v>22329</c:v>
                </c:pt>
                <c:pt idx="2471">
                  <c:v>17788</c:v>
                </c:pt>
                <c:pt idx="2472">
                  <c:v>22383</c:v>
                </c:pt>
                <c:pt idx="2473">
                  <c:v>16916</c:v>
                </c:pt>
                <c:pt idx="2474">
                  <c:v>28337</c:v>
                </c:pt>
                <c:pt idx="2475">
                  <c:v>12810</c:v>
                </c:pt>
                <c:pt idx="2476">
                  <c:v>15769</c:v>
                </c:pt>
                <c:pt idx="2477">
                  <c:v>19214</c:v>
                </c:pt>
                <c:pt idx="2478">
                  <c:v>18236</c:v>
                </c:pt>
                <c:pt idx="2479">
                  <c:v>21655</c:v>
                </c:pt>
                <c:pt idx="2480">
                  <c:v>27466</c:v>
                </c:pt>
                <c:pt idx="2481">
                  <c:v>20215</c:v>
                </c:pt>
                <c:pt idx="2482">
                  <c:v>17751</c:v>
                </c:pt>
                <c:pt idx="2483">
                  <c:v>17882</c:v>
                </c:pt>
                <c:pt idx="2484">
                  <c:v>23467</c:v>
                </c:pt>
                <c:pt idx="2485">
                  <c:v>21784</c:v>
                </c:pt>
                <c:pt idx="2486">
                  <c:v>21962</c:v>
                </c:pt>
                <c:pt idx="2487">
                  <c:v>24155</c:v>
                </c:pt>
                <c:pt idx="2488">
                  <c:v>19212</c:v>
                </c:pt>
                <c:pt idx="2489">
                  <c:v>19351</c:v>
                </c:pt>
                <c:pt idx="2490">
                  <c:v>22916</c:v>
                </c:pt>
                <c:pt idx="2491">
                  <c:v>28841</c:v>
                </c:pt>
                <c:pt idx="2492">
                  <c:v>17646</c:v>
                </c:pt>
                <c:pt idx="2493">
                  <c:v>21829</c:v>
                </c:pt>
                <c:pt idx="2494">
                  <c:v>19244</c:v>
                </c:pt>
                <c:pt idx="2495">
                  <c:v>18340</c:v>
                </c:pt>
                <c:pt idx="2496">
                  <c:v>20526</c:v>
                </c:pt>
                <c:pt idx="2497">
                  <c:v>21404</c:v>
                </c:pt>
                <c:pt idx="2498">
                  <c:v>21835</c:v>
                </c:pt>
                <c:pt idx="2499">
                  <c:v>19927</c:v>
                </c:pt>
                <c:pt idx="2500">
                  <c:v>23287</c:v>
                </c:pt>
                <c:pt idx="2501">
                  <c:v>24340</c:v>
                </c:pt>
                <c:pt idx="2502">
                  <c:v>25663</c:v>
                </c:pt>
                <c:pt idx="2503">
                  <c:v>18709</c:v>
                </c:pt>
                <c:pt idx="2504">
                  <c:v>21818</c:v>
                </c:pt>
                <c:pt idx="2505">
                  <c:v>22483</c:v>
                </c:pt>
                <c:pt idx="2506">
                  <c:v>26285</c:v>
                </c:pt>
                <c:pt idx="2507">
                  <c:v>22854</c:v>
                </c:pt>
                <c:pt idx="2508">
                  <c:v>21475</c:v>
                </c:pt>
                <c:pt idx="2509">
                  <c:v>24544</c:v>
                </c:pt>
                <c:pt idx="2510">
                  <c:v>28883</c:v>
                </c:pt>
                <c:pt idx="2511">
                  <c:v>23572</c:v>
                </c:pt>
                <c:pt idx="2512">
                  <c:v>20937</c:v>
                </c:pt>
                <c:pt idx="2513">
                  <c:v>20187</c:v>
                </c:pt>
                <c:pt idx="2514">
                  <c:v>18654</c:v>
                </c:pt>
                <c:pt idx="2515">
                  <c:v>20351</c:v>
                </c:pt>
                <c:pt idx="2516">
                  <c:v>20534</c:v>
                </c:pt>
                <c:pt idx="2517">
                  <c:v>26176</c:v>
                </c:pt>
                <c:pt idx="2518">
                  <c:v>16333</c:v>
                </c:pt>
                <c:pt idx="2519">
                  <c:v>19694</c:v>
                </c:pt>
                <c:pt idx="2520">
                  <c:v>17451</c:v>
                </c:pt>
                <c:pt idx="2521">
                  <c:v>44671</c:v>
                </c:pt>
                <c:pt idx="2522">
                  <c:v>28994</c:v>
                </c:pt>
                <c:pt idx="2523">
                  <c:v>17876</c:v>
                </c:pt>
                <c:pt idx="2524">
                  <c:v>29423</c:v>
                </c:pt>
                <c:pt idx="2525">
                  <c:v>21688</c:v>
                </c:pt>
                <c:pt idx="2526">
                  <c:v>28472</c:v>
                </c:pt>
                <c:pt idx="2527">
                  <c:v>29380</c:v>
                </c:pt>
                <c:pt idx="2528">
                  <c:v>28669</c:v>
                </c:pt>
                <c:pt idx="2529">
                  <c:v>22493</c:v>
                </c:pt>
                <c:pt idx="2530">
                  <c:v>27658</c:v>
                </c:pt>
                <c:pt idx="2531">
                  <c:v>17007</c:v>
                </c:pt>
                <c:pt idx="2532">
                  <c:v>26663</c:v>
                </c:pt>
                <c:pt idx="2533">
                  <c:v>24812</c:v>
                </c:pt>
                <c:pt idx="2534">
                  <c:v>32907</c:v>
                </c:pt>
                <c:pt idx="2535">
                  <c:v>17209</c:v>
                </c:pt>
                <c:pt idx="2536">
                  <c:v>23535</c:v>
                </c:pt>
                <c:pt idx="2537">
                  <c:v>24735</c:v>
                </c:pt>
                <c:pt idx="2538">
                  <c:v>29148</c:v>
                </c:pt>
                <c:pt idx="2539">
                  <c:v>44591</c:v>
                </c:pt>
                <c:pt idx="2540">
                  <c:v>24658</c:v>
                </c:pt>
                <c:pt idx="2541">
                  <c:v>22685</c:v>
                </c:pt>
                <c:pt idx="2542">
                  <c:v>30634</c:v>
                </c:pt>
                <c:pt idx="2543">
                  <c:v>22648</c:v>
                </c:pt>
                <c:pt idx="2544">
                  <c:v>27265</c:v>
                </c:pt>
                <c:pt idx="2545">
                  <c:v>22323</c:v>
                </c:pt>
                <c:pt idx="2546">
                  <c:v>13179</c:v>
                </c:pt>
                <c:pt idx="2547">
                  <c:v>21916</c:v>
                </c:pt>
                <c:pt idx="2548">
                  <c:v>24894</c:v>
                </c:pt>
                <c:pt idx="2549">
                  <c:v>26578</c:v>
                </c:pt>
                <c:pt idx="2550">
                  <c:v>20667</c:v>
                </c:pt>
                <c:pt idx="2551">
                  <c:v>24372</c:v>
                </c:pt>
                <c:pt idx="2552">
                  <c:v>22387</c:v>
                </c:pt>
                <c:pt idx="2553">
                  <c:v>15105</c:v>
                </c:pt>
                <c:pt idx="2554">
                  <c:v>19738</c:v>
                </c:pt>
                <c:pt idx="2555">
                  <c:v>28400</c:v>
                </c:pt>
                <c:pt idx="2556">
                  <c:v>20991</c:v>
                </c:pt>
                <c:pt idx="2557">
                  <c:v>21068</c:v>
                </c:pt>
                <c:pt idx="2558">
                  <c:v>30572</c:v>
                </c:pt>
                <c:pt idx="2559">
                  <c:v>19420</c:v>
                </c:pt>
                <c:pt idx="2560">
                  <c:v>19861</c:v>
                </c:pt>
                <c:pt idx="2561">
                  <c:v>26339</c:v>
                </c:pt>
                <c:pt idx="2562">
                  <c:v>18968</c:v>
                </c:pt>
                <c:pt idx="2563">
                  <c:v>29355</c:v>
                </c:pt>
                <c:pt idx="2564">
                  <c:v>20085</c:v>
                </c:pt>
                <c:pt idx="2565">
                  <c:v>38883</c:v>
                </c:pt>
                <c:pt idx="2566">
                  <c:v>20269</c:v>
                </c:pt>
                <c:pt idx="2567">
                  <c:v>25578</c:v>
                </c:pt>
                <c:pt idx="2568">
                  <c:v>32838</c:v>
                </c:pt>
                <c:pt idx="2569">
                  <c:v>19743</c:v>
                </c:pt>
                <c:pt idx="2570">
                  <c:v>15820</c:v>
                </c:pt>
                <c:pt idx="2571">
                  <c:v>26742</c:v>
                </c:pt>
                <c:pt idx="2572">
                  <c:v>19760</c:v>
                </c:pt>
                <c:pt idx="2573">
                  <c:v>18926</c:v>
                </c:pt>
                <c:pt idx="2574">
                  <c:v>23808</c:v>
                </c:pt>
                <c:pt idx="2575">
                  <c:v>26675</c:v>
                </c:pt>
                <c:pt idx="2576">
                  <c:v>18692</c:v>
                </c:pt>
                <c:pt idx="2577">
                  <c:v>17340</c:v>
                </c:pt>
                <c:pt idx="2578">
                  <c:v>19997</c:v>
                </c:pt>
                <c:pt idx="2579">
                  <c:v>27605</c:v>
                </c:pt>
                <c:pt idx="2580">
                  <c:v>19889</c:v>
                </c:pt>
                <c:pt idx="2581">
                  <c:v>18846</c:v>
                </c:pt>
                <c:pt idx="2582">
                  <c:v>20704</c:v>
                </c:pt>
                <c:pt idx="2583">
                  <c:v>34914</c:v>
                </c:pt>
                <c:pt idx="2584">
                  <c:v>28418</c:v>
                </c:pt>
                <c:pt idx="2585">
                  <c:v>20659</c:v>
                </c:pt>
                <c:pt idx="2586">
                  <c:v>21174</c:v>
                </c:pt>
                <c:pt idx="2587">
                  <c:v>20204</c:v>
                </c:pt>
                <c:pt idx="2588">
                  <c:v>20752</c:v>
                </c:pt>
                <c:pt idx="2589">
                  <c:v>22135</c:v>
                </c:pt>
                <c:pt idx="2590">
                  <c:v>26135</c:v>
                </c:pt>
                <c:pt idx="2591">
                  <c:v>27893</c:v>
                </c:pt>
                <c:pt idx="2592">
                  <c:v>26357</c:v>
                </c:pt>
                <c:pt idx="2593">
                  <c:v>18880</c:v>
                </c:pt>
                <c:pt idx="2594">
                  <c:v>21903</c:v>
                </c:pt>
                <c:pt idx="2595">
                  <c:v>16739</c:v>
                </c:pt>
                <c:pt idx="2596">
                  <c:v>20545</c:v>
                </c:pt>
                <c:pt idx="2597">
                  <c:v>28458</c:v>
                </c:pt>
                <c:pt idx="2598">
                  <c:v>26855</c:v>
                </c:pt>
                <c:pt idx="2599">
                  <c:v>22195</c:v>
                </c:pt>
                <c:pt idx="2600">
                  <c:v>22871</c:v>
                </c:pt>
                <c:pt idx="2601">
                  <c:v>35962</c:v>
                </c:pt>
                <c:pt idx="2602">
                  <c:v>26653</c:v>
                </c:pt>
                <c:pt idx="2603">
                  <c:v>24087</c:v>
                </c:pt>
                <c:pt idx="2604">
                  <c:v>17017</c:v>
                </c:pt>
                <c:pt idx="2605">
                  <c:v>22744</c:v>
                </c:pt>
                <c:pt idx="2606">
                  <c:v>31585</c:v>
                </c:pt>
                <c:pt idx="2607">
                  <c:v>18125</c:v>
                </c:pt>
                <c:pt idx="2608">
                  <c:v>30859</c:v>
                </c:pt>
                <c:pt idx="2609">
                  <c:v>35054</c:v>
                </c:pt>
                <c:pt idx="2610">
                  <c:v>29513</c:v>
                </c:pt>
                <c:pt idx="2611">
                  <c:v>21185</c:v>
                </c:pt>
                <c:pt idx="2612">
                  <c:v>21555</c:v>
                </c:pt>
                <c:pt idx="2613">
                  <c:v>25033</c:v>
                </c:pt>
                <c:pt idx="2614">
                  <c:v>24364</c:v>
                </c:pt>
                <c:pt idx="2615">
                  <c:v>20891</c:v>
                </c:pt>
                <c:pt idx="2616">
                  <c:v>26928</c:v>
                </c:pt>
                <c:pt idx="2617">
                  <c:v>17910</c:v>
                </c:pt>
                <c:pt idx="2618">
                  <c:v>17378</c:v>
                </c:pt>
                <c:pt idx="2619">
                  <c:v>24518</c:v>
                </c:pt>
                <c:pt idx="2620">
                  <c:v>22867</c:v>
                </c:pt>
                <c:pt idx="2621">
                  <c:v>20374</c:v>
                </c:pt>
                <c:pt idx="2622">
                  <c:v>26844</c:v>
                </c:pt>
                <c:pt idx="2623">
                  <c:v>29047</c:v>
                </c:pt>
                <c:pt idx="2624">
                  <c:v>24114</c:v>
                </c:pt>
                <c:pt idx="2625">
                  <c:v>21740</c:v>
                </c:pt>
                <c:pt idx="2626">
                  <c:v>22140</c:v>
                </c:pt>
                <c:pt idx="2627">
                  <c:v>27398</c:v>
                </c:pt>
                <c:pt idx="2628">
                  <c:v>30082</c:v>
                </c:pt>
                <c:pt idx="2629">
                  <c:v>22613</c:v>
                </c:pt>
                <c:pt idx="2630">
                  <c:v>14689</c:v>
                </c:pt>
                <c:pt idx="2631">
                  <c:v>21281</c:v>
                </c:pt>
                <c:pt idx="2632">
                  <c:v>22609</c:v>
                </c:pt>
                <c:pt idx="2633">
                  <c:v>30478</c:v>
                </c:pt>
                <c:pt idx="2634">
                  <c:v>22453</c:v>
                </c:pt>
                <c:pt idx="2635">
                  <c:v>17570</c:v>
                </c:pt>
                <c:pt idx="2636">
                  <c:v>22049</c:v>
                </c:pt>
                <c:pt idx="2637">
                  <c:v>15990</c:v>
                </c:pt>
                <c:pt idx="2638">
                  <c:v>21888</c:v>
                </c:pt>
                <c:pt idx="2639">
                  <c:v>24875</c:v>
                </c:pt>
                <c:pt idx="2640">
                  <c:v>30963</c:v>
                </c:pt>
                <c:pt idx="2641">
                  <c:v>23573</c:v>
                </c:pt>
                <c:pt idx="2642">
                  <c:v>25687</c:v>
                </c:pt>
                <c:pt idx="2643">
                  <c:v>20121</c:v>
                </c:pt>
                <c:pt idx="2644">
                  <c:v>26693</c:v>
                </c:pt>
                <c:pt idx="2645">
                  <c:v>24154</c:v>
                </c:pt>
                <c:pt idx="2646">
                  <c:v>17122</c:v>
                </c:pt>
                <c:pt idx="2647">
                  <c:v>21798</c:v>
                </c:pt>
                <c:pt idx="2648">
                  <c:v>25310</c:v>
                </c:pt>
                <c:pt idx="2649">
                  <c:v>15006</c:v>
                </c:pt>
                <c:pt idx="2650">
                  <c:v>25868</c:v>
                </c:pt>
                <c:pt idx="2651">
                  <c:v>24944</c:v>
                </c:pt>
                <c:pt idx="2652">
                  <c:v>36126</c:v>
                </c:pt>
                <c:pt idx="2653">
                  <c:v>14251</c:v>
                </c:pt>
                <c:pt idx="2654">
                  <c:v>27962</c:v>
                </c:pt>
                <c:pt idx="2655">
                  <c:v>26265</c:v>
                </c:pt>
                <c:pt idx="2656">
                  <c:v>26749</c:v>
                </c:pt>
                <c:pt idx="2657">
                  <c:v>30269</c:v>
                </c:pt>
                <c:pt idx="2658">
                  <c:v>17299</c:v>
                </c:pt>
                <c:pt idx="2659">
                  <c:v>18722</c:v>
                </c:pt>
                <c:pt idx="2660">
                  <c:v>20124</c:v>
                </c:pt>
                <c:pt idx="2661">
                  <c:v>22344</c:v>
                </c:pt>
                <c:pt idx="2662">
                  <c:v>20863</c:v>
                </c:pt>
                <c:pt idx="2663">
                  <c:v>23772</c:v>
                </c:pt>
                <c:pt idx="2664">
                  <c:v>22127</c:v>
                </c:pt>
                <c:pt idx="2665">
                  <c:v>27288</c:v>
                </c:pt>
                <c:pt idx="2666">
                  <c:v>25006</c:v>
                </c:pt>
                <c:pt idx="2667">
                  <c:v>27535</c:v>
                </c:pt>
                <c:pt idx="2668">
                  <c:v>21194</c:v>
                </c:pt>
                <c:pt idx="2669">
                  <c:v>20430</c:v>
                </c:pt>
                <c:pt idx="2670">
                  <c:v>30237</c:v>
                </c:pt>
                <c:pt idx="2671">
                  <c:v>21231</c:v>
                </c:pt>
                <c:pt idx="2672">
                  <c:v>36279</c:v>
                </c:pt>
                <c:pt idx="2673">
                  <c:v>25877</c:v>
                </c:pt>
                <c:pt idx="2674">
                  <c:v>24510</c:v>
                </c:pt>
                <c:pt idx="2675">
                  <c:v>23341</c:v>
                </c:pt>
                <c:pt idx="2676">
                  <c:v>22194</c:v>
                </c:pt>
                <c:pt idx="2677">
                  <c:v>22221</c:v>
                </c:pt>
                <c:pt idx="2678">
                  <c:v>27608</c:v>
                </c:pt>
                <c:pt idx="2679">
                  <c:v>15894</c:v>
                </c:pt>
                <c:pt idx="2680">
                  <c:v>22755</c:v>
                </c:pt>
                <c:pt idx="2681">
                  <c:v>26130</c:v>
                </c:pt>
                <c:pt idx="2682">
                  <c:v>25585</c:v>
                </c:pt>
                <c:pt idx="2683">
                  <c:v>21693</c:v>
                </c:pt>
                <c:pt idx="2684">
                  <c:v>15249</c:v>
                </c:pt>
                <c:pt idx="2685">
                  <c:v>23830</c:v>
                </c:pt>
                <c:pt idx="2686">
                  <c:v>22016</c:v>
                </c:pt>
                <c:pt idx="2687">
                  <c:v>35537</c:v>
                </c:pt>
                <c:pt idx="2688">
                  <c:v>22130</c:v>
                </c:pt>
                <c:pt idx="2689">
                  <c:v>22804</c:v>
                </c:pt>
                <c:pt idx="2690">
                  <c:v>18764</c:v>
                </c:pt>
                <c:pt idx="2691">
                  <c:v>25846</c:v>
                </c:pt>
                <c:pt idx="2692">
                  <c:v>34215</c:v>
                </c:pt>
                <c:pt idx="2693">
                  <c:v>19495</c:v>
                </c:pt>
                <c:pt idx="2694">
                  <c:v>20900</c:v>
                </c:pt>
                <c:pt idx="2695">
                  <c:v>20322</c:v>
                </c:pt>
                <c:pt idx="2696">
                  <c:v>21113</c:v>
                </c:pt>
                <c:pt idx="2697">
                  <c:v>20697</c:v>
                </c:pt>
                <c:pt idx="2698">
                  <c:v>20428</c:v>
                </c:pt>
                <c:pt idx="2699">
                  <c:v>20444</c:v>
                </c:pt>
                <c:pt idx="2700">
                  <c:v>25176</c:v>
                </c:pt>
                <c:pt idx="2701">
                  <c:v>25995</c:v>
                </c:pt>
                <c:pt idx="2702">
                  <c:v>23452</c:v>
                </c:pt>
                <c:pt idx="2703">
                  <c:v>25489</c:v>
                </c:pt>
                <c:pt idx="2704">
                  <c:v>23013</c:v>
                </c:pt>
                <c:pt idx="2705">
                  <c:v>25693</c:v>
                </c:pt>
                <c:pt idx="2706">
                  <c:v>31923</c:v>
                </c:pt>
                <c:pt idx="2707">
                  <c:v>20381</c:v>
                </c:pt>
                <c:pt idx="2708">
                  <c:v>19772</c:v>
                </c:pt>
                <c:pt idx="2709">
                  <c:v>21010</c:v>
                </c:pt>
                <c:pt idx="2710">
                  <c:v>20283</c:v>
                </c:pt>
                <c:pt idx="2711">
                  <c:v>16507</c:v>
                </c:pt>
                <c:pt idx="2712">
                  <c:v>23443</c:v>
                </c:pt>
                <c:pt idx="2713">
                  <c:v>30480</c:v>
                </c:pt>
                <c:pt idx="2714">
                  <c:v>25238</c:v>
                </c:pt>
                <c:pt idx="2715">
                  <c:v>19549</c:v>
                </c:pt>
                <c:pt idx="2716">
                  <c:v>19482</c:v>
                </c:pt>
                <c:pt idx="2717">
                  <c:v>17893</c:v>
                </c:pt>
                <c:pt idx="2718">
                  <c:v>24902</c:v>
                </c:pt>
                <c:pt idx="2719">
                  <c:v>31314</c:v>
                </c:pt>
                <c:pt idx="2720">
                  <c:v>21781</c:v>
                </c:pt>
                <c:pt idx="2721">
                  <c:v>36163</c:v>
                </c:pt>
                <c:pt idx="2722">
                  <c:v>21803</c:v>
                </c:pt>
                <c:pt idx="2723">
                  <c:v>22272</c:v>
                </c:pt>
                <c:pt idx="2724">
                  <c:v>19511</c:v>
                </c:pt>
                <c:pt idx="2725">
                  <c:v>19213</c:v>
                </c:pt>
                <c:pt idx="2726">
                  <c:v>22363</c:v>
                </c:pt>
                <c:pt idx="2727">
                  <c:v>24211</c:v>
                </c:pt>
                <c:pt idx="2728">
                  <c:v>19743</c:v>
                </c:pt>
                <c:pt idx="2729">
                  <c:v>25199</c:v>
                </c:pt>
                <c:pt idx="2730">
                  <c:v>24584</c:v>
                </c:pt>
                <c:pt idx="2731">
                  <c:v>23826</c:v>
                </c:pt>
                <c:pt idx="2732">
                  <c:v>20753</c:v>
                </c:pt>
                <c:pt idx="2733">
                  <c:v>22436</c:v>
                </c:pt>
                <c:pt idx="2734">
                  <c:v>24964</c:v>
                </c:pt>
                <c:pt idx="2735">
                  <c:v>26946</c:v>
                </c:pt>
                <c:pt idx="2736">
                  <c:v>12483</c:v>
                </c:pt>
                <c:pt idx="2737">
                  <c:v>22241</c:v>
                </c:pt>
                <c:pt idx="2738">
                  <c:v>21386</c:v>
                </c:pt>
                <c:pt idx="2739">
                  <c:v>22416</c:v>
                </c:pt>
                <c:pt idx="2740">
                  <c:v>25650</c:v>
                </c:pt>
                <c:pt idx="2741">
                  <c:v>18437</c:v>
                </c:pt>
                <c:pt idx="2742">
                  <c:v>29058</c:v>
                </c:pt>
                <c:pt idx="2743">
                  <c:v>23896</c:v>
                </c:pt>
                <c:pt idx="2744">
                  <c:v>27062</c:v>
                </c:pt>
                <c:pt idx="2745">
                  <c:v>21705</c:v>
                </c:pt>
                <c:pt idx="2746">
                  <c:v>28305</c:v>
                </c:pt>
                <c:pt idx="2747">
                  <c:v>19472</c:v>
                </c:pt>
                <c:pt idx="2748">
                  <c:v>25274</c:v>
                </c:pt>
                <c:pt idx="2749">
                  <c:v>35168</c:v>
                </c:pt>
                <c:pt idx="2750">
                  <c:v>19766</c:v>
                </c:pt>
                <c:pt idx="2751">
                  <c:v>20242</c:v>
                </c:pt>
                <c:pt idx="2752">
                  <c:v>22692</c:v>
                </c:pt>
                <c:pt idx="2753">
                  <c:v>22751</c:v>
                </c:pt>
                <c:pt idx="2754">
                  <c:v>18135</c:v>
                </c:pt>
                <c:pt idx="2755">
                  <c:v>18632</c:v>
                </c:pt>
                <c:pt idx="2756">
                  <c:v>23257</c:v>
                </c:pt>
                <c:pt idx="2757">
                  <c:v>25987</c:v>
                </c:pt>
                <c:pt idx="2758">
                  <c:v>16135</c:v>
                </c:pt>
                <c:pt idx="2759">
                  <c:v>22849</c:v>
                </c:pt>
                <c:pt idx="2760">
                  <c:v>24234</c:v>
                </c:pt>
                <c:pt idx="2761">
                  <c:v>25057</c:v>
                </c:pt>
                <c:pt idx="2762">
                  <c:v>15096</c:v>
                </c:pt>
                <c:pt idx="2763">
                  <c:v>21581</c:v>
                </c:pt>
                <c:pt idx="2764">
                  <c:v>26184</c:v>
                </c:pt>
                <c:pt idx="2765">
                  <c:v>22861</c:v>
                </c:pt>
                <c:pt idx="2766">
                  <c:v>20752</c:v>
                </c:pt>
                <c:pt idx="2767">
                  <c:v>11413</c:v>
                </c:pt>
                <c:pt idx="2768">
                  <c:v>31876</c:v>
                </c:pt>
                <c:pt idx="2769">
                  <c:v>28887</c:v>
                </c:pt>
                <c:pt idx="2770">
                  <c:v>22656</c:v>
                </c:pt>
                <c:pt idx="2771">
                  <c:v>27208</c:v>
                </c:pt>
                <c:pt idx="2772">
                  <c:v>24561</c:v>
                </c:pt>
                <c:pt idx="2773">
                  <c:v>23125</c:v>
                </c:pt>
                <c:pt idx="2774">
                  <c:v>25524</c:v>
                </c:pt>
                <c:pt idx="2775">
                  <c:v>16619</c:v>
                </c:pt>
                <c:pt idx="2776">
                  <c:v>13813</c:v>
                </c:pt>
                <c:pt idx="2777">
                  <c:v>21405</c:v>
                </c:pt>
                <c:pt idx="2778">
                  <c:v>21748</c:v>
                </c:pt>
                <c:pt idx="2779">
                  <c:v>20223</c:v>
                </c:pt>
                <c:pt idx="2780">
                  <c:v>21287</c:v>
                </c:pt>
                <c:pt idx="2781">
                  <c:v>22149</c:v>
                </c:pt>
                <c:pt idx="2782">
                  <c:v>26411</c:v>
                </c:pt>
                <c:pt idx="2783">
                  <c:v>23576</c:v>
                </c:pt>
                <c:pt idx="2784">
                  <c:v>19717</c:v>
                </c:pt>
                <c:pt idx="2785">
                  <c:v>19971</c:v>
                </c:pt>
                <c:pt idx="2786">
                  <c:v>22635</c:v>
                </c:pt>
                <c:pt idx="2787">
                  <c:v>18995</c:v>
                </c:pt>
                <c:pt idx="2788">
                  <c:v>18447</c:v>
                </c:pt>
                <c:pt idx="2789">
                  <c:v>24729</c:v>
                </c:pt>
                <c:pt idx="2790">
                  <c:v>20602</c:v>
                </c:pt>
                <c:pt idx="2791">
                  <c:v>27312</c:v>
                </c:pt>
                <c:pt idx="2792">
                  <c:v>17493</c:v>
                </c:pt>
                <c:pt idx="2793">
                  <c:v>19168</c:v>
                </c:pt>
                <c:pt idx="2794">
                  <c:v>27314</c:v>
                </c:pt>
                <c:pt idx="2795">
                  <c:v>15654</c:v>
                </c:pt>
                <c:pt idx="2796">
                  <c:v>16965</c:v>
                </c:pt>
                <c:pt idx="2797">
                  <c:v>19261</c:v>
                </c:pt>
                <c:pt idx="2798">
                  <c:v>47733</c:v>
                </c:pt>
                <c:pt idx="2799">
                  <c:v>22643</c:v>
                </c:pt>
                <c:pt idx="2800">
                  <c:v>24720</c:v>
                </c:pt>
                <c:pt idx="2801">
                  <c:v>21335</c:v>
                </c:pt>
                <c:pt idx="2802">
                  <c:v>26397</c:v>
                </c:pt>
                <c:pt idx="2803">
                  <c:v>22459</c:v>
                </c:pt>
                <c:pt idx="2804">
                  <c:v>20121</c:v>
                </c:pt>
                <c:pt idx="2805">
                  <c:v>23545</c:v>
                </c:pt>
                <c:pt idx="2806">
                  <c:v>29561</c:v>
                </c:pt>
                <c:pt idx="2807">
                  <c:v>29296</c:v>
                </c:pt>
                <c:pt idx="2808">
                  <c:v>23919</c:v>
                </c:pt>
                <c:pt idx="2809">
                  <c:v>33977</c:v>
                </c:pt>
                <c:pt idx="2810">
                  <c:v>21338</c:v>
                </c:pt>
                <c:pt idx="2811">
                  <c:v>28394</c:v>
                </c:pt>
                <c:pt idx="2812">
                  <c:v>35214</c:v>
                </c:pt>
                <c:pt idx="2813">
                  <c:v>27390</c:v>
                </c:pt>
                <c:pt idx="2814">
                  <c:v>27755</c:v>
                </c:pt>
                <c:pt idx="2815">
                  <c:v>23213</c:v>
                </c:pt>
                <c:pt idx="2816">
                  <c:v>27219</c:v>
                </c:pt>
                <c:pt idx="2817">
                  <c:v>30598</c:v>
                </c:pt>
                <c:pt idx="2818">
                  <c:v>28473</c:v>
                </c:pt>
                <c:pt idx="2819">
                  <c:v>32474</c:v>
                </c:pt>
                <c:pt idx="2820">
                  <c:v>23231</c:v>
                </c:pt>
                <c:pt idx="2821">
                  <c:v>37474</c:v>
                </c:pt>
                <c:pt idx="2822">
                  <c:v>24118</c:v>
                </c:pt>
                <c:pt idx="2823">
                  <c:v>24868</c:v>
                </c:pt>
                <c:pt idx="2824">
                  <c:v>23469</c:v>
                </c:pt>
                <c:pt idx="2825">
                  <c:v>23941</c:v>
                </c:pt>
                <c:pt idx="2826">
                  <c:v>63579</c:v>
                </c:pt>
                <c:pt idx="2827">
                  <c:v>27000</c:v>
                </c:pt>
                <c:pt idx="2828">
                  <c:v>32166</c:v>
                </c:pt>
                <c:pt idx="2829">
                  <c:v>28524</c:v>
                </c:pt>
                <c:pt idx="2830">
                  <c:v>20169</c:v>
                </c:pt>
                <c:pt idx="2831">
                  <c:v>31160</c:v>
                </c:pt>
                <c:pt idx="2832">
                  <c:v>18245</c:v>
                </c:pt>
                <c:pt idx="2833">
                  <c:v>17883</c:v>
                </c:pt>
                <c:pt idx="2834">
                  <c:v>18204</c:v>
                </c:pt>
                <c:pt idx="2835">
                  <c:v>24192</c:v>
                </c:pt>
                <c:pt idx="2836">
                  <c:v>26761</c:v>
                </c:pt>
                <c:pt idx="2837">
                  <c:v>21145</c:v>
                </c:pt>
                <c:pt idx="2838">
                  <c:v>29018</c:v>
                </c:pt>
                <c:pt idx="2839">
                  <c:v>18719</c:v>
                </c:pt>
                <c:pt idx="2840">
                  <c:v>33220</c:v>
                </c:pt>
                <c:pt idx="2841">
                  <c:v>37558</c:v>
                </c:pt>
                <c:pt idx="2842">
                  <c:v>22456</c:v>
                </c:pt>
                <c:pt idx="2843">
                  <c:v>28104</c:v>
                </c:pt>
                <c:pt idx="2844">
                  <c:v>22860</c:v>
                </c:pt>
                <c:pt idx="2845">
                  <c:v>20275</c:v>
                </c:pt>
                <c:pt idx="2846">
                  <c:v>23395</c:v>
                </c:pt>
                <c:pt idx="2847">
                  <c:v>23448</c:v>
                </c:pt>
                <c:pt idx="2848">
                  <c:v>51025</c:v>
                </c:pt>
                <c:pt idx="2849">
                  <c:v>41255</c:v>
                </c:pt>
                <c:pt idx="2850">
                  <c:v>23885</c:v>
                </c:pt>
                <c:pt idx="2851">
                  <c:v>28669</c:v>
                </c:pt>
                <c:pt idx="2852">
                  <c:v>25219</c:v>
                </c:pt>
                <c:pt idx="2853">
                  <c:v>30769</c:v>
                </c:pt>
                <c:pt idx="2854">
                  <c:v>25241</c:v>
                </c:pt>
                <c:pt idx="2855">
                  <c:v>29867</c:v>
                </c:pt>
                <c:pt idx="2856">
                  <c:v>46366</c:v>
                </c:pt>
                <c:pt idx="2857">
                  <c:v>19742</c:v>
                </c:pt>
                <c:pt idx="2858">
                  <c:v>28209</c:v>
                </c:pt>
                <c:pt idx="2859">
                  <c:v>14450</c:v>
                </c:pt>
                <c:pt idx="2860">
                  <c:v>19782</c:v>
                </c:pt>
                <c:pt idx="2861">
                  <c:v>34701</c:v>
                </c:pt>
                <c:pt idx="2862">
                  <c:v>33634</c:v>
                </c:pt>
                <c:pt idx="2863">
                  <c:v>20159</c:v>
                </c:pt>
                <c:pt idx="2864">
                  <c:v>26809</c:v>
                </c:pt>
                <c:pt idx="2865">
                  <c:v>31460</c:v>
                </c:pt>
                <c:pt idx="2866">
                  <c:v>39802</c:v>
                </c:pt>
                <c:pt idx="2867">
                  <c:v>25498</c:v>
                </c:pt>
                <c:pt idx="2868">
                  <c:v>34529</c:v>
                </c:pt>
                <c:pt idx="2869">
                  <c:v>28300</c:v>
                </c:pt>
                <c:pt idx="2870">
                  <c:v>31062</c:v>
                </c:pt>
                <c:pt idx="2871">
                  <c:v>17899</c:v>
                </c:pt>
                <c:pt idx="2872">
                  <c:v>47495</c:v>
                </c:pt>
                <c:pt idx="2873">
                  <c:v>28323</c:v>
                </c:pt>
                <c:pt idx="2874">
                  <c:v>18428</c:v>
                </c:pt>
                <c:pt idx="2875">
                  <c:v>25349</c:v>
                </c:pt>
                <c:pt idx="2876">
                  <c:v>32397</c:v>
                </c:pt>
                <c:pt idx="2877">
                  <c:v>20618</c:v>
                </c:pt>
                <c:pt idx="2878">
                  <c:v>30297</c:v>
                </c:pt>
                <c:pt idx="2879">
                  <c:v>25368</c:v>
                </c:pt>
                <c:pt idx="2880">
                  <c:v>27528</c:v>
                </c:pt>
                <c:pt idx="2881">
                  <c:v>33689</c:v>
                </c:pt>
                <c:pt idx="2882">
                  <c:v>22490</c:v>
                </c:pt>
                <c:pt idx="2883">
                  <c:v>31280</c:v>
                </c:pt>
                <c:pt idx="2884">
                  <c:v>18917</c:v>
                </c:pt>
                <c:pt idx="2885">
                  <c:v>29748</c:v>
                </c:pt>
                <c:pt idx="2886">
                  <c:v>22241</c:v>
                </c:pt>
                <c:pt idx="2887">
                  <c:v>19311</c:v>
                </c:pt>
                <c:pt idx="2888">
                  <c:v>21667</c:v>
                </c:pt>
                <c:pt idx="2889">
                  <c:v>32110</c:v>
                </c:pt>
                <c:pt idx="2890">
                  <c:v>17901</c:v>
                </c:pt>
                <c:pt idx="2891">
                  <c:v>24785</c:v>
                </c:pt>
                <c:pt idx="2892">
                  <c:v>37215</c:v>
                </c:pt>
                <c:pt idx="2893">
                  <c:v>25556</c:v>
                </c:pt>
                <c:pt idx="2894">
                  <c:v>36567</c:v>
                </c:pt>
                <c:pt idx="2895">
                  <c:v>19407</c:v>
                </c:pt>
                <c:pt idx="2896">
                  <c:v>31370</c:v>
                </c:pt>
                <c:pt idx="2897">
                  <c:v>26767</c:v>
                </c:pt>
                <c:pt idx="2898">
                  <c:v>26472</c:v>
                </c:pt>
                <c:pt idx="2899">
                  <c:v>20053</c:v>
                </c:pt>
                <c:pt idx="2900">
                  <c:v>21295</c:v>
                </c:pt>
                <c:pt idx="2901">
                  <c:v>25253</c:v>
                </c:pt>
                <c:pt idx="2902">
                  <c:v>21927</c:v>
                </c:pt>
                <c:pt idx="2903">
                  <c:v>23259</c:v>
                </c:pt>
                <c:pt idx="2904">
                  <c:v>32105</c:v>
                </c:pt>
                <c:pt idx="2905">
                  <c:v>37198</c:v>
                </c:pt>
                <c:pt idx="2906">
                  <c:v>24660</c:v>
                </c:pt>
                <c:pt idx="2907">
                  <c:v>15143</c:v>
                </c:pt>
                <c:pt idx="2908">
                  <c:v>22721</c:v>
                </c:pt>
                <c:pt idx="2909">
                  <c:v>29522</c:v>
                </c:pt>
                <c:pt idx="2910">
                  <c:v>25351</c:v>
                </c:pt>
                <c:pt idx="2911">
                  <c:v>25992</c:v>
                </c:pt>
                <c:pt idx="2912">
                  <c:v>20321</c:v>
                </c:pt>
                <c:pt idx="2913">
                  <c:v>23770</c:v>
                </c:pt>
                <c:pt idx="2914">
                  <c:v>35876</c:v>
                </c:pt>
                <c:pt idx="2915">
                  <c:v>54861</c:v>
                </c:pt>
                <c:pt idx="2916">
                  <c:v>20777</c:v>
                </c:pt>
                <c:pt idx="2917">
                  <c:v>15707</c:v>
                </c:pt>
                <c:pt idx="2918">
                  <c:v>30378</c:v>
                </c:pt>
                <c:pt idx="2919">
                  <c:v>29703</c:v>
                </c:pt>
                <c:pt idx="2920">
                  <c:v>27572</c:v>
                </c:pt>
                <c:pt idx="2921">
                  <c:v>20055</c:v>
                </c:pt>
                <c:pt idx="2922">
                  <c:v>20933</c:v>
                </c:pt>
                <c:pt idx="2923">
                  <c:v>20417</c:v>
                </c:pt>
                <c:pt idx="2924">
                  <c:v>45545</c:v>
                </c:pt>
                <c:pt idx="2925">
                  <c:v>65600</c:v>
                </c:pt>
                <c:pt idx="2926">
                  <c:v>21621</c:v>
                </c:pt>
                <c:pt idx="2927">
                  <c:v>29090</c:v>
                </c:pt>
                <c:pt idx="2928">
                  <c:v>21515</c:v>
                </c:pt>
                <c:pt idx="2929">
                  <c:v>25029</c:v>
                </c:pt>
                <c:pt idx="2930">
                  <c:v>18324</c:v>
                </c:pt>
                <c:pt idx="2931">
                  <c:v>20700</c:v>
                </c:pt>
                <c:pt idx="2932">
                  <c:v>14792</c:v>
                </c:pt>
                <c:pt idx="2933">
                  <c:v>21650</c:v>
                </c:pt>
                <c:pt idx="2934">
                  <c:v>29424</c:v>
                </c:pt>
                <c:pt idx="2935">
                  <c:v>28164</c:v>
                </c:pt>
                <c:pt idx="2936">
                  <c:v>21899</c:v>
                </c:pt>
                <c:pt idx="2937">
                  <c:v>25369</c:v>
                </c:pt>
                <c:pt idx="2938">
                  <c:v>24657</c:v>
                </c:pt>
                <c:pt idx="2939">
                  <c:v>19647</c:v>
                </c:pt>
                <c:pt idx="2940">
                  <c:v>19149</c:v>
                </c:pt>
                <c:pt idx="2941">
                  <c:v>38428</c:v>
                </c:pt>
                <c:pt idx="2942">
                  <c:v>23075</c:v>
                </c:pt>
                <c:pt idx="2943">
                  <c:v>15556</c:v>
                </c:pt>
                <c:pt idx="2944">
                  <c:v>28023</c:v>
                </c:pt>
                <c:pt idx="2945">
                  <c:v>23685</c:v>
                </c:pt>
                <c:pt idx="2946">
                  <c:v>27560</c:v>
                </c:pt>
                <c:pt idx="2947">
                  <c:v>25182</c:v>
                </c:pt>
                <c:pt idx="2948">
                  <c:v>29620</c:v>
                </c:pt>
                <c:pt idx="2949">
                  <c:v>32269</c:v>
                </c:pt>
                <c:pt idx="2950">
                  <c:v>22156</c:v>
                </c:pt>
                <c:pt idx="2951">
                  <c:v>24127</c:v>
                </c:pt>
                <c:pt idx="2952">
                  <c:v>26182</c:v>
                </c:pt>
                <c:pt idx="2953">
                  <c:v>17564</c:v>
                </c:pt>
                <c:pt idx="2954">
                  <c:v>25132</c:v>
                </c:pt>
                <c:pt idx="2955">
                  <c:v>28758</c:v>
                </c:pt>
                <c:pt idx="2956">
                  <c:v>25564</c:v>
                </c:pt>
                <c:pt idx="2957">
                  <c:v>27000</c:v>
                </c:pt>
                <c:pt idx="2958">
                  <c:v>28801</c:v>
                </c:pt>
                <c:pt idx="2959">
                  <c:v>24400</c:v>
                </c:pt>
                <c:pt idx="2960">
                  <c:v>24260</c:v>
                </c:pt>
                <c:pt idx="2961">
                  <c:v>23598</c:v>
                </c:pt>
                <c:pt idx="2962">
                  <c:v>20602</c:v>
                </c:pt>
                <c:pt idx="2963">
                  <c:v>20412</c:v>
                </c:pt>
                <c:pt idx="2964">
                  <c:v>22884</c:v>
                </c:pt>
                <c:pt idx="2965">
                  <c:v>20251</c:v>
                </c:pt>
                <c:pt idx="2966">
                  <c:v>22387</c:v>
                </c:pt>
                <c:pt idx="2967">
                  <c:v>31836</c:v>
                </c:pt>
                <c:pt idx="2968">
                  <c:v>28593</c:v>
                </c:pt>
                <c:pt idx="2969">
                  <c:v>41664</c:v>
                </c:pt>
                <c:pt idx="2970">
                  <c:v>32063</c:v>
                </c:pt>
                <c:pt idx="2971">
                  <c:v>24014</c:v>
                </c:pt>
                <c:pt idx="2972">
                  <c:v>22456</c:v>
                </c:pt>
                <c:pt idx="2973">
                  <c:v>22480</c:v>
                </c:pt>
                <c:pt idx="2974">
                  <c:v>24951</c:v>
                </c:pt>
                <c:pt idx="2975">
                  <c:v>25015</c:v>
                </c:pt>
                <c:pt idx="2976">
                  <c:v>22460</c:v>
                </c:pt>
                <c:pt idx="2977">
                  <c:v>21923</c:v>
                </c:pt>
                <c:pt idx="2978">
                  <c:v>22008</c:v>
                </c:pt>
                <c:pt idx="2979">
                  <c:v>28824</c:v>
                </c:pt>
                <c:pt idx="2980">
                  <c:v>39266</c:v>
                </c:pt>
                <c:pt idx="2981">
                  <c:v>27794</c:v>
                </c:pt>
                <c:pt idx="2982">
                  <c:v>29878</c:v>
                </c:pt>
                <c:pt idx="2983">
                  <c:v>32542</c:v>
                </c:pt>
                <c:pt idx="2984">
                  <c:v>26093</c:v>
                </c:pt>
                <c:pt idx="2985">
                  <c:v>22221</c:v>
                </c:pt>
                <c:pt idx="2986">
                  <c:v>29741</c:v>
                </c:pt>
                <c:pt idx="2987">
                  <c:v>24483</c:v>
                </c:pt>
                <c:pt idx="2988">
                  <c:v>23520</c:v>
                </c:pt>
                <c:pt idx="2989">
                  <c:v>27223</c:v>
                </c:pt>
                <c:pt idx="2990">
                  <c:v>21188</c:v>
                </c:pt>
                <c:pt idx="2991">
                  <c:v>19793</c:v>
                </c:pt>
                <c:pt idx="2992">
                  <c:v>18039</c:v>
                </c:pt>
                <c:pt idx="2993">
                  <c:v>26469</c:v>
                </c:pt>
                <c:pt idx="2994">
                  <c:v>21387</c:v>
                </c:pt>
                <c:pt idx="2995">
                  <c:v>19409</c:v>
                </c:pt>
                <c:pt idx="2996">
                  <c:v>23819</c:v>
                </c:pt>
                <c:pt idx="2997">
                  <c:v>23908</c:v>
                </c:pt>
                <c:pt idx="2998">
                  <c:v>19635</c:v>
                </c:pt>
                <c:pt idx="2999">
                  <c:v>16827</c:v>
                </c:pt>
                <c:pt idx="3000">
                  <c:v>19992</c:v>
                </c:pt>
                <c:pt idx="3001">
                  <c:v>19232</c:v>
                </c:pt>
                <c:pt idx="3002">
                  <c:v>17115</c:v>
                </c:pt>
                <c:pt idx="3003">
                  <c:v>20052</c:v>
                </c:pt>
                <c:pt idx="3004">
                  <c:v>22340</c:v>
                </c:pt>
                <c:pt idx="3005">
                  <c:v>18477</c:v>
                </c:pt>
                <c:pt idx="3006">
                  <c:v>23845</c:v>
                </c:pt>
                <c:pt idx="3007">
                  <c:v>22195</c:v>
                </c:pt>
                <c:pt idx="3008">
                  <c:v>24415</c:v>
                </c:pt>
                <c:pt idx="3009">
                  <c:v>23090</c:v>
                </c:pt>
                <c:pt idx="3010">
                  <c:v>30912</c:v>
                </c:pt>
                <c:pt idx="3011">
                  <c:v>27642</c:v>
                </c:pt>
                <c:pt idx="3012">
                  <c:v>21067</c:v>
                </c:pt>
                <c:pt idx="3013">
                  <c:v>19114</c:v>
                </c:pt>
                <c:pt idx="3014">
                  <c:v>20477</c:v>
                </c:pt>
                <c:pt idx="3015">
                  <c:v>14874</c:v>
                </c:pt>
                <c:pt idx="3016">
                  <c:v>23807</c:v>
                </c:pt>
                <c:pt idx="3017">
                  <c:v>23543</c:v>
                </c:pt>
                <c:pt idx="3018">
                  <c:v>19694</c:v>
                </c:pt>
                <c:pt idx="3019">
                  <c:v>20942</c:v>
                </c:pt>
                <c:pt idx="3020">
                  <c:v>19111</c:v>
                </c:pt>
                <c:pt idx="3021">
                  <c:v>20417</c:v>
                </c:pt>
                <c:pt idx="3022">
                  <c:v>26314</c:v>
                </c:pt>
                <c:pt idx="3023">
                  <c:v>20678</c:v>
                </c:pt>
                <c:pt idx="3024">
                  <c:v>23456</c:v>
                </c:pt>
                <c:pt idx="3025">
                  <c:v>23404</c:v>
                </c:pt>
                <c:pt idx="3026">
                  <c:v>27053</c:v>
                </c:pt>
                <c:pt idx="3027">
                  <c:v>21979</c:v>
                </c:pt>
                <c:pt idx="3028">
                  <c:v>23291</c:v>
                </c:pt>
                <c:pt idx="3029">
                  <c:v>21847</c:v>
                </c:pt>
                <c:pt idx="3030">
                  <c:v>21097</c:v>
                </c:pt>
                <c:pt idx="3031">
                  <c:v>29412</c:v>
                </c:pt>
                <c:pt idx="3032">
                  <c:v>22405</c:v>
                </c:pt>
                <c:pt idx="3033">
                  <c:v>21139</c:v>
                </c:pt>
                <c:pt idx="3034">
                  <c:v>19632</c:v>
                </c:pt>
                <c:pt idx="3035">
                  <c:v>18957</c:v>
                </c:pt>
                <c:pt idx="3036">
                  <c:v>20347</c:v>
                </c:pt>
                <c:pt idx="3037">
                  <c:v>22799</c:v>
                </c:pt>
                <c:pt idx="3038">
                  <c:v>22321</c:v>
                </c:pt>
                <c:pt idx="3039">
                  <c:v>21018</c:v>
                </c:pt>
                <c:pt idx="3040">
                  <c:v>20230</c:v>
                </c:pt>
                <c:pt idx="3041">
                  <c:v>19867</c:v>
                </c:pt>
                <c:pt idx="3042">
                  <c:v>17864</c:v>
                </c:pt>
                <c:pt idx="3043">
                  <c:v>21619</c:v>
                </c:pt>
                <c:pt idx="3044">
                  <c:v>22125</c:v>
                </c:pt>
                <c:pt idx="3045">
                  <c:v>24364</c:v>
                </c:pt>
                <c:pt idx="3046">
                  <c:v>19009</c:v>
                </c:pt>
                <c:pt idx="3047">
                  <c:v>22783</c:v>
                </c:pt>
                <c:pt idx="3048">
                  <c:v>22196</c:v>
                </c:pt>
                <c:pt idx="3049">
                  <c:v>23852</c:v>
                </c:pt>
                <c:pt idx="3050">
                  <c:v>26485</c:v>
                </c:pt>
                <c:pt idx="3051">
                  <c:v>27876</c:v>
                </c:pt>
                <c:pt idx="3052">
                  <c:v>26170</c:v>
                </c:pt>
                <c:pt idx="3053">
                  <c:v>23963</c:v>
                </c:pt>
                <c:pt idx="3054">
                  <c:v>29479</c:v>
                </c:pt>
                <c:pt idx="3055">
                  <c:v>25651</c:v>
                </c:pt>
                <c:pt idx="3056">
                  <c:v>21699</c:v>
                </c:pt>
                <c:pt idx="3057">
                  <c:v>28967</c:v>
                </c:pt>
                <c:pt idx="3058">
                  <c:v>23020</c:v>
                </c:pt>
                <c:pt idx="3059">
                  <c:v>34562</c:v>
                </c:pt>
                <c:pt idx="3060">
                  <c:v>25372</c:v>
                </c:pt>
                <c:pt idx="3061">
                  <c:v>30920</c:v>
                </c:pt>
                <c:pt idx="3062">
                  <c:v>25191</c:v>
                </c:pt>
                <c:pt idx="3063">
                  <c:v>24098</c:v>
                </c:pt>
                <c:pt idx="3064">
                  <c:v>26034</c:v>
                </c:pt>
                <c:pt idx="3065">
                  <c:v>25142</c:v>
                </c:pt>
                <c:pt idx="3066">
                  <c:v>27474</c:v>
                </c:pt>
                <c:pt idx="3067">
                  <c:v>21623</c:v>
                </c:pt>
                <c:pt idx="3068">
                  <c:v>22937</c:v>
                </c:pt>
                <c:pt idx="3069">
                  <c:v>28187</c:v>
                </c:pt>
                <c:pt idx="3070">
                  <c:v>25466</c:v>
                </c:pt>
                <c:pt idx="3071">
                  <c:v>27664</c:v>
                </c:pt>
                <c:pt idx="3072">
                  <c:v>25435</c:v>
                </c:pt>
                <c:pt idx="3073">
                  <c:v>23299</c:v>
                </c:pt>
                <c:pt idx="3074">
                  <c:v>26935</c:v>
                </c:pt>
                <c:pt idx="3075">
                  <c:v>22363</c:v>
                </c:pt>
                <c:pt idx="3076">
                  <c:v>26514</c:v>
                </c:pt>
                <c:pt idx="3077">
                  <c:v>26655</c:v>
                </c:pt>
                <c:pt idx="3078">
                  <c:v>27550</c:v>
                </c:pt>
                <c:pt idx="3079">
                  <c:v>25258</c:v>
                </c:pt>
                <c:pt idx="3080">
                  <c:v>23857</c:v>
                </c:pt>
                <c:pt idx="3081">
                  <c:v>25856</c:v>
                </c:pt>
                <c:pt idx="3082">
                  <c:v>26096</c:v>
                </c:pt>
                <c:pt idx="3083">
                  <c:v>28457</c:v>
                </c:pt>
                <c:pt idx="3084">
                  <c:v>24450</c:v>
                </c:pt>
                <c:pt idx="3085">
                  <c:v>24054</c:v>
                </c:pt>
                <c:pt idx="3086">
                  <c:v>14482</c:v>
                </c:pt>
                <c:pt idx="3087">
                  <c:v>24984</c:v>
                </c:pt>
                <c:pt idx="3088">
                  <c:v>23709</c:v>
                </c:pt>
                <c:pt idx="3089">
                  <c:v>26914</c:v>
                </c:pt>
                <c:pt idx="3090">
                  <c:v>26432</c:v>
                </c:pt>
                <c:pt idx="3091">
                  <c:v>28679</c:v>
                </c:pt>
                <c:pt idx="3092">
                  <c:v>43543</c:v>
                </c:pt>
                <c:pt idx="3093">
                  <c:v>24951</c:v>
                </c:pt>
                <c:pt idx="3094">
                  <c:v>29068</c:v>
                </c:pt>
                <c:pt idx="3095">
                  <c:v>26450</c:v>
                </c:pt>
                <c:pt idx="3096">
                  <c:v>26071</c:v>
                </c:pt>
                <c:pt idx="3097">
                  <c:v>25055</c:v>
                </c:pt>
                <c:pt idx="3098">
                  <c:v>27895</c:v>
                </c:pt>
                <c:pt idx="3099">
                  <c:v>23765</c:v>
                </c:pt>
                <c:pt idx="3100">
                  <c:v>25219</c:v>
                </c:pt>
                <c:pt idx="3101">
                  <c:v>21975</c:v>
                </c:pt>
                <c:pt idx="3102">
                  <c:v>32955</c:v>
                </c:pt>
                <c:pt idx="3103">
                  <c:v>26335</c:v>
                </c:pt>
                <c:pt idx="3104">
                  <c:v>25284</c:v>
                </c:pt>
                <c:pt idx="3105">
                  <c:v>24638</c:v>
                </c:pt>
                <c:pt idx="3106">
                  <c:v>27034</c:v>
                </c:pt>
                <c:pt idx="3107">
                  <c:v>24300</c:v>
                </c:pt>
                <c:pt idx="3108">
                  <c:v>25502</c:v>
                </c:pt>
                <c:pt idx="3109">
                  <c:v>23985</c:v>
                </c:pt>
                <c:pt idx="3110">
                  <c:v>26304</c:v>
                </c:pt>
                <c:pt idx="3111">
                  <c:v>27410</c:v>
                </c:pt>
                <c:pt idx="3112">
                  <c:v>25575</c:v>
                </c:pt>
                <c:pt idx="3113">
                  <c:v>33744</c:v>
                </c:pt>
                <c:pt idx="3114">
                  <c:v>38684</c:v>
                </c:pt>
                <c:pt idx="3115">
                  <c:v>27257</c:v>
                </c:pt>
                <c:pt idx="3116">
                  <c:v>23977</c:v>
                </c:pt>
                <c:pt idx="3117">
                  <c:v>27770</c:v>
                </c:pt>
                <c:pt idx="3118">
                  <c:v>26516</c:v>
                </c:pt>
                <c:pt idx="3119">
                  <c:v>24946</c:v>
                </c:pt>
                <c:pt idx="3120">
                  <c:v>23812</c:v>
                </c:pt>
                <c:pt idx="3121">
                  <c:v>33925</c:v>
                </c:pt>
                <c:pt idx="3122">
                  <c:v>26706</c:v>
                </c:pt>
                <c:pt idx="3123">
                  <c:v>30249</c:v>
                </c:pt>
                <c:pt idx="3124">
                  <c:v>32083</c:v>
                </c:pt>
                <c:pt idx="3125">
                  <c:v>25293</c:v>
                </c:pt>
                <c:pt idx="3126">
                  <c:v>25105</c:v>
                </c:pt>
                <c:pt idx="3127">
                  <c:v>27259</c:v>
                </c:pt>
                <c:pt idx="3128">
                  <c:v>30144</c:v>
                </c:pt>
                <c:pt idx="3129">
                  <c:v>30047</c:v>
                </c:pt>
                <c:pt idx="3130">
                  <c:v>29915</c:v>
                </c:pt>
                <c:pt idx="3131">
                  <c:v>30783</c:v>
                </c:pt>
                <c:pt idx="3132">
                  <c:v>25272</c:v>
                </c:pt>
                <c:pt idx="3133">
                  <c:v>29411</c:v>
                </c:pt>
                <c:pt idx="3134">
                  <c:v>25899</c:v>
                </c:pt>
                <c:pt idx="3135">
                  <c:v>29892</c:v>
                </c:pt>
                <c:pt idx="3136">
                  <c:v>33193</c:v>
                </c:pt>
                <c:pt idx="3137">
                  <c:v>30568</c:v>
                </c:pt>
                <c:pt idx="3138">
                  <c:v>44231</c:v>
                </c:pt>
                <c:pt idx="3139">
                  <c:v>25772</c:v>
                </c:pt>
                <c:pt idx="3140">
                  <c:v>27394</c:v>
                </c:pt>
                <c:pt idx="3141">
                  <c:v>30245</c:v>
                </c:pt>
                <c:pt idx="3142">
                  <c:v>7270</c:v>
                </c:pt>
                <c:pt idx="3143">
                  <c:v>8465</c:v>
                </c:pt>
                <c:pt idx="3144">
                  <c:v>10297</c:v>
                </c:pt>
                <c:pt idx="3145">
                  <c:v>8441</c:v>
                </c:pt>
                <c:pt idx="3146">
                  <c:v>8867</c:v>
                </c:pt>
                <c:pt idx="3147">
                  <c:v>8536</c:v>
                </c:pt>
                <c:pt idx="3148">
                  <c:v>9461</c:v>
                </c:pt>
                <c:pt idx="3149">
                  <c:v>7562</c:v>
                </c:pt>
                <c:pt idx="3150">
                  <c:v>7849</c:v>
                </c:pt>
                <c:pt idx="3151">
                  <c:v>7361</c:v>
                </c:pt>
                <c:pt idx="3152">
                  <c:v>13068</c:v>
                </c:pt>
                <c:pt idx="3153">
                  <c:v>9500</c:v>
                </c:pt>
                <c:pt idx="3154">
                  <c:v>13486</c:v>
                </c:pt>
                <c:pt idx="3155">
                  <c:v>9234</c:v>
                </c:pt>
                <c:pt idx="3156">
                  <c:v>10621</c:v>
                </c:pt>
                <c:pt idx="3157">
                  <c:v>15185</c:v>
                </c:pt>
                <c:pt idx="3158">
                  <c:v>10820</c:v>
                </c:pt>
                <c:pt idx="3159">
                  <c:v>12453</c:v>
                </c:pt>
                <c:pt idx="3160">
                  <c:v>10269</c:v>
                </c:pt>
                <c:pt idx="3161">
                  <c:v>6774</c:v>
                </c:pt>
                <c:pt idx="3162">
                  <c:v>11678</c:v>
                </c:pt>
                <c:pt idx="3163">
                  <c:v>9634</c:v>
                </c:pt>
                <c:pt idx="3164">
                  <c:v>7076</c:v>
                </c:pt>
                <c:pt idx="3165">
                  <c:v>7459</c:v>
                </c:pt>
                <c:pt idx="3166">
                  <c:v>9333</c:v>
                </c:pt>
                <c:pt idx="3167">
                  <c:v>14412</c:v>
                </c:pt>
                <c:pt idx="3168">
                  <c:v>10609</c:v>
                </c:pt>
                <c:pt idx="3169">
                  <c:v>7263</c:v>
                </c:pt>
                <c:pt idx="3170">
                  <c:v>7245</c:v>
                </c:pt>
                <c:pt idx="3171">
                  <c:v>8831</c:v>
                </c:pt>
                <c:pt idx="3172">
                  <c:v>7811</c:v>
                </c:pt>
                <c:pt idx="3173">
                  <c:v>23166</c:v>
                </c:pt>
                <c:pt idx="3174">
                  <c:v>15111</c:v>
                </c:pt>
                <c:pt idx="3175">
                  <c:v>9876</c:v>
                </c:pt>
                <c:pt idx="3176">
                  <c:v>11096</c:v>
                </c:pt>
                <c:pt idx="3177">
                  <c:v>10678</c:v>
                </c:pt>
                <c:pt idx="3178">
                  <c:v>8371</c:v>
                </c:pt>
                <c:pt idx="3179">
                  <c:v>7242</c:v>
                </c:pt>
                <c:pt idx="3180">
                  <c:v>9328</c:v>
                </c:pt>
                <c:pt idx="3181">
                  <c:v>9446</c:v>
                </c:pt>
                <c:pt idx="3182">
                  <c:v>6974</c:v>
                </c:pt>
                <c:pt idx="3183">
                  <c:v>7598</c:v>
                </c:pt>
                <c:pt idx="3184">
                  <c:v>6792</c:v>
                </c:pt>
                <c:pt idx="3185">
                  <c:v>9833</c:v>
                </c:pt>
                <c:pt idx="3186">
                  <c:v>8665</c:v>
                </c:pt>
                <c:pt idx="3187">
                  <c:v>10284</c:v>
                </c:pt>
                <c:pt idx="3188">
                  <c:v>10190</c:v>
                </c:pt>
                <c:pt idx="3189">
                  <c:v>5878</c:v>
                </c:pt>
                <c:pt idx="3190">
                  <c:v>8374</c:v>
                </c:pt>
                <c:pt idx="3191">
                  <c:v>9930</c:v>
                </c:pt>
                <c:pt idx="3192">
                  <c:v>7685</c:v>
                </c:pt>
                <c:pt idx="3193">
                  <c:v>7465</c:v>
                </c:pt>
                <c:pt idx="3194">
                  <c:v>9749</c:v>
                </c:pt>
                <c:pt idx="3195">
                  <c:v>9347</c:v>
                </c:pt>
                <c:pt idx="3196">
                  <c:v>6792</c:v>
                </c:pt>
                <c:pt idx="3197">
                  <c:v>7643</c:v>
                </c:pt>
                <c:pt idx="3198">
                  <c:v>7299</c:v>
                </c:pt>
                <c:pt idx="3199">
                  <c:v>10562</c:v>
                </c:pt>
                <c:pt idx="3200">
                  <c:v>8649</c:v>
                </c:pt>
                <c:pt idx="3201">
                  <c:v>9412</c:v>
                </c:pt>
                <c:pt idx="3202">
                  <c:v>10363</c:v>
                </c:pt>
                <c:pt idx="3203">
                  <c:v>7943</c:v>
                </c:pt>
                <c:pt idx="3204">
                  <c:v>8286</c:v>
                </c:pt>
                <c:pt idx="3205">
                  <c:v>9399</c:v>
                </c:pt>
                <c:pt idx="3206">
                  <c:v>16691</c:v>
                </c:pt>
                <c:pt idx="3207">
                  <c:v>10021</c:v>
                </c:pt>
                <c:pt idx="3208">
                  <c:v>7519</c:v>
                </c:pt>
                <c:pt idx="3209">
                  <c:v>9199</c:v>
                </c:pt>
                <c:pt idx="3210">
                  <c:v>13689</c:v>
                </c:pt>
                <c:pt idx="3211">
                  <c:v>11673</c:v>
                </c:pt>
                <c:pt idx="3212">
                  <c:v>15409</c:v>
                </c:pt>
                <c:pt idx="3213">
                  <c:v>7717</c:v>
                </c:pt>
                <c:pt idx="3214">
                  <c:v>9918</c:v>
                </c:pt>
                <c:pt idx="3215">
                  <c:v>9102</c:v>
                </c:pt>
                <c:pt idx="3216">
                  <c:v>8821</c:v>
                </c:pt>
                <c:pt idx="3217">
                  <c:v>8420</c:v>
                </c:pt>
                <c:pt idx="3218">
                  <c:v>7960</c:v>
                </c:pt>
                <c:pt idx="3219">
                  <c:v>7743</c:v>
                </c:pt>
              </c:numCache>
            </c:numRef>
          </c:xVal>
          <c:yVal>
            <c:numRef>
              <c:f>Визуализация!$B$2:$B$3221</c:f>
              <c:numCache>
                <c:formatCode>0.0</c:formatCode>
                <c:ptCount val="3220"/>
                <c:pt idx="0">
                  <c:v>7.6</c:v>
                </c:pt>
                <c:pt idx="1">
                  <c:v>7.5</c:v>
                </c:pt>
                <c:pt idx="2">
                  <c:v>17.600000000000001</c:v>
                </c:pt>
                <c:pt idx="3">
                  <c:v>8.3000000000000007</c:v>
                </c:pt>
                <c:pt idx="4">
                  <c:v>7.7</c:v>
                </c:pt>
                <c:pt idx="5">
                  <c:v>18</c:v>
                </c:pt>
                <c:pt idx="6">
                  <c:v>10.9</c:v>
                </c:pt>
                <c:pt idx="7">
                  <c:v>12.3</c:v>
                </c:pt>
                <c:pt idx="8">
                  <c:v>8.9</c:v>
                </c:pt>
                <c:pt idx="9">
                  <c:v>7.9</c:v>
                </c:pt>
                <c:pt idx="10">
                  <c:v>9.1</c:v>
                </c:pt>
                <c:pt idx="11">
                  <c:v>13.6</c:v>
                </c:pt>
                <c:pt idx="12">
                  <c:v>19.399999999999999</c:v>
                </c:pt>
                <c:pt idx="13">
                  <c:v>9.4</c:v>
                </c:pt>
                <c:pt idx="14">
                  <c:v>8.3000000000000007</c:v>
                </c:pt>
                <c:pt idx="15">
                  <c:v>7.1</c:v>
                </c:pt>
                <c:pt idx="16">
                  <c:v>9</c:v>
                </c:pt>
                <c:pt idx="17">
                  <c:v>22.6</c:v>
                </c:pt>
                <c:pt idx="18">
                  <c:v>17</c:v>
                </c:pt>
                <c:pt idx="19">
                  <c:v>11.2</c:v>
                </c:pt>
                <c:pt idx="20">
                  <c:v>9.6999999999999993</c:v>
                </c:pt>
                <c:pt idx="21">
                  <c:v>7.3</c:v>
                </c:pt>
                <c:pt idx="22">
                  <c:v>10.9</c:v>
                </c:pt>
                <c:pt idx="23">
                  <c:v>16.399999999999999</c:v>
                </c:pt>
                <c:pt idx="24">
                  <c:v>7.7</c:v>
                </c:pt>
                <c:pt idx="25">
                  <c:v>8.3000000000000007</c:v>
                </c:pt>
                <c:pt idx="26">
                  <c:v>15.6</c:v>
                </c:pt>
                <c:pt idx="27">
                  <c:v>9</c:v>
                </c:pt>
                <c:pt idx="28">
                  <c:v>10</c:v>
                </c:pt>
                <c:pt idx="29">
                  <c:v>9.8000000000000007</c:v>
                </c:pt>
                <c:pt idx="30">
                  <c:v>11.2</c:v>
                </c:pt>
                <c:pt idx="31">
                  <c:v>20.399999999999999</c:v>
                </c:pt>
                <c:pt idx="32">
                  <c:v>13.3</c:v>
                </c:pt>
                <c:pt idx="33">
                  <c:v>8.1</c:v>
                </c:pt>
                <c:pt idx="34">
                  <c:v>8.3000000000000007</c:v>
                </c:pt>
                <c:pt idx="35">
                  <c:v>10.1</c:v>
                </c:pt>
                <c:pt idx="36">
                  <c:v>9.1</c:v>
                </c:pt>
                <c:pt idx="37">
                  <c:v>10.199999999999999</c:v>
                </c:pt>
                <c:pt idx="38">
                  <c:v>7.1</c:v>
                </c:pt>
                <c:pt idx="39">
                  <c:v>9.8000000000000007</c:v>
                </c:pt>
                <c:pt idx="40">
                  <c:v>7.3</c:v>
                </c:pt>
                <c:pt idx="41">
                  <c:v>7.8</c:v>
                </c:pt>
                <c:pt idx="42">
                  <c:v>13.2</c:v>
                </c:pt>
                <c:pt idx="43">
                  <c:v>16.899999999999999</c:v>
                </c:pt>
                <c:pt idx="44">
                  <c:v>8.5</c:v>
                </c:pt>
                <c:pt idx="45">
                  <c:v>11.4</c:v>
                </c:pt>
                <c:pt idx="46">
                  <c:v>9.9</c:v>
                </c:pt>
                <c:pt idx="47">
                  <c:v>8.4</c:v>
                </c:pt>
                <c:pt idx="48">
                  <c:v>9.8000000000000007</c:v>
                </c:pt>
                <c:pt idx="49">
                  <c:v>20.7</c:v>
                </c:pt>
                <c:pt idx="50">
                  <c:v>8.8000000000000007</c:v>
                </c:pt>
                <c:pt idx="51">
                  <c:v>9.9</c:v>
                </c:pt>
                <c:pt idx="52">
                  <c:v>11.2</c:v>
                </c:pt>
                <c:pt idx="53">
                  <c:v>13.8</c:v>
                </c:pt>
                <c:pt idx="54">
                  <c:v>10.199999999999999</c:v>
                </c:pt>
                <c:pt idx="55">
                  <c:v>10.3</c:v>
                </c:pt>
                <c:pt idx="56">
                  <c:v>11.1</c:v>
                </c:pt>
                <c:pt idx="57">
                  <c:v>8.4</c:v>
                </c:pt>
                <c:pt idx="58">
                  <c:v>5.5</c:v>
                </c:pt>
                <c:pt idx="59">
                  <c:v>16.8</c:v>
                </c:pt>
                <c:pt idx="60">
                  <c:v>13.8</c:v>
                </c:pt>
                <c:pt idx="61">
                  <c:v>9</c:v>
                </c:pt>
                <c:pt idx="62">
                  <c:v>7.6</c:v>
                </c:pt>
                <c:pt idx="63">
                  <c:v>11.4</c:v>
                </c:pt>
                <c:pt idx="64">
                  <c:v>20</c:v>
                </c:pt>
                <c:pt idx="65">
                  <c:v>20.8</c:v>
                </c:pt>
                <c:pt idx="66">
                  <c:v>9.6</c:v>
                </c:pt>
                <c:pt idx="67">
                  <c:v>2.9</c:v>
                </c:pt>
                <c:pt idx="68">
                  <c:v>2.1</c:v>
                </c:pt>
                <c:pt idx="69">
                  <c:v>6.7</c:v>
                </c:pt>
                <c:pt idx="70">
                  <c:v>17.600000000000001</c:v>
                </c:pt>
                <c:pt idx="71">
                  <c:v>5.4</c:v>
                </c:pt>
                <c:pt idx="72">
                  <c:v>2.2999999999999998</c:v>
                </c:pt>
                <c:pt idx="73">
                  <c:v>12.5</c:v>
                </c:pt>
                <c:pt idx="74">
                  <c:v>7.9</c:v>
                </c:pt>
                <c:pt idx="75">
                  <c:v>3</c:v>
                </c:pt>
                <c:pt idx="76">
                  <c:v>13.1</c:v>
                </c:pt>
                <c:pt idx="77">
                  <c:v>5.2</c:v>
                </c:pt>
                <c:pt idx="78">
                  <c:v>9.4</c:v>
                </c:pt>
                <c:pt idx="79">
                  <c:v>7.9</c:v>
                </c:pt>
                <c:pt idx="80">
                  <c:v>6.3</c:v>
                </c:pt>
                <c:pt idx="81">
                  <c:v>28.6</c:v>
                </c:pt>
                <c:pt idx="82">
                  <c:v>9.8000000000000007</c:v>
                </c:pt>
                <c:pt idx="83">
                  <c:v>9.8000000000000007</c:v>
                </c:pt>
                <c:pt idx="84">
                  <c:v>16.5</c:v>
                </c:pt>
                <c:pt idx="85">
                  <c:v>9.3000000000000007</c:v>
                </c:pt>
                <c:pt idx="86">
                  <c:v>21.9</c:v>
                </c:pt>
                <c:pt idx="87">
                  <c:v>8.4</c:v>
                </c:pt>
                <c:pt idx="88">
                  <c:v>13.9</c:v>
                </c:pt>
                <c:pt idx="89">
                  <c:v>3.8</c:v>
                </c:pt>
                <c:pt idx="90">
                  <c:v>7.8</c:v>
                </c:pt>
                <c:pt idx="91">
                  <c:v>9.4</c:v>
                </c:pt>
                <c:pt idx="92">
                  <c:v>10.7</c:v>
                </c:pt>
                <c:pt idx="93">
                  <c:v>7.5</c:v>
                </c:pt>
                <c:pt idx="94">
                  <c:v>7.9</c:v>
                </c:pt>
                <c:pt idx="95">
                  <c:v>18.2</c:v>
                </c:pt>
                <c:pt idx="96">
                  <c:v>18.2</c:v>
                </c:pt>
                <c:pt idx="97">
                  <c:v>8.6999999999999993</c:v>
                </c:pt>
                <c:pt idx="98">
                  <c:v>8.8000000000000007</c:v>
                </c:pt>
                <c:pt idx="99">
                  <c:v>12.8</c:v>
                </c:pt>
                <c:pt idx="100">
                  <c:v>14.1</c:v>
                </c:pt>
                <c:pt idx="101">
                  <c:v>10</c:v>
                </c:pt>
                <c:pt idx="102">
                  <c:v>11.2</c:v>
                </c:pt>
                <c:pt idx="103">
                  <c:v>7.7</c:v>
                </c:pt>
                <c:pt idx="104">
                  <c:v>13.2</c:v>
                </c:pt>
                <c:pt idx="105">
                  <c:v>19.8</c:v>
                </c:pt>
                <c:pt idx="106">
                  <c:v>10</c:v>
                </c:pt>
                <c:pt idx="107">
                  <c:v>10.6</c:v>
                </c:pt>
                <c:pt idx="108">
                  <c:v>11.3</c:v>
                </c:pt>
                <c:pt idx="109">
                  <c:v>10</c:v>
                </c:pt>
                <c:pt idx="110">
                  <c:v>13.1</c:v>
                </c:pt>
                <c:pt idx="111">
                  <c:v>8.3000000000000007</c:v>
                </c:pt>
                <c:pt idx="112">
                  <c:v>11.8</c:v>
                </c:pt>
                <c:pt idx="113">
                  <c:v>7.6</c:v>
                </c:pt>
                <c:pt idx="114">
                  <c:v>4.2</c:v>
                </c:pt>
                <c:pt idx="115">
                  <c:v>8.4</c:v>
                </c:pt>
                <c:pt idx="116">
                  <c:v>9.4</c:v>
                </c:pt>
                <c:pt idx="117">
                  <c:v>7.2</c:v>
                </c:pt>
                <c:pt idx="118">
                  <c:v>6.2</c:v>
                </c:pt>
                <c:pt idx="119">
                  <c:v>11.5</c:v>
                </c:pt>
                <c:pt idx="120">
                  <c:v>8.4</c:v>
                </c:pt>
                <c:pt idx="121">
                  <c:v>9.5</c:v>
                </c:pt>
                <c:pt idx="122">
                  <c:v>10.199999999999999</c:v>
                </c:pt>
                <c:pt idx="123">
                  <c:v>9.6999999999999993</c:v>
                </c:pt>
                <c:pt idx="124">
                  <c:v>10.1</c:v>
                </c:pt>
                <c:pt idx="125">
                  <c:v>8.1</c:v>
                </c:pt>
                <c:pt idx="126">
                  <c:v>7.5</c:v>
                </c:pt>
                <c:pt idx="127">
                  <c:v>7.9</c:v>
                </c:pt>
                <c:pt idx="128">
                  <c:v>9.9</c:v>
                </c:pt>
                <c:pt idx="129">
                  <c:v>8.6</c:v>
                </c:pt>
                <c:pt idx="130">
                  <c:v>8.3000000000000007</c:v>
                </c:pt>
                <c:pt idx="131">
                  <c:v>17.7</c:v>
                </c:pt>
                <c:pt idx="132">
                  <c:v>14.3</c:v>
                </c:pt>
                <c:pt idx="133">
                  <c:v>6.6</c:v>
                </c:pt>
                <c:pt idx="134">
                  <c:v>11</c:v>
                </c:pt>
                <c:pt idx="135">
                  <c:v>7.6</c:v>
                </c:pt>
                <c:pt idx="136">
                  <c:v>9.1999999999999993</c:v>
                </c:pt>
                <c:pt idx="137">
                  <c:v>9.4</c:v>
                </c:pt>
                <c:pt idx="138">
                  <c:v>9</c:v>
                </c:pt>
                <c:pt idx="139">
                  <c:v>7.9</c:v>
                </c:pt>
                <c:pt idx="140">
                  <c:v>7.6</c:v>
                </c:pt>
                <c:pt idx="141">
                  <c:v>8.5</c:v>
                </c:pt>
                <c:pt idx="142">
                  <c:v>6.9</c:v>
                </c:pt>
                <c:pt idx="143">
                  <c:v>10</c:v>
                </c:pt>
                <c:pt idx="144">
                  <c:v>7.9</c:v>
                </c:pt>
                <c:pt idx="145">
                  <c:v>11.2</c:v>
                </c:pt>
                <c:pt idx="146">
                  <c:v>6.2</c:v>
                </c:pt>
                <c:pt idx="147">
                  <c:v>12.5</c:v>
                </c:pt>
                <c:pt idx="148">
                  <c:v>6.9</c:v>
                </c:pt>
                <c:pt idx="149">
                  <c:v>17.3</c:v>
                </c:pt>
                <c:pt idx="150">
                  <c:v>14.2</c:v>
                </c:pt>
                <c:pt idx="151">
                  <c:v>8.8000000000000007</c:v>
                </c:pt>
                <c:pt idx="152">
                  <c:v>8.1</c:v>
                </c:pt>
                <c:pt idx="153">
                  <c:v>5.9</c:v>
                </c:pt>
                <c:pt idx="154">
                  <c:v>7.3</c:v>
                </c:pt>
                <c:pt idx="155">
                  <c:v>10.9</c:v>
                </c:pt>
                <c:pt idx="156">
                  <c:v>9.6</c:v>
                </c:pt>
                <c:pt idx="157">
                  <c:v>12</c:v>
                </c:pt>
                <c:pt idx="158">
                  <c:v>12.8</c:v>
                </c:pt>
                <c:pt idx="159">
                  <c:v>4.3</c:v>
                </c:pt>
                <c:pt idx="160">
                  <c:v>9.5</c:v>
                </c:pt>
                <c:pt idx="161">
                  <c:v>4.4000000000000004</c:v>
                </c:pt>
                <c:pt idx="162">
                  <c:v>8.3000000000000007</c:v>
                </c:pt>
                <c:pt idx="163">
                  <c:v>6.8</c:v>
                </c:pt>
                <c:pt idx="164">
                  <c:v>18.100000000000001</c:v>
                </c:pt>
                <c:pt idx="165">
                  <c:v>6.6</c:v>
                </c:pt>
                <c:pt idx="166">
                  <c:v>10</c:v>
                </c:pt>
                <c:pt idx="167">
                  <c:v>9</c:v>
                </c:pt>
                <c:pt idx="168">
                  <c:v>7.6</c:v>
                </c:pt>
                <c:pt idx="169">
                  <c:v>6.2</c:v>
                </c:pt>
                <c:pt idx="170">
                  <c:v>7.5</c:v>
                </c:pt>
                <c:pt idx="171">
                  <c:v>5.4</c:v>
                </c:pt>
                <c:pt idx="172">
                  <c:v>11.7</c:v>
                </c:pt>
                <c:pt idx="173">
                  <c:v>5.3</c:v>
                </c:pt>
                <c:pt idx="174">
                  <c:v>10.9</c:v>
                </c:pt>
                <c:pt idx="175">
                  <c:v>5.9</c:v>
                </c:pt>
                <c:pt idx="176">
                  <c:v>6.1</c:v>
                </c:pt>
                <c:pt idx="177">
                  <c:v>9.3000000000000007</c:v>
                </c:pt>
                <c:pt idx="178">
                  <c:v>8.8000000000000007</c:v>
                </c:pt>
                <c:pt idx="179">
                  <c:v>7</c:v>
                </c:pt>
                <c:pt idx="180">
                  <c:v>9.6999999999999993</c:v>
                </c:pt>
                <c:pt idx="181">
                  <c:v>11.2</c:v>
                </c:pt>
                <c:pt idx="182">
                  <c:v>6.2</c:v>
                </c:pt>
                <c:pt idx="183">
                  <c:v>7.1</c:v>
                </c:pt>
                <c:pt idx="184">
                  <c:v>12.4</c:v>
                </c:pt>
                <c:pt idx="185">
                  <c:v>8.3000000000000007</c:v>
                </c:pt>
                <c:pt idx="186">
                  <c:v>8.3000000000000007</c:v>
                </c:pt>
                <c:pt idx="187">
                  <c:v>10.7</c:v>
                </c:pt>
                <c:pt idx="188">
                  <c:v>14</c:v>
                </c:pt>
                <c:pt idx="189">
                  <c:v>12.1</c:v>
                </c:pt>
                <c:pt idx="190">
                  <c:v>12.1</c:v>
                </c:pt>
                <c:pt idx="191">
                  <c:v>10.4</c:v>
                </c:pt>
                <c:pt idx="192">
                  <c:v>8.8000000000000007</c:v>
                </c:pt>
                <c:pt idx="193">
                  <c:v>11.5</c:v>
                </c:pt>
                <c:pt idx="194">
                  <c:v>11.1</c:v>
                </c:pt>
                <c:pt idx="195">
                  <c:v>13.2</c:v>
                </c:pt>
                <c:pt idx="196">
                  <c:v>12.6</c:v>
                </c:pt>
                <c:pt idx="197">
                  <c:v>10.5</c:v>
                </c:pt>
                <c:pt idx="198">
                  <c:v>17.399999999999999</c:v>
                </c:pt>
                <c:pt idx="199">
                  <c:v>6.8</c:v>
                </c:pt>
                <c:pt idx="200">
                  <c:v>12.7</c:v>
                </c:pt>
                <c:pt idx="201">
                  <c:v>13</c:v>
                </c:pt>
                <c:pt idx="202">
                  <c:v>14.6</c:v>
                </c:pt>
                <c:pt idx="203">
                  <c:v>10.9</c:v>
                </c:pt>
                <c:pt idx="204">
                  <c:v>10</c:v>
                </c:pt>
                <c:pt idx="205">
                  <c:v>7.5</c:v>
                </c:pt>
                <c:pt idx="206">
                  <c:v>5.7</c:v>
                </c:pt>
                <c:pt idx="207">
                  <c:v>11.6</c:v>
                </c:pt>
                <c:pt idx="208">
                  <c:v>12.2</c:v>
                </c:pt>
                <c:pt idx="209">
                  <c:v>16.2</c:v>
                </c:pt>
                <c:pt idx="210">
                  <c:v>8.6</c:v>
                </c:pt>
                <c:pt idx="211">
                  <c:v>13.4</c:v>
                </c:pt>
                <c:pt idx="212">
                  <c:v>8.4</c:v>
                </c:pt>
                <c:pt idx="213">
                  <c:v>7.5</c:v>
                </c:pt>
                <c:pt idx="214">
                  <c:v>9.8000000000000007</c:v>
                </c:pt>
                <c:pt idx="215">
                  <c:v>7.6</c:v>
                </c:pt>
                <c:pt idx="216">
                  <c:v>8.3000000000000007</c:v>
                </c:pt>
                <c:pt idx="217">
                  <c:v>15.2</c:v>
                </c:pt>
                <c:pt idx="218">
                  <c:v>12.9</c:v>
                </c:pt>
                <c:pt idx="219">
                  <c:v>11.8</c:v>
                </c:pt>
                <c:pt idx="220">
                  <c:v>12.2</c:v>
                </c:pt>
                <c:pt idx="221">
                  <c:v>12.6</c:v>
                </c:pt>
                <c:pt idx="222">
                  <c:v>8.6999999999999993</c:v>
                </c:pt>
                <c:pt idx="223">
                  <c:v>6.8</c:v>
                </c:pt>
                <c:pt idx="224">
                  <c:v>13.7</c:v>
                </c:pt>
                <c:pt idx="225">
                  <c:v>6.6</c:v>
                </c:pt>
                <c:pt idx="226">
                  <c:v>6.7</c:v>
                </c:pt>
                <c:pt idx="227">
                  <c:v>8</c:v>
                </c:pt>
                <c:pt idx="228">
                  <c:v>7.7</c:v>
                </c:pt>
                <c:pt idx="229">
                  <c:v>7.6</c:v>
                </c:pt>
                <c:pt idx="230">
                  <c:v>10.3</c:v>
                </c:pt>
                <c:pt idx="231">
                  <c:v>8</c:v>
                </c:pt>
                <c:pt idx="232">
                  <c:v>12.7</c:v>
                </c:pt>
                <c:pt idx="233">
                  <c:v>11.4</c:v>
                </c:pt>
                <c:pt idx="234">
                  <c:v>8.1</c:v>
                </c:pt>
                <c:pt idx="235">
                  <c:v>15.2</c:v>
                </c:pt>
                <c:pt idx="236">
                  <c:v>13.2</c:v>
                </c:pt>
                <c:pt idx="237">
                  <c:v>13.2</c:v>
                </c:pt>
                <c:pt idx="238">
                  <c:v>9</c:v>
                </c:pt>
                <c:pt idx="239">
                  <c:v>12</c:v>
                </c:pt>
                <c:pt idx="240">
                  <c:v>12.9</c:v>
                </c:pt>
                <c:pt idx="241">
                  <c:v>8.6</c:v>
                </c:pt>
                <c:pt idx="242">
                  <c:v>9</c:v>
                </c:pt>
                <c:pt idx="243">
                  <c:v>14.8</c:v>
                </c:pt>
                <c:pt idx="244">
                  <c:v>7.9</c:v>
                </c:pt>
                <c:pt idx="245">
                  <c:v>10.4</c:v>
                </c:pt>
                <c:pt idx="246">
                  <c:v>7.2</c:v>
                </c:pt>
                <c:pt idx="247">
                  <c:v>8.1999999999999993</c:v>
                </c:pt>
                <c:pt idx="248">
                  <c:v>4.5</c:v>
                </c:pt>
                <c:pt idx="249">
                  <c:v>8.3000000000000007</c:v>
                </c:pt>
                <c:pt idx="250">
                  <c:v>6.1</c:v>
                </c:pt>
                <c:pt idx="251">
                  <c:v>5.5</c:v>
                </c:pt>
                <c:pt idx="252">
                  <c:v>5.9</c:v>
                </c:pt>
                <c:pt idx="253">
                  <c:v>9.3000000000000007</c:v>
                </c:pt>
                <c:pt idx="254">
                  <c:v>5.4</c:v>
                </c:pt>
                <c:pt idx="255">
                  <c:v>9.6999999999999993</c:v>
                </c:pt>
                <c:pt idx="256">
                  <c:v>14</c:v>
                </c:pt>
                <c:pt idx="257">
                  <c:v>27</c:v>
                </c:pt>
                <c:pt idx="258">
                  <c:v>14</c:v>
                </c:pt>
                <c:pt idx="259">
                  <c:v>11.7</c:v>
                </c:pt>
                <c:pt idx="260">
                  <c:v>6.3</c:v>
                </c:pt>
                <c:pt idx="261">
                  <c:v>4.5999999999999996</c:v>
                </c:pt>
                <c:pt idx="262">
                  <c:v>4.0999999999999996</c:v>
                </c:pt>
                <c:pt idx="263">
                  <c:v>4.4000000000000004</c:v>
                </c:pt>
                <c:pt idx="264">
                  <c:v>6.7</c:v>
                </c:pt>
                <c:pt idx="265">
                  <c:v>8.4</c:v>
                </c:pt>
                <c:pt idx="266">
                  <c:v>9.1999999999999993</c:v>
                </c:pt>
                <c:pt idx="267">
                  <c:v>6.9</c:v>
                </c:pt>
                <c:pt idx="268">
                  <c:v>4.9000000000000004</c:v>
                </c:pt>
                <c:pt idx="269">
                  <c:v>5.7</c:v>
                </c:pt>
                <c:pt idx="270">
                  <c:v>7.8</c:v>
                </c:pt>
                <c:pt idx="271">
                  <c:v>3</c:v>
                </c:pt>
                <c:pt idx="272">
                  <c:v>15</c:v>
                </c:pt>
                <c:pt idx="273">
                  <c:v>1.5</c:v>
                </c:pt>
                <c:pt idx="274">
                  <c:v>5.9</c:v>
                </c:pt>
                <c:pt idx="275">
                  <c:v>2</c:v>
                </c:pt>
                <c:pt idx="276">
                  <c:v>5.9</c:v>
                </c:pt>
                <c:pt idx="277">
                  <c:v>5.7</c:v>
                </c:pt>
                <c:pt idx="278">
                  <c:v>5.2</c:v>
                </c:pt>
                <c:pt idx="279">
                  <c:v>6.7</c:v>
                </c:pt>
                <c:pt idx="280">
                  <c:v>9.1999999999999993</c:v>
                </c:pt>
                <c:pt idx="281">
                  <c:v>6.3</c:v>
                </c:pt>
                <c:pt idx="282">
                  <c:v>9</c:v>
                </c:pt>
                <c:pt idx="283">
                  <c:v>8.6999999999999993</c:v>
                </c:pt>
                <c:pt idx="284">
                  <c:v>1.6</c:v>
                </c:pt>
                <c:pt idx="285">
                  <c:v>5.9</c:v>
                </c:pt>
                <c:pt idx="286">
                  <c:v>9.5</c:v>
                </c:pt>
                <c:pt idx="287">
                  <c:v>10.199999999999999</c:v>
                </c:pt>
                <c:pt idx="288">
                  <c:v>6.2</c:v>
                </c:pt>
                <c:pt idx="289">
                  <c:v>10.7</c:v>
                </c:pt>
                <c:pt idx="290">
                  <c:v>6.7</c:v>
                </c:pt>
                <c:pt idx="291">
                  <c:v>5.6</c:v>
                </c:pt>
                <c:pt idx="292">
                  <c:v>5.3</c:v>
                </c:pt>
                <c:pt idx="293">
                  <c:v>7.7</c:v>
                </c:pt>
                <c:pt idx="294">
                  <c:v>9.6999999999999993</c:v>
                </c:pt>
                <c:pt idx="295">
                  <c:v>10.8</c:v>
                </c:pt>
                <c:pt idx="296">
                  <c:v>4.2</c:v>
                </c:pt>
                <c:pt idx="297">
                  <c:v>8.1</c:v>
                </c:pt>
                <c:pt idx="298">
                  <c:v>4</c:v>
                </c:pt>
                <c:pt idx="299">
                  <c:v>9.6999999999999993</c:v>
                </c:pt>
                <c:pt idx="300">
                  <c:v>13.8</c:v>
                </c:pt>
                <c:pt idx="301">
                  <c:v>5.8</c:v>
                </c:pt>
                <c:pt idx="302">
                  <c:v>6.4</c:v>
                </c:pt>
                <c:pt idx="303">
                  <c:v>4.7</c:v>
                </c:pt>
                <c:pt idx="304">
                  <c:v>8.1999999999999993</c:v>
                </c:pt>
                <c:pt idx="305">
                  <c:v>5.0999999999999996</c:v>
                </c:pt>
                <c:pt idx="306">
                  <c:v>6.6</c:v>
                </c:pt>
                <c:pt idx="307">
                  <c:v>2.5</c:v>
                </c:pt>
                <c:pt idx="308">
                  <c:v>9</c:v>
                </c:pt>
                <c:pt idx="309">
                  <c:v>9.3000000000000007</c:v>
                </c:pt>
                <c:pt idx="310">
                  <c:v>7.1</c:v>
                </c:pt>
                <c:pt idx="311">
                  <c:v>6</c:v>
                </c:pt>
                <c:pt idx="312">
                  <c:v>9.5</c:v>
                </c:pt>
                <c:pt idx="313">
                  <c:v>8.3000000000000007</c:v>
                </c:pt>
                <c:pt idx="314">
                  <c:v>6.8</c:v>
                </c:pt>
                <c:pt idx="315">
                  <c:v>9.3000000000000007</c:v>
                </c:pt>
                <c:pt idx="316">
                  <c:v>8.4</c:v>
                </c:pt>
                <c:pt idx="317">
                  <c:v>7.4</c:v>
                </c:pt>
                <c:pt idx="318">
                  <c:v>8</c:v>
                </c:pt>
                <c:pt idx="319">
                  <c:v>9.6</c:v>
                </c:pt>
                <c:pt idx="320">
                  <c:v>7.9</c:v>
                </c:pt>
                <c:pt idx="321">
                  <c:v>8.9</c:v>
                </c:pt>
                <c:pt idx="322">
                  <c:v>8.6</c:v>
                </c:pt>
                <c:pt idx="323">
                  <c:v>12.4</c:v>
                </c:pt>
                <c:pt idx="324">
                  <c:v>10.9</c:v>
                </c:pt>
                <c:pt idx="325">
                  <c:v>10</c:v>
                </c:pt>
                <c:pt idx="326">
                  <c:v>10</c:v>
                </c:pt>
                <c:pt idx="327">
                  <c:v>10.8</c:v>
                </c:pt>
                <c:pt idx="328">
                  <c:v>13.1</c:v>
                </c:pt>
                <c:pt idx="329">
                  <c:v>10.7</c:v>
                </c:pt>
                <c:pt idx="330">
                  <c:v>7.8</c:v>
                </c:pt>
                <c:pt idx="331">
                  <c:v>14.8</c:v>
                </c:pt>
                <c:pt idx="332">
                  <c:v>9.4</c:v>
                </c:pt>
                <c:pt idx="333">
                  <c:v>7.2</c:v>
                </c:pt>
                <c:pt idx="334">
                  <c:v>10</c:v>
                </c:pt>
                <c:pt idx="335">
                  <c:v>9.4</c:v>
                </c:pt>
                <c:pt idx="336">
                  <c:v>9.3000000000000007</c:v>
                </c:pt>
                <c:pt idx="337">
                  <c:v>9.4</c:v>
                </c:pt>
                <c:pt idx="338">
                  <c:v>11.2</c:v>
                </c:pt>
                <c:pt idx="339">
                  <c:v>10.4</c:v>
                </c:pt>
                <c:pt idx="340">
                  <c:v>12.9</c:v>
                </c:pt>
                <c:pt idx="341">
                  <c:v>10.199999999999999</c:v>
                </c:pt>
                <c:pt idx="342">
                  <c:v>15.8</c:v>
                </c:pt>
                <c:pt idx="343">
                  <c:v>11</c:v>
                </c:pt>
                <c:pt idx="344">
                  <c:v>11.9</c:v>
                </c:pt>
                <c:pt idx="345">
                  <c:v>13.7</c:v>
                </c:pt>
                <c:pt idx="346">
                  <c:v>13.3</c:v>
                </c:pt>
                <c:pt idx="347">
                  <c:v>9</c:v>
                </c:pt>
                <c:pt idx="348">
                  <c:v>15.4</c:v>
                </c:pt>
                <c:pt idx="349">
                  <c:v>12.2</c:v>
                </c:pt>
                <c:pt idx="350">
                  <c:v>13.2</c:v>
                </c:pt>
                <c:pt idx="351">
                  <c:v>9.4</c:v>
                </c:pt>
                <c:pt idx="352">
                  <c:v>14.6</c:v>
                </c:pt>
                <c:pt idx="353">
                  <c:v>9.6999999999999993</c:v>
                </c:pt>
                <c:pt idx="354">
                  <c:v>10.1</c:v>
                </c:pt>
                <c:pt idx="355">
                  <c:v>10.6</c:v>
                </c:pt>
                <c:pt idx="356">
                  <c:v>11.1</c:v>
                </c:pt>
                <c:pt idx="357">
                  <c:v>10.199999999999999</c:v>
                </c:pt>
                <c:pt idx="358">
                  <c:v>11.8</c:v>
                </c:pt>
                <c:pt idx="359">
                  <c:v>8.6</c:v>
                </c:pt>
                <c:pt idx="360">
                  <c:v>12</c:v>
                </c:pt>
                <c:pt idx="361">
                  <c:v>9.6999999999999993</c:v>
                </c:pt>
                <c:pt idx="362">
                  <c:v>10</c:v>
                </c:pt>
                <c:pt idx="363">
                  <c:v>6</c:v>
                </c:pt>
                <c:pt idx="364">
                  <c:v>9.8000000000000007</c:v>
                </c:pt>
                <c:pt idx="365">
                  <c:v>6.9</c:v>
                </c:pt>
                <c:pt idx="366">
                  <c:v>11.8</c:v>
                </c:pt>
                <c:pt idx="367">
                  <c:v>9.1</c:v>
                </c:pt>
                <c:pt idx="368">
                  <c:v>9.8000000000000007</c:v>
                </c:pt>
                <c:pt idx="369">
                  <c:v>9.5</c:v>
                </c:pt>
                <c:pt idx="370">
                  <c:v>9.4</c:v>
                </c:pt>
                <c:pt idx="371">
                  <c:v>8.4</c:v>
                </c:pt>
                <c:pt idx="372">
                  <c:v>10.6</c:v>
                </c:pt>
                <c:pt idx="373">
                  <c:v>12.6</c:v>
                </c:pt>
                <c:pt idx="374">
                  <c:v>6.7</c:v>
                </c:pt>
                <c:pt idx="375">
                  <c:v>12.4</c:v>
                </c:pt>
                <c:pt idx="376">
                  <c:v>7.9</c:v>
                </c:pt>
                <c:pt idx="377">
                  <c:v>8.1999999999999993</c:v>
                </c:pt>
                <c:pt idx="378">
                  <c:v>9.4</c:v>
                </c:pt>
                <c:pt idx="379">
                  <c:v>9</c:v>
                </c:pt>
                <c:pt idx="380">
                  <c:v>11.1</c:v>
                </c:pt>
                <c:pt idx="381">
                  <c:v>9</c:v>
                </c:pt>
                <c:pt idx="382">
                  <c:v>11.7</c:v>
                </c:pt>
                <c:pt idx="383">
                  <c:v>9.1</c:v>
                </c:pt>
                <c:pt idx="384">
                  <c:v>9.3000000000000007</c:v>
                </c:pt>
                <c:pt idx="385">
                  <c:v>7.9</c:v>
                </c:pt>
                <c:pt idx="386">
                  <c:v>11.5</c:v>
                </c:pt>
                <c:pt idx="387">
                  <c:v>7.9</c:v>
                </c:pt>
                <c:pt idx="388">
                  <c:v>7.3</c:v>
                </c:pt>
                <c:pt idx="389">
                  <c:v>4.4000000000000004</c:v>
                </c:pt>
                <c:pt idx="390">
                  <c:v>7.1</c:v>
                </c:pt>
                <c:pt idx="391">
                  <c:v>8.4</c:v>
                </c:pt>
                <c:pt idx="392">
                  <c:v>8.5</c:v>
                </c:pt>
                <c:pt idx="393">
                  <c:v>10.1</c:v>
                </c:pt>
                <c:pt idx="394">
                  <c:v>8.8000000000000007</c:v>
                </c:pt>
                <c:pt idx="395">
                  <c:v>9.6999999999999993</c:v>
                </c:pt>
                <c:pt idx="396">
                  <c:v>13.8</c:v>
                </c:pt>
                <c:pt idx="397">
                  <c:v>12.4</c:v>
                </c:pt>
                <c:pt idx="398">
                  <c:v>4.8</c:v>
                </c:pt>
                <c:pt idx="399">
                  <c:v>10.9</c:v>
                </c:pt>
                <c:pt idx="400">
                  <c:v>17</c:v>
                </c:pt>
                <c:pt idx="401">
                  <c:v>9</c:v>
                </c:pt>
                <c:pt idx="402">
                  <c:v>9.1</c:v>
                </c:pt>
                <c:pt idx="403">
                  <c:v>8.1999999999999993</c:v>
                </c:pt>
                <c:pt idx="404">
                  <c:v>10.3</c:v>
                </c:pt>
                <c:pt idx="405">
                  <c:v>7.7</c:v>
                </c:pt>
                <c:pt idx="406">
                  <c:v>8.5</c:v>
                </c:pt>
                <c:pt idx="407">
                  <c:v>8.1</c:v>
                </c:pt>
                <c:pt idx="408">
                  <c:v>12.1</c:v>
                </c:pt>
                <c:pt idx="409">
                  <c:v>8.1</c:v>
                </c:pt>
                <c:pt idx="410">
                  <c:v>13.8</c:v>
                </c:pt>
                <c:pt idx="411">
                  <c:v>9.6999999999999993</c:v>
                </c:pt>
                <c:pt idx="412">
                  <c:v>16.5</c:v>
                </c:pt>
                <c:pt idx="413">
                  <c:v>10</c:v>
                </c:pt>
                <c:pt idx="414">
                  <c:v>6.3</c:v>
                </c:pt>
                <c:pt idx="415">
                  <c:v>9.1999999999999993</c:v>
                </c:pt>
                <c:pt idx="416">
                  <c:v>19.2</c:v>
                </c:pt>
                <c:pt idx="417">
                  <c:v>14.1</c:v>
                </c:pt>
                <c:pt idx="418">
                  <c:v>10.7</c:v>
                </c:pt>
                <c:pt idx="419">
                  <c:v>8</c:v>
                </c:pt>
                <c:pt idx="420">
                  <c:v>8.3000000000000007</c:v>
                </c:pt>
                <c:pt idx="421">
                  <c:v>8.3000000000000007</c:v>
                </c:pt>
                <c:pt idx="422">
                  <c:v>7.1</c:v>
                </c:pt>
                <c:pt idx="423">
                  <c:v>6.6</c:v>
                </c:pt>
                <c:pt idx="424">
                  <c:v>7</c:v>
                </c:pt>
                <c:pt idx="425">
                  <c:v>11</c:v>
                </c:pt>
                <c:pt idx="426">
                  <c:v>15.5</c:v>
                </c:pt>
                <c:pt idx="427">
                  <c:v>6.1</c:v>
                </c:pt>
                <c:pt idx="428">
                  <c:v>8.5</c:v>
                </c:pt>
                <c:pt idx="429">
                  <c:v>6.5</c:v>
                </c:pt>
                <c:pt idx="430">
                  <c:v>11.3</c:v>
                </c:pt>
                <c:pt idx="431">
                  <c:v>9.8000000000000007</c:v>
                </c:pt>
                <c:pt idx="432">
                  <c:v>11.7</c:v>
                </c:pt>
                <c:pt idx="433">
                  <c:v>18</c:v>
                </c:pt>
                <c:pt idx="434">
                  <c:v>10.5</c:v>
                </c:pt>
                <c:pt idx="435">
                  <c:v>9.4</c:v>
                </c:pt>
                <c:pt idx="436">
                  <c:v>10.1</c:v>
                </c:pt>
                <c:pt idx="437">
                  <c:v>6</c:v>
                </c:pt>
                <c:pt idx="438">
                  <c:v>10.8</c:v>
                </c:pt>
                <c:pt idx="439">
                  <c:v>13.2</c:v>
                </c:pt>
                <c:pt idx="440">
                  <c:v>10.3</c:v>
                </c:pt>
                <c:pt idx="441">
                  <c:v>12</c:v>
                </c:pt>
                <c:pt idx="442">
                  <c:v>7.6</c:v>
                </c:pt>
                <c:pt idx="443">
                  <c:v>10.9</c:v>
                </c:pt>
                <c:pt idx="444">
                  <c:v>6.2</c:v>
                </c:pt>
                <c:pt idx="445">
                  <c:v>8.4</c:v>
                </c:pt>
                <c:pt idx="446">
                  <c:v>9.9</c:v>
                </c:pt>
                <c:pt idx="447">
                  <c:v>10</c:v>
                </c:pt>
                <c:pt idx="448">
                  <c:v>7.1</c:v>
                </c:pt>
                <c:pt idx="449">
                  <c:v>9.3000000000000007</c:v>
                </c:pt>
                <c:pt idx="450">
                  <c:v>8.3000000000000007</c:v>
                </c:pt>
                <c:pt idx="451">
                  <c:v>10.5</c:v>
                </c:pt>
                <c:pt idx="452">
                  <c:v>6.8</c:v>
                </c:pt>
                <c:pt idx="453">
                  <c:v>8.3000000000000007</c:v>
                </c:pt>
                <c:pt idx="454">
                  <c:v>7.7</c:v>
                </c:pt>
                <c:pt idx="455">
                  <c:v>7.5</c:v>
                </c:pt>
                <c:pt idx="456">
                  <c:v>14.6</c:v>
                </c:pt>
                <c:pt idx="457">
                  <c:v>12.3</c:v>
                </c:pt>
                <c:pt idx="458">
                  <c:v>8</c:v>
                </c:pt>
                <c:pt idx="459">
                  <c:v>6.2</c:v>
                </c:pt>
                <c:pt idx="460">
                  <c:v>12.1</c:v>
                </c:pt>
                <c:pt idx="461">
                  <c:v>10.3</c:v>
                </c:pt>
                <c:pt idx="462">
                  <c:v>9.6999999999999993</c:v>
                </c:pt>
                <c:pt idx="463">
                  <c:v>6.8</c:v>
                </c:pt>
                <c:pt idx="464">
                  <c:v>7.9</c:v>
                </c:pt>
                <c:pt idx="465">
                  <c:v>12.7</c:v>
                </c:pt>
                <c:pt idx="466">
                  <c:v>6.6</c:v>
                </c:pt>
                <c:pt idx="467">
                  <c:v>17</c:v>
                </c:pt>
                <c:pt idx="468">
                  <c:v>10.3</c:v>
                </c:pt>
                <c:pt idx="469">
                  <c:v>9</c:v>
                </c:pt>
                <c:pt idx="470">
                  <c:v>9.5</c:v>
                </c:pt>
                <c:pt idx="471">
                  <c:v>15.6</c:v>
                </c:pt>
                <c:pt idx="472">
                  <c:v>14.6</c:v>
                </c:pt>
                <c:pt idx="473">
                  <c:v>6.6</c:v>
                </c:pt>
                <c:pt idx="474">
                  <c:v>7.2</c:v>
                </c:pt>
                <c:pt idx="475">
                  <c:v>12.9</c:v>
                </c:pt>
                <c:pt idx="476">
                  <c:v>9.3000000000000007</c:v>
                </c:pt>
                <c:pt idx="477">
                  <c:v>15.6</c:v>
                </c:pt>
                <c:pt idx="478">
                  <c:v>13</c:v>
                </c:pt>
                <c:pt idx="479">
                  <c:v>8.1999999999999993</c:v>
                </c:pt>
                <c:pt idx="480">
                  <c:v>9.5</c:v>
                </c:pt>
                <c:pt idx="481">
                  <c:v>8.8000000000000007</c:v>
                </c:pt>
                <c:pt idx="482">
                  <c:v>18.7</c:v>
                </c:pt>
                <c:pt idx="483">
                  <c:v>8.6999999999999993</c:v>
                </c:pt>
                <c:pt idx="484">
                  <c:v>14.3</c:v>
                </c:pt>
                <c:pt idx="485">
                  <c:v>12.8</c:v>
                </c:pt>
                <c:pt idx="486">
                  <c:v>6.5</c:v>
                </c:pt>
                <c:pt idx="487">
                  <c:v>13.5</c:v>
                </c:pt>
                <c:pt idx="488">
                  <c:v>10.5</c:v>
                </c:pt>
                <c:pt idx="489">
                  <c:v>6.7</c:v>
                </c:pt>
                <c:pt idx="490">
                  <c:v>6.9</c:v>
                </c:pt>
                <c:pt idx="491">
                  <c:v>11.1</c:v>
                </c:pt>
                <c:pt idx="492">
                  <c:v>11</c:v>
                </c:pt>
                <c:pt idx="493">
                  <c:v>11.8</c:v>
                </c:pt>
                <c:pt idx="494">
                  <c:v>5</c:v>
                </c:pt>
                <c:pt idx="495">
                  <c:v>5.3</c:v>
                </c:pt>
                <c:pt idx="496">
                  <c:v>8.6999999999999993</c:v>
                </c:pt>
                <c:pt idx="497">
                  <c:v>11.3</c:v>
                </c:pt>
                <c:pt idx="498">
                  <c:v>8.3000000000000007</c:v>
                </c:pt>
                <c:pt idx="499">
                  <c:v>8.9</c:v>
                </c:pt>
                <c:pt idx="500">
                  <c:v>10.4</c:v>
                </c:pt>
                <c:pt idx="501">
                  <c:v>10.199999999999999</c:v>
                </c:pt>
                <c:pt idx="502">
                  <c:v>7.4</c:v>
                </c:pt>
                <c:pt idx="503">
                  <c:v>6.3</c:v>
                </c:pt>
                <c:pt idx="504">
                  <c:v>11.2</c:v>
                </c:pt>
                <c:pt idx="505">
                  <c:v>7.3</c:v>
                </c:pt>
                <c:pt idx="506">
                  <c:v>10.4</c:v>
                </c:pt>
                <c:pt idx="507">
                  <c:v>12</c:v>
                </c:pt>
                <c:pt idx="508">
                  <c:v>11.2</c:v>
                </c:pt>
                <c:pt idx="509">
                  <c:v>12.4</c:v>
                </c:pt>
                <c:pt idx="510">
                  <c:v>9.8000000000000007</c:v>
                </c:pt>
                <c:pt idx="511">
                  <c:v>9.4</c:v>
                </c:pt>
                <c:pt idx="512">
                  <c:v>12.4</c:v>
                </c:pt>
                <c:pt idx="513">
                  <c:v>10.6</c:v>
                </c:pt>
                <c:pt idx="514">
                  <c:v>14.5</c:v>
                </c:pt>
                <c:pt idx="515">
                  <c:v>14.4</c:v>
                </c:pt>
                <c:pt idx="516">
                  <c:v>10.6</c:v>
                </c:pt>
                <c:pt idx="517">
                  <c:v>12.1</c:v>
                </c:pt>
                <c:pt idx="518">
                  <c:v>7.9</c:v>
                </c:pt>
                <c:pt idx="519">
                  <c:v>20.6</c:v>
                </c:pt>
                <c:pt idx="520">
                  <c:v>4.4000000000000004</c:v>
                </c:pt>
                <c:pt idx="521">
                  <c:v>14.4</c:v>
                </c:pt>
                <c:pt idx="522">
                  <c:v>10.5</c:v>
                </c:pt>
                <c:pt idx="523">
                  <c:v>5.8</c:v>
                </c:pt>
                <c:pt idx="524">
                  <c:v>9.6</c:v>
                </c:pt>
                <c:pt idx="525">
                  <c:v>10</c:v>
                </c:pt>
                <c:pt idx="526">
                  <c:v>5.4</c:v>
                </c:pt>
                <c:pt idx="527">
                  <c:v>11.9</c:v>
                </c:pt>
                <c:pt idx="528">
                  <c:v>12.5</c:v>
                </c:pt>
                <c:pt idx="529">
                  <c:v>6.7</c:v>
                </c:pt>
                <c:pt idx="530">
                  <c:v>13</c:v>
                </c:pt>
                <c:pt idx="531">
                  <c:v>11.1</c:v>
                </c:pt>
                <c:pt idx="532">
                  <c:v>8.4</c:v>
                </c:pt>
                <c:pt idx="533">
                  <c:v>7.9</c:v>
                </c:pt>
                <c:pt idx="534">
                  <c:v>7.2</c:v>
                </c:pt>
                <c:pt idx="535">
                  <c:v>16.399999999999999</c:v>
                </c:pt>
                <c:pt idx="536">
                  <c:v>12.2</c:v>
                </c:pt>
                <c:pt idx="537">
                  <c:v>11.3</c:v>
                </c:pt>
                <c:pt idx="538">
                  <c:v>5.8</c:v>
                </c:pt>
                <c:pt idx="539">
                  <c:v>10</c:v>
                </c:pt>
                <c:pt idx="540">
                  <c:v>6.8</c:v>
                </c:pt>
                <c:pt idx="541">
                  <c:v>10.3</c:v>
                </c:pt>
                <c:pt idx="542">
                  <c:v>6.7</c:v>
                </c:pt>
                <c:pt idx="543">
                  <c:v>8.9</c:v>
                </c:pt>
                <c:pt idx="544">
                  <c:v>7.3</c:v>
                </c:pt>
                <c:pt idx="545">
                  <c:v>9.8000000000000007</c:v>
                </c:pt>
                <c:pt idx="546">
                  <c:v>8.1</c:v>
                </c:pt>
                <c:pt idx="547">
                  <c:v>5.6</c:v>
                </c:pt>
                <c:pt idx="548">
                  <c:v>0</c:v>
                </c:pt>
                <c:pt idx="549">
                  <c:v>5.4</c:v>
                </c:pt>
                <c:pt idx="550">
                  <c:v>6.9</c:v>
                </c:pt>
                <c:pt idx="551">
                  <c:v>6.6</c:v>
                </c:pt>
                <c:pt idx="552">
                  <c:v>11.3</c:v>
                </c:pt>
                <c:pt idx="553">
                  <c:v>7.2</c:v>
                </c:pt>
                <c:pt idx="554">
                  <c:v>3.3</c:v>
                </c:pt>
                <c:pt idx="555">
                  <c:v>10.1</c:v>
                </c:pt>
                <c:pt idx="556">
                  <c:v>7.1</c:v>
                </c:pt>
                <c:pt idx="557">
                  <c:v>4.0999999999999996</c:v>
                </c:pt>
                <c:pt idx="558">
                  <c:v>10.5</c:v>
                </c:pt>
                <c:pt idx="559">
                  <c:v>6.2</c:v>
                </c:pt>
                <c:pt idx="560">
                  <c:v>5.6</c:v>
                </c:pt>
                <c:pt idx="561">
                  <c:v>4.7</c:v>
                </c:pt>
                <c:pt idx="562">
                  <c:v>6.8</c:v>
                </c:pt>
                <c:pt idx="563">
                  <c:v>5.8</c:v>
                </c:pt>
                <c:pt idx="564">
                  <c:v>9.4</c:v>
                </c:pt>
                <c:pt idx="565">
                  <c:v>1.5</c:v>
                </c:pt>
                <c:pt idx="566">
                  <c:v>5.7</c:v>
                </c:pt>
                <c:pt idx="567">
                  <c:v>3.9</c:v>
                </c:pt>
                <c:pt idx="568">
                  <c:v>7.3</c:v>
                </c:pt>
                <c:pt idx="569">
                  <c:v>3.3</c:v>
                </c:pt>
                <c:pt idx="570">
                  <c:v>8.4</c:v>
                </c:pt>
                <c:pt idx="571">
                  <c:v>5</c:v>
                </c:pt>
                <c:pt idx="572">
                  <c:v>6</c:v>
                </c:pt>
                <c:pt idx="573">
                  <c:v>14.2</c:v>
                </c:pt>
                <c:pt idx="574">
                  <c:v>3.8</c:v>
                </c:pt>
                <c:pt idx="575">
                  <c:v>6.4</c:v>
                </c:pt>
                <c:pt idx="576">
                  <c:v>6.1</c:v>
                </c:pt>
                <c:pt idx="577">
                  <c:v>6.6</c:v>
                </c:pt>
                <c:pt idx="578">
                  <c:v>7.9</c:v>
                </c:pt>
                <c:pt idx="579">
                  <c:v>7.6</c:v>
                </c:pt>
                <c:pt idx="580">
                  <c:v>6.1</c:v>
                </c:pt>
                <c:pt idx="581">
                  <c:v>6.5</c:v>
                </c:pt>
                <c:pt idx="582">
                  <c:v>6</c:v>
                </c:pt>
                <c:pt idx="583">
                  <c:v>10.199999999999999</c:v>
                </c:pt>
                <c:pt idx="584">
                  <c:v>4.8</c:v>
                </c:pt>
                <c:pt idx="585">
                  <c:v>6.1</c:v>
                </c:pt>
                <c:pt idx="586">
                  <c:v>6.7</c:v>
                </c:pt>
                <c:pt idx="587">
                  <c:v>11.7</c:v>
                </c:pt>
                <c:pt idx="588">
                  <c:v>10.1</c:v>
                </c:pt>
                <c:pt idx="589">
                  <c:v>9.4</c:v>
                </c:pt>
                <c:pt idx="590">
                  <c:v>11.8</c:v>
                </c:pt>
                <c:pt idx="591">
                  <c:v>8.5</c:v>
                </c:pt>
                <c:pt idx="592">
                  <c:v>5.9</c:v>
                </c:pt>
                <c:pt idx="593">
                  <c:v>5.7</c:v>
                </c:pt>
                <c:pt idx="594">
                  <c:v>9.6999999999999993</c:v>
                </c:pt>
                <c:pt idx="595">
                  <c:v>6.8</c:v>
                </c:pt>
                <c:pt idx="596">
                  <c:v>13.9</c:v>
                </c:pt>
                <c:pt idx="597">
                  <c:v>6.4</c:v>
                </c:pt>
                <c:pt idx="598">
                  <c:v>9.6999999999999993</c:v>
                </c:pt>
                <c:pt idx="599">
                  <c:v>5.4</c:v>
                </c:pt>
                <c:pt idx="600">
                  <c:v>7.6</c:v>
                </c:pt>
                <c:pt idx="601">
                  <c:v>5.4</c:v>
                </c:pt>
                <c:pt idx="602">
                  <c:v>8.1</c:v>
                </c:pt>
                <c:pt idx="603">
                  <c:v>8.5</c:v>
                </c:pt>
                <c:pt idx="604">
                  <c:v>6.5</c:v>
                </c:pt>
                <c:pt idx="605">
                  <c:v>5.4</c:v>
                </c:pt>
                <c:pt idx="606">
                  <c:v>8.5</c:v>
                </c:pt>
                <c:pt idx="607">
                  <c:v>6.7</c:v>
                </c:pt>
                <c:pt idx="608">
                  <c:v>4.9000000000000004</c:v>
                </c:pt>
                <c:pt idx="609">
                  <c:v>9.6999999999999993</c:v>
                </c:pt>
                <c:pt idx="610">
                  <c:v>10.7</c:v>
                </c:pt>
                <c:pt idx="611">
                  <c:v>6.8</c:v>
                </c:pt>
                <c:pt idx="612">
                  <c:v>7.4</c:v>
                </c:pt>
                <c:pt idx="613">
                  <c:v>10.4</c:v>
                </c:pt>
                <c:pt idx="614">
                  <c:v>7.7</c:v>
                </c:pt>
                <c:pt idx="615">
                  <c:v>6.1</c:v>
                </c:pt>
                <c:pt idx="616">
                  <c:v>7</c:v>
                </c:pt>
                <c:pt idx="617">
                  <c:v>9.6</c:v>
                </c:pt>
                <c:pt idx="618">
                  <c:v>8.3000000000000007</c:v>
                </c:pt>
                <c:pt idx="619">
                  <c:v>5.4</c:v>
                </c:pt>
                <c:pt idx="620">
                  <c:v>10.4</c:v>
                </c:pt>
                <c:pt idx="621">
                  <c:v>8.6</c:v>
                </c:pt>
                <c:pt idx="622">
                  <c:v>10</c:v>
                </c:pt>
                <c:pt idx="623">
                  <c:v>7.9</c:v>
                </c:pt>
                <c:pt idx="624">
                  <c:v>7.5</c:v>
                </c:pt>
                <c:pt idx="625">
                  <c:v>9.4</c:v>
                </c:pt>
                <c:pt idx="626">
                  <c:v>7.8</c:v>
                </c:pt>
                <c:pt idx="627">
                  <c:v>4.5</c:v>
                </c:pt>
                <c:pt idx="628">
                  <c:v>6.8</c:v>
                </c:pt>
                <c:pt idx="629">
                  <c:v>18.100000000000001</c:v>
                </c:pt>
                <c:pt idx="630">
                  <c:v>7</c:v>
                </c:pt>
                <c:pt idx="631">
                  <c:v>5.8</c:v>
                </c:pt>
                <c:pt idx="632">
                  <c:v>7.5</c:v>
                </c:pt>
                <c:pt idx="633">
                  <c:v>10.4</c:v>
                </c:pt>
                <c:pt idx="634">
                  <c:v>5.5</c:v>
                </c:pt>
                <c:pt idx="635">
                  <c:v>9.1999999999999993</c:v>
                </c:pt>
                <c:pt idx="636">
                  <c:v>8</c:v>
                </c:pt>
                <c:pt idx="637">
                  <c:v>5.6</c:v>
                </c:pt>
                <c:pt idx="638">
                  <c:v>10.3</c:v>
                </c:pt>
                <c:pt idx="639">
                  <c:v>7.6</c:v>
                </c:pt>
                <c:pt idx="640">
                  <c:v>9.8000000000000007</c:v>
                </c:pt>
                <c:pt idx="641">
                  <c:v>6</c:v>
                </c:pt>
                <c:pt idx="642">
                  <c:v>7.4</c:v>
                </c:pt>
                <c:pt idx="643">
                  <c:v>7.9</c:v>
                </c:pt>
                <c:pt idx="644">
                  <c:v>9.8000000000000007</c:v>
                </c:pt>
                <c:pt idx="645">
                  <c:v>6.1</c:v>
                </c:pt>
                <c:pt idx="646">
                  <c:v>7.5</c:v>
                </c:pt>
                <c:pt idx="647">
                  <c:v>6.3</c:v>
                </c:pt>
                <c:pt idx="648">
                  <c:v>7.8</c:v>
                </c:pt>
                <c:pt idx="649">
                  <c:v>9.4</c:v>
                </c:pt>
                <c:pt idx="650">
                  <c:v>8</c:v>
                </c:pt>
                <c:pt idx="651">
                  <c:v>5.5</c:v>
                </c:pt>
                <c:pt idx="652">
                  <c:v>10.5</c:v>
                </c:pt>
                <c:pt idx="653">
                  <c:v>9.6</c:v>
                </c:pt>
                <c:pt idx="654">
                  <c:v>8.9</c:v>
                </c:pt>
                <c:pt idx="655">
                  <c:v>9.6</c:v>
                </c:pt>
                <c:pt idx="656">
                  <c:v>6.5</c:v>
                </c:pt>
                <c:pt idx="657">
                  <c:v>9.5</c:v>
                </c:pt>
                <c:pt idx="658">
                  <c:v>8.8000000000000007</c:v>
                </c:pt>
                <c:pt idx="659">
                  <c:v>5.7</c:v>
                </c:pt>
                <c:pt idx="660">
                  <c:v>6.2</c:v>
                </c:pt>
                <c:pt idx="661">
                  <c:v>5.2</c:v>
                </c:pt>
                <c:pt idx="662">
                  <c:v>5.4</c:v>
                </c:pt>
                <c:pt idx="663">
                  <c:v>8.3000000000000007</c:v>
                </c:pt>
                <c:pt idx="664">
                  <c:v>4.9000000000000004</c:v>
                </c:pt>
                <c:pt idx="665">
                  <c:v>8</c:v>
                </c:pt>
                <c:pt idx="666">
                  <c:v>8.6999999999999993</c:v>
                </c:pt>
                <c:pt idx="667">
                  <c:v>8</c:v>
                </c:pt>
                <c:pt idx="668">
                  <c:v>6.3</c:v>
                </c:pt>
                <c:pt idx="669">
                  <c:v>5.6</c:v>
                </c:pt>
                <c:pt idx="670">
                  <c:v>10</c:v>
                </c:pt>
                <c:pt idx="671">
                  <c:v>16.2</c:v>
                </c:pt>
                <c:pt idx="672">
                  <c:v>9.9</c:v>
                </c:pt>
                <c:pt idx="673">
                  <c:v>6.7</c:v>
                </c:pt>
                <c:pt idx="674">
                  <c:v>5.4</c:v>
                </c:pt>
                <c:pt idx="675">
                  <c:v>7.9</c:v>
                </c:pt>
                <c:pt idx="676">
                  <c:v>8.9</c:v>
                </c:pt>
                <c:pt idx="677">
                  <c:v>13</c:v>
                </c:pt>
                <c:pt idx="678">
                  <c:v>7.9</c:v>
                </c:pt>
                <c:pt idx="679">
                  <c:v>5.3</c:v>
                </c:pt>
                <c:pt idx="680">
                  <c:v>9.4</c:v>
                </c:pt>
                <c:pt idx="681">
                  <c:v>6.2</c:v>
                </c:pt>
                <c:pt idx="682">
                  <c:v>7.7</c:v>
                </c:pt>
                <c:pt idx="683">
                  <c:v>9.9</c:v>
                </c:pt>
                <c:pt idx="684">
                  <c:v>5.5</c:v>
                </c:pt>
                <c:pt idx="685">
                  <c:v>7</c:v>
                </c:pt>
                <c:pt idx="686">
                  <c:v>10.7</c:v>
                </c:pt>
                <c:pt idx="687">
                  <c:v>8.6999999999999993</c:v>
                </c:pt>
                <c:pt idx="688">
                  <c:v>9.1999999999999993</c:v>
                </c:pt>
                <c:pt idx="689">
                  <c:v>5.5</c:v>
                </c:pt>
                <c:pt idx="690">
                  <c:v>5.3</c:v>
                </c:pt>
                <c:pt idx="691">
                  <c:v>8.8000000000000007</c:v>
                </c:pt>
                <c:pt idx="692">
                  <c:v>8.1</c:v>
                </c:pt>
                <c:pt idx="693">
                  <c:v>7.8</c:v>
                </c:pt>
                <c:pt idx="694">
                  <c:v>7</c:v>
                </c:pt>
                <c:pt idx="695">
                  <c:v>11.5</c:v>
                </c:pt>
                <c:pt idx="696">
                  <c:v>5.9</c:v>
                </c:pt>
                <c:pt idx="697">
                  <c:v>6.2</c:v>
                </c:pt>
                <c:pt idx="698">
                  <c:v>8</c:v>
                </c:pt>
                <c:pt idx="699">
                  <c:v>5.4</c:v>
                </c:pt>
                <c:pt idx="700">
                  <c:v>5.3</c:v>
                </c:pt>
                <c:pt idx="701">
                  <c:v>9.8000000000000007</c:v>
                </c:pt>
                <c:pt idx="702">
                  <c:v>3.7</c:v>
                </c:pt>
                <c:pt idx="703">
                  <c:v>6.2</c:v>
                </c:pt>
                <c:pt idx="704">
                  <c:v>8.1999999999999993</c:v>
                </c:pt>
                <c:pt idx="705">
                  <c:v>8.6999999999999993</c:v>
                </c:pt>
                <c:pt idx="706">
                  <c:v>6.8</c:v>
                </c:pt>
                <c:pt idx="707">
                  <c:v>7.8</c:v>
                </c:pt>
                <c:pt idx="708">
                  <c:v>7.3</c:v>
                </c:pt>
                <c:pt idx="709">
                  <c:v>6.6</c:v>
                </c:pt>
                <c:pt idx="710">
                  <c:v>5.4</c:v>
                </c:pt>
                <c:pt idx="711">
                  <c:v>8.1</c:v>
                </c:pt>
                <c:pt idx="712">
                  <c:v>6.3</c:v>
                </c:pt>
                <c:pt idx="713">
                  <c:v>7.5</c:v>
                </c:pt>
                <c:pt idx="714">
                  <c:v>10.1</c:v>
                </c:pt>
                <c:pt idx="715">
                  <c:v>3.3</c:v>
                </c:pt>
                <c:pt idx="716">
                  <c:v>7.4</c:v>
                </c:pt>
                <c:pt idx="717">
                  <c:v>12.1</c:v>
                </c:pt>
                <c:pt idx="718">
                  <c:v>7.3</c:v>
                </c:pt>
                <c:pt idx="719">
                  <c:v>8.6</c:v>
                </c:pt>
                <c:pt idx="720">
                  <c:v>6.4</c:v>
                </c:pt>
                <c:pt idx="721">
                  <c:v>6</c:v>
                </c:pt>
                <c:pt idx="722">
                  <c:v>4.3</c:v>
                </c:pt>
                <c:pt idx="723">
                  <c:v>8.8000000000000007</c:v>
                </c:pt>
                <c:pt idx="724">
                  <c:v>7</c:v>
                </c:pt>
                <c:pt idx="725">
                  <c:v>4.3</c:v>
                </c:pt>
                <c:pt idx="726">
                  <c:v>5.5</c:v>
                </c:pt>
                <c:pt idx="727">
                  <c:v>7.9</c:v>
                </c:pt>
                <c:pt idx="728">
                  <c:v>5.3</c:v>
                </c:pt>
                <c:pt idx="729">
                  <c:v>10.6</c:v>
                </c:pt>
                <c:pt idx="730">
                  <c:v>9.1999999999999993</c:v>
                </c:pt>
                <c:pt idx="731">
                  <c:v>7.4</c:v>
                </c:pt>
                <c:pt idx="732">
                  <c:v>7.3</c:v>
                </c:pt>
                <c:pt idx="733">
                  <c:v>6.3</c:v>
                </c:pt>
                <c:pt idx="734">
                  <c:v>8.1999999999999993</c:v>
                </c:pt>
                <c:pt idx="735">
                  <c:v>9.1999999999999993</c:v>
                </c:pt>
                <c:pt idx="736">
                  <c:v>9.6999999999999993</c:v>
                </c:pt>
                <c:pt idx="737">
                  <c:v>6.3</c:v>
                </c:pt>
                <c:pt idx="738">
                  <c:v>6.1</c:v>
                </c:pt>
                <c:pt idx="739">
                  <c:v>6.5</c:v>
                </c:pt>
                <c:pt idx="740">
                  <c:v>5.5</c:v>
                </c:pt>
                <c:pt idx="741">
                  <c:v>10.5</c:v>
                </c:pt>
                <c:pt idx="742">
                  <c:v>9.8000000000000007</c:v>
                </c:pt>
                <c:pt idx="743">
                  <c:v>6.3</c:v>
                </c:pt>
                <c:pt idx="744">
                  <c:v>9.3000000000000007</c:v>
                </c:pt>
                <c:pt idx="745">
                  <c:v>10.1</c:v>
                </c:pt>
                <c:pt idx="746">
                  <c:v>8.3000000000000007</c:v>
                </c:pt>
                <c:pt idx="747">
                  <c:v>6.1</c:v>
                </c:pt>
                <c:pt idx="748">
                  <c:v>9.4</c:v>
                </c:pt>
                <c:pt idx="749">
                  <c:v>6.9</c:v>
                </c:pt>
                <c:pt idx="750">
                  <c:v>6.9</c:v>
                </c:pt>
                <c:pt idx="751">
                  <c:v>7.3</c:v>
                </c:pt>
                <c:pt idx="752">
                  <c:v>8.9</c:v>
                </c:pt>
                <c:pt idx="753">
                  <c:v>8.8000000000000007</c:v>
                </c:pt>
                <c:pt idx="754">
                  <c:v>7.7</c:v>
                </c:pt>
                <c:pt idx="755">
                  <c:v>6.8</c:v>
                </c:pt>
                <c:pt idx="756">
                  <c:v>8</c:v>
                </c:pt>
                <c:pt idx="757">
                  <c:v>7.8</c:v>
                </c:pt>
                <c:pt idx="758">
                  <c:v>5.6</c:v>
                </c:pt>
                <c:pt idx="759">
                  <c:v>5.0999999999999996</c:v>
                </c:pt>
                <c:pt idx="760">
                  <c:v>7.3</c:v>
                </c:pt>
                <c:pt idx="761">
                  <c:v>5.3</c:v>
                </c:pt>
                <c:pt idx="762">
                  <c:v>7</c:v>
                </c:pt>
                <c:pt idx="763">
                  <c:v>7.3</c:v>
                </c:pt>
                <c:pt idx="764">
                  <c:v>7.8</c:v>
                </c:pt>
                <c:pt idx="765">
                  <c:v>7.4</c:v>
                </c:pt>
                <c:pt idx="766">
                  <c:v>6.9</c:v>
                </c:pt>
                <c:pt idx="767">
                  <c:v>8.5</c:v>
                </c:pt>
                <c:pt idx="768">
                  <c:v>11</c:v>
                </c:pt>
                <c:pt idx="769">
                  <c:v>8.3000000000000007</c:v>
                </c:pt>
                <c:pt idx="770">
                  <c:v>5.6</c:v>
                </c:pt>
                <c:pt idx="771">
                  <c:v>11.5</c:v>
                </c:pt>
                <c:pt idx="772">
                  <c:v>6.9</c:v>
                </c:pt>
                <c:pt idx="773">
                  <c:v>6.8</c:v>
                </c:pt>
                <c:pt idx="774">
                  <c:v>9.6</c:v>
                </c:pt>
                <c:pt idx="775">
                  <c:v>6.5</c:v>
                </c:pt>
                <c:pt idx="776">
                  <c:v>6.2</c:v>
                </c:pt>
                <c:pt idx="777">
                  <c:v>7.7</c:v>
                </c:pt>
                <c:pt idx="778">
                  <c:v>6.2</c:v>
                </c:pt>
                <c:pt idx="779">
                  <c:v>6.5</c:v>
                </c:pt>
                <c:pt idx="780">
                  <c:v>8.9</c:v>
                </c:pt>
                <c:pt idx="781">
                  <c:v>7</c:v>
                </c:pt>
                <c:pt idx="782">
                  <c:v>5.5</c:v>
                </c:pt>
                <c:pt idx="783">
                  <c:v>5</c:v>
                </c:pt>
                <c:pt idx="784">
                  <c:v>10.1</c:v>
                </c:pt>
                <c:pt idx="785">
                  <c:v>9</c:v>
                </c:pt>
                <c:pt idx="786">
                  <c:v>4.0999999999999996</c:v>
                </c:pt>
                <c:pt idx="787">
                  <c:v>6</c:v>
                </c:pt>
                <c:pt idx="788">
                  <c:v>5.3</c:v>
                </c:pt>
                <c:pt idx="789">
                  <c:v>3.2</c:v>
                </c:pt>
                <c:pt idx="790">
                  <c:v>3.2</c:v>
                </c:pt>
                <c:pt idx="791">
                  <c:v>6</c:v>
                </c:pt>
                <c:pt idx="792">
                  <c:v>6.6</c:v>
                </c:pt>
                <c:pt idx="793">
                  <c:v>2.6</c:v>
                </c:pt>
                <c:pt idx="794">
                  <c:v>4.7</c:v>
                </c:pt>
                <c:pt idx="795">
                  <c:v>6.6</c:v>
                </c:pt>
                <c:pt idx="796">
                  <c:v>4.7</c:v>
                </c:pt>
                <c:pt idx="797">
                  <c:v>3.9</c:v>
                </c:pt>
                <c:pt idx="798">
                  <c:v>3.9</c:v>
                </c:pt>
                <c:pt idx="799">
                  <c:v>3.7</c:v>
                </c:pt>
                <c:pt idx="800">
                  <c:v>4</c:v>
                </c:pt>
                <c:pt idx="801">
                  <c:v>4</c:v>
                </c:pt>
                <c:pt idx="802">
                  <c:v>3.3</c:v>
                </c:pt>
                <c:pt idx="803">
                  <c:v>3.2</c:v>
                </c:pt>
                <c:pt idx="804">
                  <c:v>3</c:v>
                </c:pt>
                <c:pt idx="805">
                  <c:v>4.4000000000000004</c:v>
                </c:pt>
                <c:pt idx="806">
                  <c:v>3.7</c:v>
                </c:pt>
                <c:pt idx="807">
                  <c:v>3.8</c:v>
                </c:pt>
                <c:pt idx="808">
                  <c:v>5</c:v>
                </c:pt>
                <c:pt idx="809">
                  <c:v>3.8</c:v>
                </c:pt>
                <c:pt idx="810">
                  <c:v>4.2</c:v>
                </c:pt>
                <c:pt idx="811">
                  <c:v>4.8</c:v>
                </c:pt>
                <c:pt idx="812">
                  <c:v>4.8</c:v>
                </c:pt>
                <c:pt idx="813">
                  <c:v>2.6</c:v>
                </c:pt>
                <c:pt idx="814">
                  <c:v>4.2</c:v>
                </c:pt>
                <c:pt idx="815">
                  <c:v>7.5</c:v>
                </c:pt>
                <c:pt idx="816">
                  <c:v>3.6</c:v>
                </c:pt>
                <c:pt idx="817">
                  <c:v>6.3</c:v>
                </c:pt>
                <c:pt idx="818">
                  <c:v>3.8</c:v>
                </c:pt>
                <c:pt idx="819">
                  <c:v>4.3</c:v>
                </c:pt>
                <c:pt idx="820">
                  <c:v>4.5999999999999996</c:v>
                </c:pt>
                <c:pt idx="821">
                  <c:v>5.0999999999999996</c:v>
                </c:pt>
                <c:pt idx="822">
                  <c:v>3.5</c:v>
                </c:pt>
                <c:pt idx="823">
                  <c:v>4.2</c:v>
                </c:pt>
                <c:pt idx="824">
                  <c:v>3.7</c:v>
                </c:pt>
                <c:pt idx="825">
                  <c:v>5.6</c:v>
                </c:pt>
                <c:pt idx="826">
                  <c:v>3.9</c:v>
                </c:pt>
                <c:pt idx="827">
                  <c:v>5.4</c:v>
                </c:pt>
                <c:pt idx="828">
                  <c:v>3.8</c:v>
                </c:pt>
                <c:pt idx="829">
                  <c:v>1.5</c:v>
                </c:pt>
                <c:pt idx="830">
                  <c:v>4.9000000000000004</c:v>
                </c:pt>
                <c:pt idx="831">
                  <c:v>3.6</c:v>
                </c:pt>
                <c:pt idx="832">
                  <c:v>5.0999999999999996</c:v>
                </c:pt>
                <c:pt idx="833">
                  <c:v>3.4</c:v>
                </c:pt>
                <c:pt idx="834">
                  <c:v>4.8</c:v>
                </c:pt>
                <c:pt idx="835">
                  <c:v>3.7</c:v>
                </c:pt>
                <c:pt idx="836">
                  <c:v>1.8</c:v>
                </c:pt>
                <c:pt idx="837">
                  <c:v>4.4000000000000004</c:v>
                </c:pt>
                <c:pt idx="838">
                  <c:v>5.4</c:v>
                </c:pt>
                <c:pt idx="839">
                  <c:v>6.4</c:v>
                </c:pt>
                <c:pt idx="840">
                  <c:v>3.5</c:v>
                </c:pt>
                <c:pt idx="841">
                  <c:v>5</c:v>
                </c:pt>
                <c:pt idx="842">
                  <c:v>5.0999999999999996</c:v>
                </c:pt>
                <c:pt idx="843">
                  <c:v>2.1</c:v>
                </c:pt>
                <c:pt idx="844">
                  <c:v>8.6999999999999993</c:v>
                </c:pt>
                <c:pt idx="845">
                  <c:v>4.8</c:v>
                </c:pt>
                <c:pt idx="846">
                  <c:v>4.8</c:v>
                </c:pt>
                <c:pt idx="847">
                  <c:v>5.8</c:v>
                </c:pt>
                <c:pt idx="848">
                  <c:v>2.4</c:v>
                </c:pt>
                <c:pt idx="849">
                  <c:v>5.7</c:v>
                </c:pt>
                <c:pt idx="850">
                  <c:v>8</c:v>
                </c:pt>
                <c:pt idx="851">
                  <c:v>4</c:v>
                </c:pt>
                <c:pt idx="852">
                  <c:v>6.3</c:v>
                </c:pt>
                <c:pt idx="853">
                  <c:v>3.8</c:v>
                </c:pt>
                <c:pt idx="854">
                  <c:v>3.2</c:v>
                </c:pt>
                <c:pt idx="855">
                  <c:v>5.5</c:v>
                </c:pt>
                <c:pt idx="856">
                  <c:v>6.2</c:v>
                </c:pt>
                <c:pt idx="857">
                  <c:v>9.6</c:v>
                </c:pt>
                <c:pt idx="858">
                  <c:v>4.5999999999999996</c:v>
                </c:pt>
                <c:pt idx="859">
                  <c:v>2.8</c:v>
                </c:pt>
                <c:pt idx="860">
                  <c:v>3.3</c:v>
                </c:pt>
                <c:pt idx="861">
                  <c:v>5.0999999999999996</c:v>
                </c:pt>
                <c:pt idx="862">
                  <c:v>2.9</c:v>
                </c:pt>
                <c:pt idx="863">
                  <c:v>3.4</c:v>
                </c:pt>
                <c:pt idx="864">
                  <c:v>4.9000000000000004</c:v>
                </c:pt>
                <c:pt idx="865">
                  <c:v>5.8</c:v>
                </c:pt>
                <c:pt idx="866">
                  <c:v>5</c:v>
                </c:pt>
                <c:pt idx="867">
                  <c:v>4.8</c:v>
                </c:pt>
                <c:pt idx="868">
                  <c:v>4.8</c:v>
                </c:pt>
                <c:pt idx="869">
                  <c:v>4</c:v>
                </c:pt>
                <c:pt idx="870">
                  <c:v>5.4</c:v>
                </c:pt>
                <c:pt idx="871">
                  <c:v>2.9</c:v>
                </c:pt>
                <c:pt idx="872">
                  <c:v>1.8</c:v>
                </c:pt>
                <c:pt idx="873">
                  <c:v>5.5</c:v>
                </c:pt>
                <c:pt idx="874">
                  <c:v>5.6</c:v>
                </c:pt>
                <c:pt idx="875">
                  <c:v>4.4000000000000004</c:v>
                </c:pt>
                <c:pt idx="876">
                  <c:v>5.4</c:v>
                </c:pt>
                <c:pt idx="877">
                  <c:v>6.6</c:v>
                </c:pt>
                <c:pt idx="878">
                  <c:v>8</c:v>
                </c:pt>
                <c:pt idx="879">
                  <c:v>4.8</c:v>
                </c:pt>
                <c:pt idx="880">
                  <c:v>4.2</c:v>
                </c:pt>
                <c:pt idx="881">
                  <c:v>4.3</c:v>
                </c:pt>
                <c:pt idx="882">
                  <c:v>8.4</c:v>
                </c:pt>
                <c:pt idx="883">
                  <c:v>6.2</c:v>
                </c:pt>
                <c:pt idx="884">
                  <c:v>3</c:v>
                </c:pt>
                <c:pt idx="885">
                  <c:v>5.2</c:v>
                </c:pt>
                <c:pt idx="886">
                  <c:v>4.7</c:v>
                </c:pt>
                <c:pt idx="887">
                  <c:v>5.7</c:v>
                </c:pt>
                <c:pt idx="888">
                  <c:v>7</c:v>
                </c:pt>
                <c:pt idx="889">
                  <c:v>5.9</c:v>
                </c:pt>
                <c:pt idx="890">
                  <c:v>7.3</c:v>
                </c:pt>
                <c:pt idx="891">
                  <c:v>3.1</c:v>
                </c:pt>
                <c:pt idx="892">
                  <c:v>6.8</c:v>
                </c:pt>
                <c:pt idx="893">
                  <c:v>3.3</c:v>
                </c:pt>
                <c:pt idx="894">
                  <c:v>4.5</c:v>
                </c:pt>
                <c:pt idx="895">
                  <c:v>5.6</c:v>
                </c:pt>
                <c:pt idx="896">
                  <c:v>2.9</c:v>
                </c:pt>
                <c:pt idx="897">
                  <c:v>5.0999999999999996</c:v>
                </c:pt>
                <c:pt idx="898">
                  <c:v>5.8</c:v>
                </c:pt>
                <c:pt idx="899">
                  <c:v>1.9</c:v>
                </c:pt>
                <c:pt idx="900">
                  <c:v>1.4</c:v>
                </c:pt>
                <c:pt idx="901">
                  <c:v>1.9</c:v>
                </c:pt>
                <c:pt idx="902">
                  <c:v>6.8</c:v>
                </c:pt>
                <c:pt idx="903">
                  <c:v>5.0999999999999996</c:v>
                </c:pt>
                <c:pt idx="904">
                  <c:v>5.4</c:v>
                </c:pt>
                <c:pt idx="905">
                  <c:v>7</c:v>
                </c:pt>
                <c:pt idx="906">
                  <c:v>5.6</c:v>
                </c:pt>
                <c:pt idx="907">
                  <c:v>3.8</c:v>
                </c:pt>
                <c:pt idx="908">
                  <c:v>6.7</c:v>
                </c:pt>
                <c:pt idx="909">
                  <c:v>5.8</c:v>
                </c:pt>
                <c:pt idx="910">
                  <c:v>6</c:v>
                </c:pt>
                <c:pt idx="911">
                  <c:v>2</c:v>
                </c:pt>
                <c:pt idx="912">
                  <c:v>5.3</c:v>
                </c:pt>
                <c:pt idx="913">
                  <c:v>4.5</c:v>
                </c:pt>
                <c:pt idx="914">
                  <c:v>4.3</c:v>
                </c:pt>
                <c:pt idx="915">
                  <c:v>4.5999999999999996</c:v>
                </c:pt>
                <c:pt idx="916">
                  <c:v>6.4</c:v>
                </c:pt>
                <c:pt idx="917">
                  <c:v>6.9</c:v>
                </c:pt>
                <c:pt idx="918">
                  <c:v>9.1999999999999993</c:v>
                </c:pt>
                <c:pt idx="919">
                  <c:v>1.9</c:v>
                </c:pt>
                <c:pt idx="920">
                  <c:v>2.4</c:v>
                </c:pt>
                <c:pt idx="921">
                  <c:v>7.3</c:v>
                </c:pt>
                <c:pt idx="922">
                  <c:v>2.9</c:v>
                </c:pt>
                <c:pt idx="923">
                  <c:v>2.1</c:v>
                </c:pt>
                <c:pt idx="924">
                  <c:v>3.5</c:v>
                </c:pt>
                <c:pt idx="925">
                  <c:v>2.2999999999999998</c:v>
                </c:pt>
                <c:pt idx="926">
                  <c:v>3.7</c:v>
                </c:pt>
                <c:pt idx="927">
                  <c:v>4.4000000000000004</c:v>
                </c:pt>
                <c:pt idx="928">
                  <c:v>3.9</c:v>
                </c:pt>
                <c:pt idx="929">
                  <c:v>2.5</c:v>
                </c:pt>
                <c:pt idx="930">
                  <c:v>4.4000000000000004</c:v>
                </c:pt>
                <c:pt idx="931">
                  <c:v>6.9</c:v>
                </c:pt>
                <c:pt idx="932">
                  <c:v>2.5</c:v>
                </c:pt>
                <c:pt idx="933">
                  <c:v>4.5</c:v>
                </c:pt>
                <c:pt idx="934">
                  <c:v>1.8</c:v>
                </c:pt>
                <c:pt idx="935">
                  <c:v>5.7</c:v>
                </c:pt>
                <c:pt idx="936">
                  <c:v>4</c:v>
                </c:pt>
                <c:pt idx="937">
                  <c:v>5.3</c:v>
                </c:pt>
                <c:pt idx="938">
                  <c:v>2.4</c:v>
                </c:pt>
                <c:pt idx="939">
                  <c:v>5.9</c:v>
                </c:pt>
                <c:pt idx="940">
                  <c:v>6.5</c:v>
                </c:pt>
                <c:pt idx="941">
                  <c:v>8.3000000000000007</c:v>
                </c:pt>
                <c:pt idx="942">
                  <c:v>3.9</c:v>
                </c:pt>
                <c:pt idx="943">
                  <c:v>7.2</c:v>
                </c:pt>
                <c:pt idx="944">
                  <c:v>3.1</c:v>
                </c:pt>
                <c:pt idx="945">
                  <c:v>5</c:v>
                </c:pt>
                <c:pt idx="946">
                  <c:v>3</c:v>
                </c:pt>
                <c:pt idx="947">
                  <c:v>2.8</c:v>
                </c:pt>
                <c:pt idx="948">
                  <c:v>5.6</c:v>
                </c:pt>
                <c:pt idx="949">
                  <c:v>2.6</c:v>
                </c:pt>
                <c:pt idx="950">
                  <c:v>8.6999999999999993</c:v>
                </c:pt>
                <c:pt idx="951">
                  <c:v>3.2</c:v>
                </c:pt>
                <c:pt idx="952">
                  <c:v>5.8</c:v>
                </c:pt>
                <c:pt idx="953">
                  <c:v>1.7</c:v>
                </c:pt>
                <c:pt idx="954">
                  <c:v>4.7</c:v>
                </c:pt>
                <c:pt idx="955">
                  <c:v>2.7</c:v>
                </c:pt>
                <c:pt idx="956">
                  <c:v>1.7</c:v>
                </c:pt>
                <c:pt idx="957">
                  <c:v>8.1999999999999993</c:v>
                </c:pt>
                <c:pt idx="958">
                  <c:v>4</c:v>
                </c:pt>
                <c:pt idx="959">
                  <c:v>5.3</c:v>
                </c:pt>
                <c:pt idx="960">
                  <c:v>1.9</c:v>
                </c:pt>
                <c:pt idx="961">
                  <c:v>4.3</c:v>
                </c:pt>
                <c:pt idx="962">
                  <c:v>3.7</c:v>
                </c:pt>
                <c:pt idx="963">
                  <c:v>5.6</c:v>
                </c:pt>
                <c:pt idx="964">
                  <c:v>2.2999999999999998</c:v>
                </c:pt>
                <c:pt idx="965">
                  <c:v>5.7</c:v>
                </c:pt>
                <c:pt idx="966">
                  <c:v>3.8</c:v>
                </c:pt>
                <c:pt idx="967">
                  <c:v>5.5</c:v>
                </c:pt>
                <c:pt idx="968">
                  <c:v>5.8</c:v>
                </c:pt>
                <c:pt idx="969">
                  <c:v>4.0999999999999996</c:v>
                </c:pt>
                <c:pt idx="970">
                  <c:v>5.6</c:v>
                </c:pt>
                <c:pt idx="971">
                  <c:v>6.9</c:v>
                </c:pt>
                <c:pt idx="972">
                  <c:v>5</c:v>
                </c:pt>
                <c:pt idx="973">
                  <c:v>5.8</c:v>
                </c:pt>
                <c:pt idx="974">
                  <c:v>6.9</c:v>
                </c:pt>
                <c:pt idx="975">
                  <c:v>9</c:v>
                </c:pt>
                <c:pt idx="976">
                  <c:v>6.8</c:v>
                </c:pt>
                <c:pt idx="977">
                  <c:v>1.2</c:v>
                </c:pt>
                <c:pt idx="978">
                  <c:v>4</c:v>
                </c:pt>
                <c:pt idx="979">
                  <c:v>3.2</c:v>
                </c:pt>
                <c:pt idx="980">
                  <c:v>2.6</c:v>
                </c:pt>
                <c:pt idx="981">
                  <c:v>2.4</c:v>
                </c:pt>
                <c:pt idx="982">
                  <c:v>3</c:v>
                </c:pt>
                <c:pt idx="983">
                  <c:v>7</c:v>
                </c:pt>
                <c:pt idx="984">
                  <c:v>2.7</c:v>
                </c:pt>
                <c:pt idx="985">
                  <c:v>1</c:v>
                </c:pt>
                <c:pt idx="986">
                  <c:v>6.2</c:v>
                </c:pt>
                <c:pt idx="987">
                  <c:v>5.4</c:v>
                </c:pt>
                <c:pt idx="988">
                  <c:v>3.1</c:v>
                </c:pt>
                <c:pt idx="989">
                  <c:v>3.1</c:v>
                </c:pt>
                <c:pt idx="990">
                  <c:v>6.5</c:v>
                </c:pt>
                <c:pt idx="991">
                  <c:v>4.5999999999999996</c:v>
                </c:pt>
                <c:pt idx="992">
                  <c:v>11.2</c:v>
                </c:pt>
                <c:pt idx="993">
                  <c:v>7.7</c:v>
                </c:pt>
                <c:pt idx="994">
                  <c:v>9.1999999999999993</c:v>
                </c:pt>
                <c:pt idx="995">
                  <c:v>6.9</c:v>
                </c:pt>
                <c:pt idx="996">
                  <c:v>6.2</c:v>
                </c:pt>
                <c:pt idx="997">
                  <c:v>7.6</c:v>
                </c:pt>
                <c:pt idx="998">
                  <c:v>14</c:v>
                </c:pt>
                <c:pt idx="999">
                  <c:v>11.6</c:v>
                </c:pt>
                <c:pt idx="1000">
                  <c:v>5.6</c:v>
                </c:pt>
                <c:pt idx="1001">
                  <c:v>9.9</c:v>
                </c:pt>
                <c:pt idx="1002">
                  <c:v>10.5</c:v>
                </c:pt>
                <c:pt idx="1003">
                  <c:v>7.1</c:v>
                </c:pt>
                <c:pt idx="1004">
                  <c:v>8.3000000000000007</c:v>
                </c:pt>
                <c:pt idx="1005">
                  <c:v>12.4</c:v>
                </c:pt>
                <c:pt idx="1006">
                  <c:v>11.5</c:v>
                </c:pt>
                <c:pt idx="1007">
                  <c:v>7.6</c:v>
                </c:pt>
                <c:pt idx="1008">
                  <c:v>6.1</c:v>
                </c:pt>
                <c:pt idx="1009">
                  <c:v>8.6999999999999993</c:v>
                </c:pt>
                <c:pt idx="1010">
                  <c:v>9.1</c:v>
                </c:pt>
                <c:pt idx="1011">
                  <c:v>6.8</c:v>
                </c:pt>
                <c:pt idx="1012">
                  <c:v>6.8</c:v>
                </c:pt>
                <c:pt idx="1013">
                  <c:v>13.2</c:v>
                </c:pt>
                <c:pt idx="1014">
                  <c:v>11.1</c:v>
                </c:pt>
                <c:pt idx="1015">
                  <c:v>9</c:v>
                </c:pt>
                <c:pt idx="1016">
                  <c:v>12.7</c:v>
                </c:pt>
                <c:pt idx="1017">
                  <c:v>7.9</c:v>
                </c:pt>
                <c:pt idx="1018">
                  <c:v>15.9</c:v>
                </c:pt>
                <c:pt idx="1019">
                  <c:v>9.3000000000000007</c:v>
                </c:pt>
                <c:pt idx="1020">
                  <c:v>7.1</c:v>
                </c:pt>
                <c:pt idx="1021">
                  <c:v>10.199999999999999</c:v>
                </c:pt>
                <c:pt idx="1022">
                  <c:v>6.8</c:v>
                </c:pt>
                <c:pt idx="1023">
                  <c:v>8.9</c:v>
                </c:pt>
                <c:pt idx="1024">
                  <c:v>6.2</c:v>
                </c:pt>
                <c:pt idx="1025">
                  <c:v>11.8</c:v>
                </c:pt>
                <c:pt idx="1026">
                  <c:v>6.9</c:v>
                </c:pt>
                <c:pt idx="1027">
                  <c:v>9.6999999999999993</c:v>
                </c:pt>
                <c:pt idx="1028">
                  <c:v>9.6999999999999993</c:v>
                </c:pt>
                <c:pt idx="1029">
                  <c:v>8.6999999999999993</c:v>
                </c:pt>
                <c:pt idx="1030">
                  <c:v>12</c:v>
                </c:pt>
                <c:pt idx="1031">
                  <c:v>6</c:v>
                </c:pt>
                <c:pt idx="1032">
                  <c:v>11.4</c:v>
                </c:pt>
                <c:pt idx="1033">
                  <c:v>6.8</c:v>
                </c:pt>
                <c:pt idx="1034">
                  <c:v>7.2</c:v>
                </c:pt>
                <c:pt idx="1035">
                  <c:v>9.3000000000000007</c:v>
                </c:pt>
                <c:pt idx="1036">
                  <c:v>9</c:v>
                </c:pt>
                <c:pt idx="1037">
                  <c:v>10.1</c:v>
                </c:pt>
                <c:pt idx="1038">
                  <c:v>5.9</c:v>
                </c:pt>
                <c:pt idx="1039">
                  <c:v>8.1999999999999993</c:v>
                </c:pt>
                <c:pt idx="1040">
                  <c:v>9.8000000000000007</c:v>
                </c:pt>
                <c:pt idx="1041">
                  <c:v>8.1</c:v>
                </c:pt>
                <c:pt idx="1042">
                  <c:v>9.6</c:v>
                </c:pt>
                <c:pt idx="1043">
                  <c:v>8</c:v>
                </c:pt>
                <c:pt idx="1044">
                  <c:v>6.6</c:v>
                </c:pt>
                <c:pt idx="1045">
                  <c:v>8.8000000000000007</c:v>
                </c:pt>
                <c:pt idx="1046">
                  <c:v>6.7</c:v>
                </c:pt>
                <c:pt idx="1047">
                  <c:v>12.3</c:v>
                </c:pt>
                <c:pt idx="1048">
                  <c:v>8.4</c:v>
                </c:pt>
                <c:pt idx="1049">
                  <c:v>8.8000000000000007</c:v>
                </c:pt>
                <c:pt idx="1050">
                  <c:v>9.1</c:v>
                </c:pt>
                <c:pt idx="1051">
                  <c:v>7.7</c:v>
                </c:pt>
                <c:pt idx="1052">
                  <c:v>14.6</c:v>
                </c:pt>
                <c:pt idx="1053">
                  <c:v>15.7</c:v>
                </c:pt>
                <c:pt idx="1054">
                  <c:v>9.3000000000000007</c:v>
                </c:pt>
                <c:pt idx="1055">
                  <c:v>12.4</c:v>
                </c:pt>
                <c:pt idx="1056">
                  <c:v>7.8</c:v>
                </c:pt>
                <c:pt idx="1057">
                  <c:v>12.2</c:v>
                </c:pt>
                <c:pt idx="1058">
                  <c:v>17</c:v>
                </c:pt>
                <c:pt idx="1059">
                  <c:v>12.6</c:v>
                </c:pt>
                <c:pt idx="1060">
                  <c:v>8.4</c:v>
                </c:pt>
                <c:pt idx="1061">
                  <c:v>10.5</c:v>
                </c:pt>
                <c:pt idx="1062">
                  <c:v>6.7</c:v>
                </c:pt>
                <c:pt idx="1063">
                  <c:v>7.7</c:v>
                </c:pt>
                <c:pt idx="1064">
                  <c:v>7.6</c:v>
                </c:pt>
                <c:pt idx="1065">
                  <c:v>6.1</c:v>
                </c:pt>
                <c:pt idx="1066">
                  <c:v>19</c:v>
                </c:pt>
                <c:pt idx="1067">
                  <c:v>8.4</c:v>
                </c:pt>
                <c:pt idx="1068">
                  <c:v>8.6</c:v>
                </c:pt>
                <c:pt idx="1069">
                  <c:v>12.2</c:v>
                </c:pt>
                <c:pt idx="1070">
                  <c:v>9.1999999999999993</c:v>
                </c:pt>
                <c:pt idx="1071">
                  <c:v>7.7</c:v>
                </c:pt>
                <c:pt idx="1072">
                  <c:v>20.6</c:v>
                </c:pt>
                <c:pt idx="1073">
                  <c:v>6.2</c:v>
                </c:pt>
                <c:pt idx="1074">
                  <c:v>11.5</c:v>
                </c:pt>
                <c:pt idx="1075">
                  <c:v>14.7</c:v>
                </c:pt>
                <c:pt idx="1076">
                  <c:v>11.5</c:v>
                </c:pt>
                <c:pt idx="1077">
                  <c:v>7.4</c:v>
                </c:pt>
                <c:pt idx="1078">
                  <c:v>9.5</c:v>
                </c:pt>
                <c:pt idx="1079">
                  <c:v>10.4</c:v>
                </c:pt>
                <c:pt idx="1080">
                  <c:v>9.6</c:v>
                </c:pt>
                <c:pt idx="1081">
                  <c:v>10.3</c:v>
                </c:pt>
                <c:pt idx="1082">
                  <c:v>9.8000000000000007</c:v>
                </c:pt>
                <c:pt idx="1083">
                  <c:v>7.7</c:v>
                </c:pt>
                <c:pt idx="1084">
                  <c:v>9.6</c:v>
                </c:pt>
                <c:pt idx="1085">
                  <c:v>4.3</c:v>
                </c:pt>
                <c:pt idx="1086">
                  <c:v>8.6</c:v>
                </c:pt>
                <c:pt idx="1087">
                  <c:v>8.8000000000000007</c:v>
                </c:pt>
                <c:pt idx="1088">
                  <c:v>6.4</c:v>
                </c:pt>
                <c:pt idx="1089">
                  <c:v>13.9</c:v>
                </c:pt>
                <c:pt idx="1090">
                  <c:v>10.7</c:v>
                </c:pt>
                <c:pt idx="1091">
                  <c:v>8.3000000000000007</c:v>
                </c:pt>
                <c:pt idx="1092">
                  <c:v>9.1</c:v>
                </c:pt>
                <c:pt idx="1093">
                  <c:v>6.7</c:v>
                </c:pt>
                <c:pt idx="1094">
                  <c:v>11</c:v>
                </c:pt>
                <c:pt idx="1095">
                  <c:v>6.5</c:v>
                </c:pt>
                <c:pt idx="1096">
                  <c:v>11.8</c:v>
                </c:pt>
                <c:pt idx="1097">
                  <c:v>6.9</c:v>
                </c:pt>
                <c:pt idx="1098">
                  <c:v>5.7</c:v>
                </c:pt>
                <c:pt idx="1099">
                  <c:v>7</c:v>
                </c:pt>
                <c:pt idx="1100">
                  <c:v>6.4</c:v>
                </c:pt>
                <c:pt idx="1101">
                  <c:v>9.6</c:v>
                </c:pt>
                <c:pt idx="1102">
                  <c:v>8.5</c:v>
                </c:pt>
                <c:pt idx="1103">
                  <c:v>8.4</c:v>
                </c:pt>
                <c:pt idx="1104">
                  <c:v>14.6</c:v>
                </c:pt>
                <c:pt idx="1105">
                  <c:v>7.8</c:v>
                </c:pt>
                <c:pt idx="1106">
                  <c:v>7.9</c:v>
                </c:pt>
                <c:pt idx="1107">
                  <c:v>6.1</c:v>
                </c:pt>
                <c:pt idx="1108">
                  <c:v>12.6</c:v>
                </c:pt>
                <c:pt idx="1109">
                  <c:v>7.2</c:v>
                </c:pt>
                <c:pt idx="1110">
                  <c:v>10.199999999999999</c:v>
                </c:pt>
                <c:pt idx="1111">
                  <c:v>9.6999999999999993</c:v>
                </c:pt>
                <c:pt idx="1112">
                  <c:v>4.8</c:v>
                </c:pt>
                <c:pt idx="1113">
                  <c:v>10.1</c:v>
                </c:pt>
                <c:pt idx="1114">
                  <c:v>8.9</c:v>
                </c:pt>
                <c:pt idx="1115">
                  <c:v>6.4</c:v>
                </c:pt>
                <c:pt idx="1116">
                  <c:v>10.3</c:v>
                </c:pt>
                <c:pt idx="1117">
                  <c:v>9.6</c:v>
                </c:pt>
                <c:pt idx="1118">
                  <c:v>5.7</c:v>
                </c:pt>
                <c:pt idx="1119">
                  <c:v>10.1</c:v>
                </c:pt>
                <c:pt idx="1120">
                  <c:v>5.7</c:v>
                </c:pt>
                <c:pt idx="1121">
                  <c:v>7</c:v>
                </c:pt>
                <c:pt idx="1122">
                  <c:v>8.3000000000000007</c:v>
                </c:pt>
                <c:pt idx="1123">
                  <c:v>10.199999999999999</c:v>
                </c:pt>
                <c:pt idx="1124">
                  <c:v>6.3</c:v>
                </c:pt>
                <c:pt idx="1125">
                  <c:v>8.3000000000000007</c:v>
                </c:pt>
                <c:pt idx="1126">
                  <c:v>13.5</c:v>
                </c:pt>
                <c:pt idx="1127">
                  <c:v>11.7</c:v>
                </c:pt>
                <c:pt idx="1128">
                  <c:v>9.3000000000000007</c:v>
                </c:pt>
                <c:pt idx="1129">
                  <c:v>7.6</c:v>
                </c:pt>
                <c:pt idx="1130">
                  <c:v>19.2</c:v>
                </c:pt>
                <c:pt idx="1131">
                  <c:v>6.5</c:v>
                </c:pt>
                <c:pt idx="1132">
                  <c:v>10.4</c:v>
                </c:pt>
                <c:pt idx="1133">
                  <c:v>11.5</c:v>
                </c:pt>
                <c:pt idx="1134">
                  <c:v>9.1999999999999993</c:v>
                </c:pt>
                <c:pt idx="1135">
                  <c:v>10.6</c:v>
                </c:pt>
                <c:pt idx="1136">
                  <c:v>7.9</c:v>
                </c:pt>
                <c:pt idx="1137">
                  <c:v>6.9</c:v>
                </c:pt>
                <c:pt idx="1138">
                  <c:v>6.7</c:v>
                </c:pt>
                <c:pt idx="1139">
                  <c:v>9.1999999999999993</c:v>
                </c:pt>
                <c:pt idx="1140">
                  <c:v>6.3</c:v>
                </c:pt>
                <c:pt idx="1141">
                  <c:v>7</c:v>
                </c:pt>
                <c:pt idx="1142">
                  <c:v>6.3</c:v>
                </c:pt>
                <c:pt idx="1143">
                  <c:v>11.9</c:v>
                </c:pt>
                <c:pt idx="1144">
                  <c:v>7</c:v>
                </c:pt>
                <c:pt idx="1145">
                  <c:v>16.899999999999999</c:v>
                </c:pt>
                <c:pt idx="1146">
                  <c:v>8</c:v>
                </c:pt>
                <c:pt idx="1147">
                  <c:v>12.2</c:v>
                </c:pt>
                <c:pt idx="1148">
                  <c:v>10.3</c:v>
                </c:pt>
                <c:pt idx="1149">
                  <c:v>8</c:v>
                </c:pt>
                <c:pt idx="1150">
                  <c:v>4.7</c:v>
                </c:pt>
                <c:pt idx="1151">
                  <c:v>8.3000000000000007</c:v>
                </c:pt>
                <c:pt idx="1152">
                  <c:v>8.6</c:v>
                </c:pt>
                <c:pt idx="1153">
                  <c:v>9.1999999999999993</c:v>
                </c:pt>
                <c:pt idx="1154">
                  <c:v>9.6</c:v>
                </c:pt>
                <c:pt idx="1155">
                  <c:v>10.6</c:v>
                </c:pt>
                <c:pt idx="1156">
                  <c:v>12.2</c:v>
                </c:pt>
                <c:pt idx="1157">
                  <c:v>7.7</c:v>
                </c:pt>
                <c:pt idx="1158">
                  <c:v>14.4</c:v>
                </c:pt>
                <c:pt idx="1159">
                  <c:v>11</c:v>
                </c:pt>
                <c:pt idx="1160">
                  <c:v>9.1999999999999993</c:v>
                </c:pt>
                <c:pt idx="1161">
                  <c:v>6.1</c:v>
                </c:pt>
                <c:pt idx="1162">
                  <c:v>7.2</c:v>
                </c:pt>
                <c:pt idx="1163">
                  <c:v>12.2</c:v>
                </c:pt>
                <c:pt idx="1164">
                  <c:v>7.6</c:v>
                </c:pt>
                <c:pt idx="1165">
                  <c:v>10.7</c:v>
                </c:pt>
                <c:pt idx="1166">
                  <c:v>15.6</c:v>
                </c:pt>
                <c:pt idx="1167">
                  <c:v>5.5</c:v>
                </c:pt>
                <c:pt idx="1168">
                  <c:v>7.7</c:v>
                </c:pt>
                <c:pt idx="1169">
                  <c:v>8.5</c:v>
                </c:pt>
                <c:pt idx="1170">
                  <c:v>7.5</c:v>
                </c:pt>
                <c:pt idx="1171">
                  <c:v>15</c:v>
                </c:pt>
                <c:pt idx="1172">
                  <c:v>7.6</c:v>
                </c:pt>
                <c:pt idx="1173">
                  <c:v>6.5</c:v>
                </c:pt>
                <c:pt idx="1174">
                  <c:v>11.9</c:v>
                </c:pt>
                <c:pt idx="1175">
                  <c:v>8.5</c:v>
                </c:pt>
                <c:pt idx="1176">
                  <c:v>6.3</c:v>
                </c:pt>
                <c:pt idx="1177">
                  <c:v>7.2</c:v>
                </c:pt>
                <c:pt idx="1178">
                  <c:v>7.5</c:v>
                </c:pt>
                <c:pt idx="1179">
                  <c:v>5.4</c:v>
                </c:pt>
                <c:pt idx="1180">
                  <c:v>7.7</c:v>
                </c:pt>
                <c:pt idx="1181">
                  <c:v>7.7</c:v>
                </c:pt>
                <c:pt idx="1182">
                  <c:v>7.7</c:v>
                </c:pt>
                <c:pt idx="1183">
                  <c:v>5.7</c:v>
                </c:pt>
                <c:pt idx="1184">
                  <c:v>4.2</c:v>
                </c:pt>
                <c:pt idx="1185">
                  <c:v>9.1999999999999993</c:v>
                </c:pt>
                <c:pt idx="1186">
                  <c:v>7.8</c:v>
                </c:pt>
                <c:pt idx="1187">
                  <c:v>10.5</c:v>
                </c:pt>
                <c:pt idx="1188">
                  <c:v>5.7</c:v>
                </c:pt>
                <c:pt idx="1189">
                  <c:v>9.5</c:v>
                </c:pt>
                <c:pt idx="1190">
                  <c:v>7.5</c:v>
                </c:pt>
                <c:pt idx="1191">
                  <c:v>9.8000000000000007</c:v>
                </c:pt>
                <c:pt idx="1192">
                  <c:v>5.9</c:v>
                </c:pt>
                <c:pt idx="1193">
                  <c:v>10</c:v>
                </c:pt>
                <c:pt idx="1194">
                  <c:v>5.9</c:v>
                </c:pt>
                <c:pt idx="1195">
                  <c:v>6.9</c:v>
                </c:pt>
                <c:pt idx="1196">
                  <c:v>7.6</c:v>
                </c:pt>
                <c:pt idx="1197">
                  <c:v>8.8000000000000007</c:v>
                </c:pt>
                <c:pt idx="1198">
                  <c:v>4.5999999999999996</c:v>
                </c:pt>
                <c:pt idx="1199">
                  <c:v>7.5</c:v>
                </c:pt>
                <c:pt idx="1200">
                  <c:v>6.3</c:v>
                </c:pt>
                <c:pt idx="1201">
                  <c:v>10.4</c:v>
                </c:pt>
                <c:pt idx="1202">
                  <c:v>5.8</c:v>
                </c:pt>
                <c:pt idx="1203">
                  <c:v>7</c:v>
                </c:pt>
                <c:pt idx="1204">
                  <c:v>6.4</c:v>
                </c:pt>
                <c:pt idx="1205">
                  <c:v>4.9000000000000004</c:v>
                </c:pt>
                <c:pt idx="1206">
                  <c:v>7.2</c:v>
                </c:pt>
                <c:pt idx="1207">
                  <c:v>6.1</c:v>
                </c:pt>
                <c:pt idx="1208">
                  <c:v>8.6999999999999993</c:v>
                </c:pt>
                <c:pt idx="1209">
                  <c:v>5.3</c:v>
                </c:pt>
                <c:pt idx="1210">
                  <c:v>4.8</c:v>
                </c:pt>
                <c:pt idx="1211">
                  <c:v>8.1999999999999993</c:v>
                </c:pt>
                <c:pt idx="1212">
                  <c:v>6.7</c:v>
                </c:pt>
                <c:pt idx="1213">
                  <c:v>8.5</c:v>
                </c:pt>
                <c:pt idx="1214">
                  <c:v>8.8000000000000007</c:v>
                </c:pt>
                <c:pt idx="1215">
                  <c:v>9.9</c:v>
                </c:pt>
                <c:pt idx="1216">
                  <c:v>13.1</c:v>
                </c:pt>
                <c:pt idx="1217">
                  <c:v>7</c:v>
                </c:pt>
                <c:pt idx="1218">
                  <c:v>8.9</c:v>
                </c:pt>
                <c:pt idx="1219">
                  <c:v>9</c:v>
                </c:pt>
                <c:pt idx="1220">
                  <c:v>5.2</c:v>
                </c:pt>
                <c:pt idx="1221">
                  <c:v>7.7</c:v>
                </c:pt>
                <c:pt idx="1222">
                  <c:v>6.7</c:v>
                </c:pt>
                <c:pt idx="1223">
                  <c:v>10</c:v>
                </c:pt>
                <c:pt idx="1224">
                  <c:v>7.2</c:v>
                </c:pt>
                <c:pt idx="1225">
                  <c:v>6.1</c:v>
                </c:pt>
                <c:pt idx="1226">
                  <c:v>3</c:v>
                </c:pt>
                <c:pt idx="1227">
                  <c:v>6.9</c:v>
                </c:pt>
                <c:pt idx="1228">
                  <c:v>7.9</c:v>
                </c:pt>
                <c:pt idx="1229">
                  <c:v>8.6999999999999993</c:v>
                </c:pt>
                <c:pt idx="1230">
                  <c:v>7.8</c:v>
                </c:pt>
                <c:pt idx="1231">
                  <c:v>12.2</c:v>
                </c:pt>
                <c:pt idx="1232">
                  <c:v>10.8</c:v>
                </c:pt>
                <c:pt idx="1233">
                  <c:v>6.1</c:v>
                </c:pt>
                <c:pt idx="1234">
                  <c:v>9.3000000000000007</c:v>
                </c:pt>
                <c:pt idx="1235">
                  <c:v>9.6999999999999993</c:v>
                </c:pt>
                <c:pt idx="1236">
                  <c:v>12</c:v>
                </c:pt>
                <c:pt idx="1237">
                  <c:v>8.1</c:v>
                </c:pt>
                <c:pt idx="1238">
                  <c:v>7.9</c:v>
                </c:pt>
                <c:pt idx="1239">
                  <c:v>9.6999999999999993</c:v>
                </c:pt>
                <c:pt idx="1240">
                  <c:v>8.4</c:v>
                </c:pt>
                <c:pt idx="1241">
                  <c:v>9.4</c:v>
                </c:pt>
                <c:pt idx="1242">
                  <c:v>7</c:v>
                </c:pt>
                <c:pt idx="1243">
                  <c:v>10</c:v>
                </c:pt>
                <c:pt idx="1244">
                  <c:v>9.6999999999999993</c:v>
                </c:pt>
                <c:pt idx="1245">
                  <c:v>7.8</c:v>
                </c:pt>
                <c:pt idx="1246">
                  <c:v>13.9</c:v>
                </c:pt>
                <c:pt idx="1247">
                  <c:v>11.7</c:v>
                </c:pt>
                <c:pt idx="1248">
                  <c:v>13.2</c:v>
                </c:pt>
                <c:pt idx="1249">
                  <c:v>6.5</c:v>
                </c:pt>
                <c:pt idx="1250">
                  <c:v>12</c:v>
                </c:pt>
                <c:pt idx="1251">
                  <c:v>9.1999999999999993</c:v>
                </c:pt>
                <c:pt idx="1252">
                  <c:v>7</c:v>
                </c:pt>
                <c:pt idx="1253">
                  <c:v>7.8</c:v>
                </c:pt>
                <c:pt idx="1254">
                  <c:v>8.4</c:v>
                </c:pt>
                <c:pt idx="1255">
                  <c:v>13.2</c:v>
                </c:pt>
                <c:pt idx="1256">
                  <c:v>11</c:v>
                </c:pt>
                <c:pt idx="1257">
                  <c:v>9.5</c:v>
                </c:pt>
                <c:pt idx="1258">
                  <c:v>6.6</c:v>
                </c:pt>
                <c:pt idx="1259">
                  <c:v>8.5</c:v>
                </c:pt>
                <c:pt idx="1260">
                  <c:v>9</c:v>
                </c:pt>
                <c:pt idx="1261">
                  <c:v>7.2</c:v>
                </c:pt>
                <c:pt idx="1262">
                  <c:v>7.8</c:v>
                </c:pt>
                <c:pt idx="1263">
                  <c:v>9</c:v>
                </c:pt>
                <c:pt idx="1264">
                  <c:v>10.4</c:v>
                </c:pt>
                <c:pt idx="1265">
                  <c:v>12.1</c:v>
                </c:pt>
                <c:pt idx="1266">
                  <c:v>9</c:v>
                </c:pt>
                <c:pt idx="1267">
                  <c:v>11.3</c:v>
                </c:pt>
                <c:pt idx="1268">
                  <c:v>10.3</c:v>
                </c:pt>
                <c:pt idx="1269">
                  <c:v>9.1</c:v>
                </c:pt>
                <c:pt idx="1270">
                  <c:v>10.4</c:v>
                </c:pt>
                <c:pt idx="1271">
                  <c:v>7.7</c:v>
                </c:pt>
                <c:pt idx="1272">
                  <c:v>7</c:v>
                </c:pt>
                <c:pt idx="1273">
                  <c:v>13.2</c:v>
                </c:pt>
                <c:pt idx="1274">
                  <c:v>10.5</c:v>
                </c:pt>
                <c:pt idx="1275">
                  <c:v>7.1</c:v>
                </c:pt>
                <c:pt idx="1276">
                  <c:v>8.6</c:v>
                </c:pt>
                <c:pt idx="1277">
                  <c:v>5.9</c:v>
                </c:pt>
                <c:pt idx="1278">
                  <c:v>11.6</c:v>
                </c:pt>
                <c:pt idx="1279">
                  <c:v>12.5</c:v>
                </c:pt>
                <c:pt idx="1280">
                  <c:v>9</c:v>
                </c:pt>
                <c:pt idx="1281">
                  <c:v>11.5</c:v>
                </c:pt>
                <c:pt idx="1282">
                  <c:v>8.1</c:v>
                </c:pt>
                <c:pt idx="1283">
                  <c:v>10.7</c:v>
                </c:pt>
                <c:pt idx="1284">
                  <c:v>12.2</c:v>
                </c:pt>
                <c:pt idx="1285">
                  <c:v>8.5</c:v>
                </c:pt>
                <c:pt idx="1286">
                  <c:v>8.5</c:v>
                </c:pt>
                <c:pt idx="1287">
                  <c:v>11</c:v>
                </c:pt>
                <c:pt idx="1288">
                  <c:v>8.3000000000000007</c:v>
                </c:pt>
                <c:pt idx="1289">
                  <c:v>11.2</c:v>
                </c:pt>
                <c:pt idx="1290">
                  <c:v>16</c:v>
                </c:pt>
                <c:pt idx="1291">
                  <c:v>11.9</c:v>
                </c:pt>
                <c:pt idx="1292">
                  <c:v>10.1</c:v>
                </c:pt>
                <c:pt idx="1293">
                  <c:v>7.5</c:v>
                </c:pt>
                <c:pt idx="1294">
                  <c:v>8.6999999999999993</c:v>
                </c:pt>
                <c:pt idx="1295">
                  <c:v>12.4</c:v>
                </c:pt>
                <c:pt idx="1296">
                  <c:v>13.7</c:v>
                </c:pt>
                <c:pt idx="1297">
                  <c:v>10.3</c:v>
                </c:pt>
                <c:pt idx="1298">
                  <c:v>13.2</c:v>
                </c:pt>
                <c:pt idx="1299">
                  <c:v>8.1999999999999993</c:v>
                </c:pt>
                <c:pt idx="1300">
                  <c:v>6.1</c:v>
                </c:pt>
                <c:pt idx="1301">
                  <c:v>13.1</c:v>
                </c:pt>
                <c:pt idx="1302">
                  <c:v>14.2</c:v>
                </c:pt>
                <c:pt idx="1303">
                  <c:v>11.1</c:v>
                </c:pt>
                <c:pt idx="1304">
                  <c:v>10.4</c:v>
                </c:pt>
                <c:pt idx="1305">
                  <c:v>8.6</c:v>
                </c:pt>
                <c:pt idx="1306">
                  <c:v>10.7</c:v>
                </c:pt>
                <c:pt idx="1307">
                  <c:v>15.6</c:v>
                </c:pt>
                <c:pt idx="1308">
                  <c:v>10.3</c:v>
                </c:pt>
                <c:pt idx="1309">
                  <c:v>9.3000000000000007</c:v>
                </c:pt>
                <c:pt idx="1310">
                  <c:v>8.4</c:v>
                </c:pt>
                <c:pt idx="1311">
                  <c:v>7.4</c:v>
                </c:pt>
                <c:pt idx="1312">
                  <c:v>14.9</c:v>
                </c:pt>
                <c:pt idx="1313">
                  <c:v>9.5</c:v>
                </c:pt>
                <c:pt idx="1314">
                  <c:v>7.3</c:v>
                </c:pt>
                <c:pt idx="1315">
                  <c:v>6.2</c:v>
                </c:pt>
                <c:pt idx="1316">
                  <c:v>3.5</c:v>
                </c:pt>
                <c:pt idx="1317">
                  <c:v>10.6</c:v>
                </c:pt>
                <c:pt idx="1318">
                  <c:v>6.7</c:v>
                </c:pt>
                <c:pt idx="1319">
                  <c:v>3.3</c:v>
                </c:pt>
                <c:pt idx="1320">
                  <c:v>4.9000000000000004</c:v>
                </c:pt>
                <c:pt idx="1321">
                  <c:v>3.2</c:v>
                </c:pt>
                <c:pt idx="1322">
                  <c:v>5.4</c:v>
                </c:pt>
                <c:pt idx="1323">
                  <c:v>3.8</c:v>
                </c:pt>
                <c:pt idx="1324">
                  <c:v>7.4</c:v>
                </c:pt>
                <c:pt idx="1325">
                  <c:v>2.6</c:v>
                </c:pt>
                <c:pt idx="1326">
                  <c:v>5.5</c:v>
                </c:pt>
                <c:pt idx="1327">
                  <c:v>4.3</c:v>
                </c:pt>
                <c:pt idx="1328">
                  <c:v>7.4</c:v>
                </c:pt>
                <c:pt idx="1329">
                  <c:v>4</c:v>
                </c:pt>
                <c:pt idx="1330">
                  <c:v>4.9000000000000004</c:v>
                </c:pt>
                <c:pt idx="1331">
                  <c:v>5.7</c:v>
                </c:pt>
                <c:pt idx="1332">
                  <c:v>5</c:v>
                </c:pt>
                <c:pt idx="1333">
                  <c:v>3.5</c:v>
                </c:pt>
                <c:pt idx="1334">
                  <c:v>4.5</c:v>
                </c:pt>
                <c:pt idx="1335">
                  <c:v>4.2</c:v>
                </c:pt>
                <c:pt idx="1336">
                  <c:v>4.3</c:v>
                </c:pt>
                <c:pt idx="1337">
                  <c:v>4.9000000000000004</c:v>
                </c:pt>
                <c:pt idx="1338">
                  <c:v>5.3</c:v>
                </c:pt>
                <c:pt idx="1339">
                  <c:v>3.6</c:v>
                </c:pt>
                <c:pt idx="1340">
                  <c:v>6</c:v>
                </c:pt>
                <c:pt idx="1341">
                  <c:v>4.9000000000000004</c:v>
                </c:pt>
                <c:pt idx="1342">
                  <c:v>5</c:v>
                </c:pt>
                <c:pt idx="1343">
                  <c:v>7.3</c:v>
                </c:pt>
                <c:pt idx="1344">
                  <c:v>7.1</c:v>
                </c:pt>
                <c:pt idx="1345">
                  <c:v>3.2</c:v>
                </c:pt>
                <c:pt idx="1346">
                  <c:v>9.8000000000000007</c:v>
                </c:pt>
                <c:pt idx="1347">
                  <c:v>4.8</c:v>
                </c:pt>
                <c:pt idx="1348">
                  <c:v>2.8</c:v>
                </c:pt>
                <c:pt idx="1349">
                  <c:v>7.8</c:v>
                </c:pt>
                <c:pt idx="1350">
                  <c:v>3.7</c:v>
                </c:pt>
                <c:pt idx="1351">
                  <c:v>4.8</c:v>
                </c:pt>
                <c:pt idx="1352">
                  <c:v>4.8</c:v>
                </c:pt>
                <c:pt idx="1353">
                  <c:v>5.3</c:v>
                </c:pt>
                <c:pt idx="1354">
                  <c:v>2.8</c:v>
                </c:pt>
                <c:pt idx="1355">
                  <c:v>5.3</c:v>
                </c:pt>
                <c:pt idx="1356">
                  <c:v>4.5</c:v>
                </c:pt>
                <c:pt idx="1357">
                  <c:v>9.1999999999999993</c:v>
                </c:pt>
                <c:pt idx="1358">
                  <c:v>4.7</c:v>
                </c:pt>
                <c:pt idx="1359">
                  <c:v>3.5</c:v>
                </c:pt>
                <c:pt idx="1360">
                  <c:v>4.7</c:v>
                </c:pt>
                <c:pt idx="1361">
                  <c:v>7.7</c:v>
                </c:pt>
                <c:pt idx="1362">
                  <c:v>5.8</c:v>
                </c:pt>
                <c:pt idx="1363">
                  <c:v>6.5</c:v>
                </c:pt>
                <c:pt idx="1364">
                  <c:v>4.5</c:v>
                </c:pt>
                <c:pt idx="1365">
                  <c:v>4</c:v>
                </c:pt>
                <c:pt idx="1366">
                  <c:v>6.9</c:v>
                </c:pt>
                <c:pt idx="1367">
                  <c:v>5.0999999999999996</c:v>
                </c:pt>
                <c:pt idx="1368">
                  <c:v>4.0999999999999996</c:v>
                </c:pt>
                <c:pt idx="1369">
                  <c:v>4.4000000000000004</c:v>
                </c:pt>
                <c:pt idx="1370">
                  <c:v>3</c:v>
                </c:pt>
                <c:pt idx="1371">
                  <c:v>7.4</c:v>
                </c:pt>
                <c:pt idx="1372">
                  <c:v>4.2</c:v>
                </c:pt>
                <c:pt idx="1373">
                  <c:v>4.5999999999999996</c:v>
                </c:pt>
                <c:pt idx="1374">
                  <c:v>4.0999999999999996</c:v>
                </c:pt>
                <c:pt idx="1375">
                  <c:v>7.1</c:v>
                </c:pt>
                <c:pt idx="1376">
                  <c:v>3.5</c:v>
                </c:pt>
                <c:pt idx="1377">
                  <c:v>4</c:v>
                </c:pt>
                <c:pt idx="1378">
                  <c:v>5</c:v>
                </c:pt>
                <c:pt idx="1379">
                  <c:v>5.6</c:v>
                </c:pt>
                <c:pt idx="1380">
                  <c:v>3.7</c:v>
                </c:pt>
                <c:pt idx="1381">
                  <c:v>2.7</c:v>
                </c:pt>
                <c:pt idx="1382">
                  <c:v>6.9</c:v>
                </c:pt>
                <c:pt idx="1383">
                  <c:v>4.5999999999999996</c:v>
                </c:pt>
                <c:pt idx="1384">
                  <c:v>5.2</c:v>
                </c:pt>
                <c:pt idx="1385">
                  <c:v>5.5</c:v>
                </c:pt>
                <c:pt idx="1386">
                  <c:v>5</c:v>
                </c:pt>
                <c:pt idx="1387">
                  <c:v>4.9000000000000004</c:v>
                </c:pt>
                <c:pt idx="1388">
                  <c:v>3.1</c:v>
                </c:pt>
                <c:pt idx="1389">
                  <c:v>3.9</c:v>
                </c:pt>
                <c:pt idx="1390">
                  <c:v>5.0999999999999996</c:v>
                </c:pt>
                <c:pt idx="1391">
                  <c:v>2.9</c:v>
                </c:pt>
                <c:pt idx="1392">
                  <c:v>3.6</c:v>
                </c:pt>
                <c:pt idx="1393">
                  <c:v>5.2</c:v>
                </c:pt>
                <c:pt idx="1394">
                  <c:v>4.5999999999999996</c:v>
                </c:pt>
                <c:pt idx="1395">
                  <c:v>4.8</c:v>
                </c:pt>
                <c:pt idx="1396">
                  <c:v>2.9</c:v>
                </c:pt>
                <c:pt idx="1397">
                  <c:v>2</c:v>
                </c:pt>
                <c:pt idx="1398">
                  <c:v>6.2</c:v>
                </c:pt>
                <c:pt idx="1399">
                  <c:v>5.2</c:v>
                </c:pt>
                <c:pt idx="1400">
                  <c:v>3.4</c:v>
                </c:pt>
                <c:pt idx="1401">
                  <c:v>11.3</c:v>
                </c:pt>
                <c:pt idx="1402">
                  <c:v>9</c:v>
                </c:pt>
                <c:pt idx="1403">
                  <c:v>12.7</c:v>
                </c:pt>
                <c:pt idx="1404">
                  <c:v>12.6</c:v>
                </c:pt>
                <c:pt idx="1405">
                  <c:v>17.100000000000001</c:v>
                </c:pt>
                <c:pt idx="1406">
                  <c:v>15.3</c:v>
                </c:pt>
                <c:pt idx="1407">
                  <c:v>10.1</c:v>
                </c:pt>
                <c:pt idx="1408">
                  <c:v>11.9</c:v>
                </c:pt>
                <c:pt idx="1409">
                  <c:v>12.2</c:v>
                </c:pt>
                <c:pt idx="1410">
                  <c:v>14.2</c:v>
                </c:pt>
                <c:pt idx="1411">
                  <c:v>17.5</c:v>
                </c:pt>
                <c:pt idx="1412">
                  <c:v>11.7</c:v>
                </c:pt>
                <c:pt idx="1413">
                  <c:v>16.2</c:v>
                </c:pt>
                <c:pt idx="1414">
                  <c:v>20.3</c:v>
                </c:pt>
                <c:pt idx="1415">
                  <c:v>14.3</c:v>
                </c:pt>
                <c:pt idx="1416">
                  <c:v>13.7</c:v>
                </c:pt>
                <c:pt idx="1417">
                  <c:v>7.6</c:v>
                </c:pt>
                <c:pt idx="1418">
                  <c:v>13.1</c:v>
                </c:pt>
                <c:pt idx="1419">
                  <c:v>8.9</c:v>
                </c:pt>
                <c:pt idx="1420">
                  <c:v>9</c:v>
                </c:pt>
                <c:pt idx="1421">
                  <c:v>12.6</c:v>
                </c:pt>
                <c:pt idx="1422">
                  <c:v>9.4</c:v>
                </c:pt>
                <c:pt idx="1423">
                  <c:v>10.1</c:v>
                </c:pt>
                <c:pt idx="1424">
                  <c:v>9.6999999999999993</c:v>
                </c:pt>
                <c:pt idx="1425">
                  <c:v>10.3</c:v>
                </c:pt>
                <c:pt idx="1426">
                  <c:v>19.2</c:v>
                </c:pt>
                <c:pt idx="1427">
                  <c:v>26.8</c:v>
                </c:pt>
                <c:pt idx="1428">
                  <c:v>11.6</c:v>
                </c:pt>
                <c:pt idx="1429">
                  <c:v>9.3000000000000007</c:v>
                </c:pt>
                <c:pt idx="1430">
                  <c:v>9.1</c:v>
                </c:pt>
                <c:pt idx="1431">
                  <c:v>7.9</c:v>
                </c:pt>
                <c:pt idx="1432">
                  <c:v>15.9</c:v>
                </c:pt>
                <c:pt idx="1433">
                  <c:v>12.9</c:v>
                </c:pt>
                <c:pt idx="1434">
                  <c:v>7.4</c:v>
                </c:pt>
                <c:pt idx="1435">
                  <c:v>10.1</c:v>
                </c:pt>
                <c:pt idx="1436">
                  <c:v>8.4</c:v>
                </c:pt>
                <c:pt idx="1437">
                  <c:v>8.5</c:v>
                </c:pt>
                <c:pt idx="1438">
                  <c:v>9.6</c:v>
                </c:pt>
                <c:pt idx="1439">
                  <c:v>10.8</c:v>
                </c:pt>
                <c:pt idx="1440">
                  <c:v>10.5</c:v>
                </c:pt>
                <c:pt idx="1441">
                  <c:v>7.8</c:v>
                </c:pt>
                <c:pt idx="1442">
                  <c:v>16.3</c:v>
                </c:pt>
                <c:pt idx="1443">
                  <c:v>7.5</c:v>
                </c:pt>
                <c:pt idx="1444">
                  <c:v>12.6</c:v>
                </c:pt>
                <c:pt idx="1445">
                  <c:v>5.4</c:v>
                </c:pt>
                <c:pt idx="1446">
                  <c:v>10.4</c:v>
                </c:pt>
                <c:pt idx="1447">
                  <c:v>8.4</c:v>
                </c:pt>
                <c:pt idx="1448">
                  <c:v>10.9</c:v>
                </c:pt>
                <c:pt idx="1449">
                  <c:v>8.5</c:v>
                </c:pt>
                <c:pt idx="1450">
                  <c:v>9.8000000000000007</c:v>
                </c:pt>
                <c:pt idx="1451">
                  <c:v>10.6</c:v>
                </c:pt>
                <c:pt idx="1452">
                  <c:v>19</c:v>
                </c:pt>
                <c:pt idx="1453">
                  <c:v>13.3</c:v>
                </c:pt>
                <c:pt idx="1454">
                  <c:v>10.3</c:v>
                </c:pt>
                <c:pt idx="1455">
                  <c:v>12.1</c:v>
                </c:pt>
                <c:pt idx="1456">
                  <c:v>12.9</c:v>
                </c:pt>
                <c:pt idx="1457">
                  <c:v>9.5</c:v>
                </c:pt>
                <c:pt idx="1458">
                  <c:v>6.6</c:v>
                </c:pt>
                <c:pt idx="1459">
                  <c:v>10.199999999999999</c:v>
                </c:pt>
                <c:pt idx="1460">
                  <c:v>25.3</c:v>
                </c:pt>
                <c:pt idx="1461">
                  <c:v>5.4</c:v>
                </c:pt>
                <c:pt idx="1462">
                  <c:v>13.1</c:v>
                </c:pt>
                <c:pt idx="1463">
                  <c:v>22.1</c:v>
                </c:pt>
                <c:pt idx="1464">
                  <c:v>10.9</c:v>
                </c:pt>
                <c:pt idx="1465">
                  <c:v>4.8</c:v>
                </c:pt>
                <c:pt idx="1466">
                  <c:v>9.6999999999999993</c:v>
                </c:pt>
                <c:pt idx="1467">
                  <c:v>20.100000000000001</c:v>
                </c:pt>
                <c:pt idx="1468">
                  <c:v>19</c:v>
                </c:pt>
                <c:pt idx="1469">
                  <c:v>10</c:v>
                </c:pt>
                <c:pt idx="1470">
                  <c:v>12.2</c:v>
                </c:pt>
                <c:pt idx="1471">
                  <c:v>10.5</c:v>
                </c:pt>
                <c:pt idx="1472">
                  <c:v>12.4</c:v>
                </c:pt>
                <c:pt idx="1473">
                  <c:v>10.7</c:v>
                </c:pt>
                <c:pt idx="1474">
                  <c:v>11.1</c:v>
                </c:pt>
                <c:pt idx="1475">
                  <c:v>8</c:v>
                </c:pt>
                <c:pt idx="1476">
                  <c:v>21.7</c:v>
                </c:pt>
                <c:pt idx="1477">
                  <c:v>9.4</c:v>
                </c:pt>
                <c:pt idx="1478">
                  <c:v>11.2</c:v>
                </c:pt>
                <c:pt idx="1479">
                  <c:v>9.6999999999999993</c:v>
                </c:pt>
                <c:pt idx="1480">
                  <c:v>12.3</c:v>
                </c:pt>
                <c:pt idx="1481">
                  <c:v>5.7</c:v>
                </c:pt>
                <c:pt idx="1482">
                  <c:v>19.8</c:v>
                </c:pt>
                <c:pt idx="1483">
                  <c:v>7.9</c:v>
                </c:pt>
                <c:pt idx="1484">
                  <c:v>5</c:v>
                </c:pt>
                <c:pt idx="1485">
                  <c:v>4.3</c:v>
                </c:pt>
                <c:pt idx="1486">
                  <c:v>8.8000000000000007</c:v>
                </c:pt>
                <c:pt idx="1487">
                  <c:v>11.4</c:v>
                </c:pt>
                <c:pt idx="1488">
                  <c:v>6.5</c:v>
                </c:pt>
                <c:pt idx="1489">
                  <c:v>6.6</c:v>
                </c:pt>
                <c:pt idx="1490">
                  <c:v>10.199999999999999</c:v>
                </c:pt>
                <c:pt idx="1491">
                  <c:v>4</c:v>
                </c:pt>
                <c:pt idx="1492">
                  <c:v>5</c:v>
                </c:pt>
                <c:pt idx="1493">
                  <c:v>7.5</c:v>
                </c:pt>
                <c:pt idx="1494">
                  <c:v>9.4</c:v>
                </c:pt>
                <c:pt idx="1495">
                  <c:v>5.2</c:v>
                </c:pt>
                <c:pt idx="1496">
                  <c:v>5.0999999999999996</c:v>
                </c:pt>
                <c:pt idx="1497">
                  <c:v>9.1</c:v>
                </c:pt>
                <c:pt idx="1498">
                  <c:v>6.3</c:v>
                </c:pt>
                <c:pt idx="1499">
                  <c:v>8.9</c:v>
                </c:pt>
                <c:pt idx="1500">
                  <c:v>9.6999999999999993</c:v>
                </c:pt>
                <c:pt idx="1501">
                  <c:v>6.7</c:v>
                </c:pt>
                <c:pt idx="1502">
                  <c:v>10.5</c:v>
                </c:pt>
                <c:pt idx="1503">
                  <c:v>3.8</c:v>
                </c:pt>
                <c:pt idx="1504">
                  <c:v>6.4</c:v>
                </c:pt>
                <c:pt idx="1505">
                  <c:v>4.5</c:v>
                </c:pt>
                <c:pt idx="1506">
                  <c:v>6.1</c:v>
                </c:pt>
                <c:pt idx="1507">
                  <c:v>5.8</c:v>
                </c:pt>
                <c:pt idx="1508">
                  <c:v>4.9000000000000004</c:v>
                </c:pt>
                <c:pt idx="1509">
                  <c:v>5.7</c:v>
                </c:pt>
                <c:pt idx="1510">
                  <c:v>12.7</c:v>
                </c:pt>
                <c:pt idx="1511">
                  <c:v>7.9</c:v>
                </c:pt>
                <c:pt idx="1512">
                  <c:v>13.2</c:v>
                </c:pt>
                <c:pt idx="1513">
                  <c:v>5.7</c:v>
                </c:pt>
                <c:pt idx="1514">
                  <c:v>6.8</c:v>
                </c:pt>
                <c:pt idx="1515">
                  <c:v>9.1999999999999993</c:v>
                </c:pt>
                <c:pt idx="1516">
                  <c:v>9</c:v>
                </c:pt>
                <c:pt idx="1517">
                  <c:v>8.1</c:v>
                </c:pt>
                <c:pt idx="1518">
                  <c:v>7.2</c:v>
                </c:pt>
                <c:pt idx="1519">
                  <c:v>6.1</c:v>
                </c:pt>
                <c:pt idx="1520">
                  <c:v>6.3</c:v>
                </c:pt>
                <c:pt idx="1521">
                  <c:v>6.8</c:v>
                </c:pt>
                <c:pt idx="1522">
                  <c:v>4.5</c:v>
                </c:pt>
                <c:pt idx="1523">
                  <c:v>5.8</c:v>
                </c:pt>
                <c:pt idx="1524">
                  <c:v>7.4</c:v>
                </c:pt>
                <c:pt idx="1525">
                  <c:v>12.6</c:v>
                </c:pt>
                <c:pt idx="1526">
                  <c:v>5.2</c:v>
                </c:pt>
                <c:pt idx="1527">
                  <c:v>6.3</c:v>
                </c:pt>
                <c:pt idx="1528">
                  <c:v>8.3000000000000007</c:v>
                </c:pt>
                <c:pt idx="1529">
                  <c:v>11.4</c:v>
                </c:pt>
                <c:pt idx="1530">
                  <c:v>7.6</c:v>
                </c:pt>
                <c:pt idx="1531">
                  <c:v>6</c:v>
                </c:pt>
                <c:pt idx="1532">
                  <c:v>8.3000000000000007</c:v>
                </c:pt>
                <c:pt idx="1533">
                  <c:v>8</c:v>
                </c:pt>
                <c:pt idx="1534">
                  <c:v>7.4</c:v>
                </c:pt>
                <c:pt idx="1535">
                  <c:v>8.8000000000000007</c:v>
                </c:pt>
                <c:pt idx="1536">
                  <c:v>6.9</c:v>
                </c:pt>
                <c:pt idx="1537">
                  <c:v>7</c:v>
                </c:pt>
                <c:pt idx="1538">
                  <c:v>5.6</c:v>
                </c:pt>
                <c:pt idx="1539">
                  <c:v>9.5</c:v>
                </c:pt>
                <c:pt idx="1540">
                  <c:v>4.5</c:v>
                </c:pt>
                <c:pt idx="1541">
                  <c:v>5.0999999999999996</c:v>
                </c:pt>
                <c:pt idx="1542">
                  <c:v>8.6999999999999993</c:v>
                </c:pt>
                <c:pt idx="1543">
                  <c:v>8.6999999999999993</c:v>
                </c:pt>
                <c:pt idx="1544">
                  <c:v>10.199999999999999</c:v>
                </c:pt>
                <c:pt idx="1545">
                  <c:v>10</c:v>
                </c:pt>
                <c:pt idx="1546">
                  <c:v>7.2</c:v>
                </c:pt>
                <c:pt idx="1547">
                  <c:v>4.5999999999999996</c:v>
                </c:pt>
                <c:pt idx="1548">
                  <c:v>8.1</c:v>
                </c:pt>
                <c:pt idx="1549">
                  <c:v>12.2</c:v>
                </c:pt>
                <c:pt idx="1550">
                  <c:v>6.7</c:v>
                </c:pt>
                <c:pt idx="1551">
                  <c:v>5.9</c:v>
                </c:pt>
                <c:pt idx="1552">
                  <c:v>9.4</c:v>
                </c:pt>
                <c:pt idx="1553">
                  <c:v>11.7</c:v>
                </c:pt>
                <c:pt idx="1554">
                  <c:v>8.8000000000000007</c:v>
                </c:pt>
                <c:pt idx="1555">
                  <c:v>6.1</c:v>
                </c:pt>
                <c:pt idx="1556">
                  <c:v>7.2</c:v>
                </c:pt>
                <c:pt idx="1557">
                  <c:v>7.1</c:v>
                </c:pt>
                <c:pt idx="1558">
                  <c:v>2.9</c:v>
                </c:pt>
                <c:pt idx="1559">
                  <c:v>12.6</c:v>
                </c:pt>
                <c:pt idx="1560">
                  <c:v>11.2</c:v>
                </c:pt>
                <c:pt idx="1561">
                  <c:v>4.2</c:v>
                </c:pt>
                <c:pt idx="1562">
                  <c:v>6.4</c:v>
                </c:pt>
                <c:pt idx="1563">
                  <c:v>7</c:v>
                </c:pt>
                <c:pt idx="1564">
                  <c:v>6.5</c:v>
                </c:pt>
                <c:pt idx="1565">
                  <c:v>5.6</c:v>
                </c:pt>
                <c:pt idx="1566">
                  <c:v>9.5</c:v>
                </c:pt>
                <c:pt idx="1567">
                  <c:v>12.7</c:v>
                </c:pt>
                <c:pt idx="1568">
                  <c:v>2.8</c:v>
                </c:pt>
                <c:pt idx="1569">
                  <c:v>6.2</c:v>
                </c:pt>
                <c:pt idx="1570">
                  <c:v>8.9</c:v>
                </c:pt>
                <c:pt idx="1571">
                  <c:v>8.1999999999999993</c:v>
                </c:pt>
                <c:pt idx="1572">
                  <c:v>11.1</c:v>
                </c:pt>
                <c:pt idx="1573">
                  <c:v>10.1</c:v>
                </c:pt>
                <c:pt idx="1574">
                  <c:v>5.0999999999999996</c:v>
                </c:pt>
                <c:pt idx="1575">
                  <c:v>9.3000000000000007</c:v>
                </c:pt>
                <c:pt idx="1576">
                  <c:v>5.4</c:v>
                </c:pt>
                <c:pt idx="1577">
                  <c:v>8.3000000000000007</c:v>
                </c:pt>
                <c:pt idx="1578">
                  <c:v>7.4</c:v>
                </c:pt>
                <c:pt idx="1579">
                  <c:v>5.5</c:v>
                </c:pt>
                <c:pt idx="1580">
                  <c:v>7.4</c:v>
                </c:pt>
                <c:pt idx="1581">
                  <c:v>4</c:v>
                </c:pt>
                <c:pt idx="1582">
                  <c:v>6.8</c:v>
                </c:pt>
                <c:pt idx="1583">
                  <c:v>9.1999999999999993</c:v>
                </c:pt>
                <c:pt idx="1584">
                  <c:v>5.8</c:v>
                </c:pt>
                <c:pt idx="1585">
                  <c:v>9.1</c:v>
                </c:pt>
                <c:pt idx="1586">
                  <c:v>10.8</c:v>
                </c:pt>
                <c:pt idx="1587">
                  <c:v>6</c:v>
                </c:pt>
                <c:pt idx="1588">
                  <c:v>9</c:v>
                </c:pt>
                <c:pt idx="1589">
                  <c:v>8.1</c:v>
                </c:pt>
                <c:pt idx="1590">
                  <c:v>5.4</c:v>
                </c:pt>
                <c:pt idx="1591">
                  <c:v>8.9</c:v>
                </c:pt>
                <c:pt idx="1592">
                  <c:v>12.2</c:v>
                </c:pt>
                <c:pt idx="1593">
                  <c:v>9.5</c:v>
                </c:pt>
                <c:pt idx="1594">
                  <c:v>6.3</c:v>
                </c:pt>
                <c:pt idx="1595">
                  <c:v>4.3</c:v>
                </c:pt>
                <c:pt idx="1596">
                  <c:v>9.4</c:v>
                </c:pt>
                <c:pt idx="1597">
                  <c:v>12.4</c:v>
                </c:pt>
                <c:pt idx="1598">
                  <c:v>6.5</c:v>
                </c:pt>
                <c:pt idx="1599">
                  <c:v>19.899999999999999</c:v>
                </c:pt>
                <c:pt idx="1600">
                  <c:v>13.4</c:v>
                </c:pt>
                <c:pt idx="1601">
                  <c:v>4.5</c:v>
                </c:pt>
                <c:pt idx="1602">
                  <c:v>3.9</c:v>
                </c:pt>
                <c:pt idx="1603">
                  <c:v>2.2999999999999998</c:v>
                </c:pt>
                <c:pt idx="1604">
                  <c:v>5.0999999999999996</c:v>
                </c:pt>
                <c:pt idx="1605">
                  <c:v>4.3</c:v>
                </c:pt>
                <c:pt idx="1606">
                  <c:v>3.8</c:v>
                </c:pt>
                <c:pt idx="1607">
                  <c:v>2.6</c:v>
                </c:pt>
                <c:pt idx="1608">
                  <c:v>2</c:v>
                </c:pt>
                <c:pt idx="1609">
                  <c:v>3.9</c:v>
                </c:pt>
                <c:pt idx="1610">
                  <c:v>3.3</c:v>
                </c:pt>
                <c:pt idx="1611">
                  <c:v>3.1</c:v>
                </c:pt>
                <c:pt idx="1612">
                  <c:v>7</c:v>
                </c:pt>
                <c:pt idx="1613">
                  <c:v>6.3</c:v>
                </c:pt>
                <c:pt idx="1614">
                  <c:v>0.2</c:v>
                </c:pt>
                <c:pt idx="1615">
                  <c:v>14.4</c:v>
                </c:pt>
                <c:pt idx="1616">
                  <c:v>3.5</c:v>
                </c:pt>
                <c:pt idx="1617">
                  <c:v>7.2</c:v>
                </c:pt>
                <c:pt idx="1618">
                  <c:v>4</c:v>
                </c:pt>
                <c:pt idx="1619">
                  <c:v>6.6</c:v>
                </c:pt>
                <c:pt idx="1620">
                  <c:v>3.9</c:v>
                </c:pt>
                <c:pt idx="1621">
                  <c:v>9.9</c:v>
                </c:pt>
                <c:pt idx="1622">
                  <c:v>4.9000000000000004</c:v>
                </c:pt>
                <c:pt idx="1623">
                  <c:v>4.5</c:v>
                </c:pt>
                <c:pt idx="1624">
                  <c:v>13.1</c:v>
                </c:pt>
                <c:pt idx="1625">
                  <c:v>0.8</c:v>
                </c:pt>
                <c:pt idx="1626">
                  <c:v>4.8</c:v>
                </c:pt>
                <c:pt idx="1627">
                  <c:v>3.9</c:v>
                </c:pt>
                <c:pt idx="1628">
                  <c:v>11.8</c:v>
                </c:pt>
                <c:pt idx="1629">
                  <c:v>8.1999999999999993</c:v>
                </c:pt>
                <c:pt idx="1630">
                  <c:v>4.5999999999999996</c:v>
                </c:pt>
                <c:pt idx="1631">
                  <c:v>5.4</c:v>
                </c:pt>
                <c:pt idx="1632">
                  <c:v>6.6</c:v>
                </c:pt>
                <c:pt idx="1633">
                  <c:v>6.3</c:v>
                </c:pt>
                <c:pt idx="1634">
                  <c:v>6</c:v>
                </c:pt>
                <c:pt idx="1635">
                  <c:v>4.5</c:v>
                </c:pt>
                <c:pt idx="1636">
                  <c:v>2.2000000000000002</c:v>
                </c:pt>
                <c:pt idx="1637">
                  <c:v>8.1</c:v>
                </c:pt>
                <c:pt idx="1638">
                  <c:v>8.1999999999999993</c:v>
                </c:pt>
                <c:pt idx="1639">
                  <c:v>2.5</c:v>
                </c:pt>
                <c:pt idx="1640">
                  <c:v>6.8</c:v>
                </c:pt>
                <c:pt idx="1641">
                  <c:v>10.6</c:v>
                </c:pt>
                <c:pt idx="1642">
                  <c:v>9.3000000000000007</c:v>
                </c:pt>
                <c:pt idx="1643">
                  <c:v>2.7</c:v>
                </c:pt>
                <c:pt idx="1644">
                  <c:v>7</c:v>
                </c:pt>
                <c:pt idx="1645">
                  <c:v>3.6</c:v>
                </c:pt>
                <c:pt idx="1646">
                  <c:v>0.9</c:v>
                </c:pt>
                <c:pt idx="1647">
                  <c:v>5.0999999999999996</c:v>
                </c:pt>
                <c:pt idx="1648">
                  <c:v>3.1</c:v>
                </c:pt>
                <c:pt idx="1649">
                  <c:v>0.8</c:v>
                </c:pt>
                <c:pt idx="1650">
                  <c:v>2.6</c:v>
                </c:pt>
                <c:pt idx="1651">
                  <c:v>3.4</c:v>
                </c:pt>
                <c:pt idx="1652">
                  <c:v>3</c:v>
                </c:pt>
                <c:pt idx="1653">
                  <c:v>4.0999999999999996</c:v>
                </c:pt>
                <c:pt idx="1654">
                  <c:v>5.5</c:v>
                </c:pt>
                <c:pt idx="1655">
                  <c:v>1.6</c:v>
                </c:pt>
                <c:pt idx="1656">
                  <c:v>4</c:v>
                </c:pt>
                <c:pt idx="1657">
                  <c:v>5.4</c:v>
                </c:pt>
                <c:pt idx="1658">
                  <c:v>0.7</c:v>
                </c:pt>
                <c:pt idx="1659">
                  <c:v>1.2</c:v>
                </c:pt>
                <c:pt idx="1660">
                  <c:v>3.9</c:v>
                </c:pt>
                <c:pt idx="1661">
                  <c:v>1.1000000000000001</c:v>
                </c:pt>
                <c:pt idx="1662">
                  <c:v>0.7</c:v>
                </c:pt>
                <c:pt idx="1663">
                  <c:v>3.5</c:v>
                </c:pt>
                <c:pt idx="1664">
                  <c:v>3.3</c:v>
                </c:pt>
                <c:pt idx="1665">
                  <c:v>4.2</c:v>
                </c:pt>
                <c:pt idx="1666">
                  <c:v>3.8</c:v>
                </c:pt>
                <c:pt idx="1667">
                  <c:v>2.2000000000000002</c:v>
                </c:pt>
                <c:pt idx="1668">
                  <c:v>0.7</c:v>
                </c:pt>
                <c:pt idx="1669">
                  <c:v>2.6</c:v>
                </c:pt>
                <c:pt idx="1670">
                  <c:v>1.6</c:v>
                </c:pt>
                <c:pt idx="1671">
                  <c:v>2.8</c:v>
                </c:pt>
                <c:pt idx="1672">
                  <c:v>6.4</c:v>
                </c:pt>
                <c:pt idx="1673">
                  <c:v>3.3</c:v>
                </c:pt>
                <c:pt idx="1674">
                  <c:v>2.2999999999999998</c:v>
                </c:pt>
                <c:pt idx="1675">
                  <c:v>7.4</c:v>
                </c:pt>
                <c:pt idx="1676">
                  <c:v>2.6</c:v>
                </c:pt>
                <c:pt idx="1677">
                  <c:v>4.8</c:v>
                </c:pt>
                <c:pt idx="1678">
                  <c:v>4.3</c:v>
                </c:pt>
                <c:pt idx="1679">
                  <c:v>4.5</c:v>
                </c:pt>
                <c:pt idx="1680">
                  <c:v>5.0999999999999996</c:v>
                </c:pt>
                <c:pt idx="1681">
                  <c:v>5.7</c:v>
                </c:pt>
                <c:pt idx="1682">
                  <c:v>4</c:v>
                </c:pt>
                <c:pt idx="1683">
                  <c:v>3.4</c:v>
                </c:pt>
                <c:pt idx="1684">
                  <c:v>3.5</c:v>
                </c:pt>
                <c:pt idx="1685">
                  <c:v>2.4</c:v>
                </c:pt>
                <c:pt idx="1686">
                  <c:v>3.4</c:v>
                </c:pt>
                <c:pt idx="1687">
                  <c:v>4.3</c:v>
                </c:pt>
                <c:pt idx="1688">
                  <c:v>3.1</c:v>
                </c:pt>
                <c:pt idx="1689">
                  <c:v>3.5</c:v>
                </c:pt>
                <c:pt idx="1690">
                  <c:v>5.0999999999999996</c:v>
                </c:pt>
                <c:pt idx="1691">
                  <c:v>3.5</c:v>
                </c:pt>
                <c:pt idx="1692">
                  <c:v>1.9</c:v>
                </c:pt>
                <c:pt idx="1693">
                  <c:v>6</c:v>
                </c:pt>
                <c:pt idx="1694">
                  <c:v>2.5</c:v>
                </c:pt>
                <c:pt idx="1695">
                  <c:v>1.7</c:v>
                </c:pt>
                <c:pt idx="1696">
                  <c:v>1.8</c:v>
                </c:pt>
                <c:pt idx="1697">
                  <c:v>3</c:v>
                </c:pt>
                <c:pt idx="1698">
                  <c:v>0.9</c:v>
                </c:pt>
                <c:pt idx="1699">
                  <c:v>2.9</c:v>
                </c:pt>
                <c:pt idx="1700">
                  <c:v>4</c:v>
                </c:pt>
                <c:pt idx="1701">
                  <c:v>4</c:v>
                </c:pt>
                <c:pt idx="1702">
                  <c:v>3.6</c:v>
                </c:pt>
                <c:pt idx="1703">
                  <c:v>3.8</c:v>
                </c:pt>
                <c:pt idx="1704">
                  <c:v>2.8</c:v>
                </c:pt>
                <c:pt idx="1705">
                  <c:v>1.1000000000000001</c:v>
                </c:pt>
                <c:pt idx="1706">
                  <c:v>5.0999999999999996</c:v>
                </c:pt>
                <c:pt idx="1707">
                  <c:v>3.3</c:v>
                </c:pt>
                <c:pt idx="1708">
                  <c:v>5.0999999999999996</c:v>
                </c:pt>
                <c:pt idx="1709">
                  <c:v>4.2</c:v>
                </c:pt>
                <c:pt idx="1710">
                  <c:v>0.9</c:v>
                </c:pt>
                <c:pt idx="1711">
                  <c:v>0.7</c:v>
                </c:pt>
                <c:pt idx="1712">
                  <c:v>0.9</c:v>
                </c:pt>
                <c:pt idx="1713">
                  <c:v>3.1</c:v>
                </c:pt>
                <c:pt idx="1714">
                  <c:v>5.2</c:v>
                </c:pt>
                <c:pt idx="1715">
                  <c:v>4</c:v>
                </c:pt>
                <c:pt idx="1716">
                  <c:v>3.2</c:v>
                </c:pt>
                <c:pt idx="1717">
                  <c:v>8</c:v>
                </c:pt>
                <c:pt idx="1718">
                  <c:v>2.9</c:v>
                </c:pt>
                <c:pt idx="1719">
                  <c:v>4.5999999999999996</c:v>
                </c:pt>
                <c:pt idx="1720">
                  <c:v>4.5999999999999996</c:v>
                </c:pt>
                <c:pt idx="1721">
                  <c:v>1.7</c:v>
                </c:pt>
                <c:pt idx="1722">
                  <c:v>1.7</c:v>
                </c:pt>
                <c:pt idx="1723">
                  <c:v>4.7</c:v>
                </c:pt>
                <c:pt idx="1724">
                  <c:v>4.5</c:v>
                </c:pt>
                <c:pt idx="1725">
                  <c:v>1.9</c:v>
                </c:pt>
                <c:pt idx="1726">
                  <c:v>4.0999999999999996</c:v>
                </c:pt>
                <c:pt idx="1727">
                  <c:v>3.4</c:v>
                </c:pt>
                <c:pt idx="1728">
                  <c:v>1.7</c:v>
                </c:pt>
                <c:pt idx="1729">
                  <c:v>3.4</c:v>
                </c:pt>
                <c:pt idx="1730">
                  <c:v>4.4000000000000004</c:v>
                </c:pt>
                <c:pt idx="1731">
                  <c:v>3.5</c:v>
                </c:pt>
                <c:pt idx="1732">
                  <c:v>5.5</c:v>
                </c:pt>
                <c:pt idx="1733">
                  <c:v>3.5</c:v>
                </c:pt>
                <c:pt idx="1734">
                  <c:v>1.4</c:v>
                </c:pt>
                <c:pt idx="1735">
                  <c:v>3.1</c:v>
                </c:pt>
                <c:pt idx="1736">
                  <c:v>1.3</c:v>
                </c:pt>
                <c:pt idx="1737">
                  <c:v>2.6</c:v>
                </c:pt>
                <c:pt idx="1738">
                  <c:v>1.7</c:v>
                </c:pt>
                <c:pt idx="1739">
                  <c:v>0</c:v>
                </c:pt>
                <c:pt idx="1740">
                  <c:v>14.4</c:v>
                </c:pt>
                <c:pt idx="1741">
                  <c:v>1.4</c:v>
                </c:pt>
                <c:pt idx="1742">
                  <c:v>1.4</c:v>
                </c:pt>
                <c:pt idx="1743">
                  <c:v>3</c:v>
                </c:pt>
                <c:pt idx="1744">
                  <c:v>4.7</c:v>
                </c:pt>
                <c:pt idx="1745">
                  <c:v>2.9</c:v>
                </c:pt>
                <c:pt idx="1746">
                  <c:v>2</c:v>
                </c:pt>
                <c:pt idx="1747">
                  <c:v>11.9</c:v>
                </c:pt>
                <c:pt idx="1748">
                  <c:v>10.8</c:v>
                </c:pt>
                <c:pt idx="1749">
                  <c:v>8.5</c:v>
                </c:pt>
                <c:pt idx="1750">
                  <c:v>5.5</c:v>
                </c:pt>
                <c:pt idx="1751">
                  <c:v>11.9</c:v>
                </c:pt>
                <c:pt idx="1752">
                  <c:v>4.7</c:v>
                </c:pt>
                <c:pt idx="1753">
                  <c:v>7.8</c:v>
                </c:pt>
                <c:pt idx="1754">
                  <c:v>12</c:v>
                </c:pt>
                <c:pt idx="1755">
                  <c:v>11.8</c:v>
                </c:pt>
                <c:pt idx="1756">
                  <c:v>13.6</c:v>
                </c:pt>
                <c:pt idx="1757">
                  <c:v>15.4</c:v>
                </c:pt>
                <c:pt idx="1758">
                  <c:v>13.4</c:v>
                </c:pt>
                <c:pt idx="1759">
                  <c:v>9.5</c:v>
                </c:pt>
                <c:pt idx="1760">
                  <c:v>10.3</c:v>
                </c:pt>
                <c:pt idx="1761">
                  <c:v>9.1</c:v>
                </c:pt>
                <c:pt idx="1762">
                  <c:v>10.6</c:v>
                </c:pt>
                <c:pt idx="1763">
                  <c:v>11.3</c:v>
                </c:pt>
                <c:pt idx="1764">
                  <c:v>5.3</c:v>
                </c:pt>
                <c:pt idx="1765">
                  <c:v>5.8</c:v>
                </c:pt>
                <c:pt idx="1766">
                  <c:v>6.1</c:v>
                </c:pt>
                <c:pt idx="1767">
                  <c:v>6.9</c:v>
                </c:pt>
                <c:pt idx="1768">
                  <c:v>5</c:v>
                </c:pt>
                <c:pt idx="1769">
                  <c:v>5.9</c:v>
                </c:pt>
                <c:pt idx="1770">
                  <c:v>5.2</c:v>
                </c:pt>
                <c:pt idx="1771">
                  <c:v>5.6</c:v>
                </c:pt>
                <c:pt idx="1772">
                  <c:v>6.5</c:v>
                </c:pt>
                <c:pt idx="1773">
                  <c:v>5.8</c:v>
                </c:pt>
                <c:pt idx="1774">
                  <c:v>12.5</c:v>
                </c:pt>
                <c:pt idx="1775">
                  <c:v>6.5</c:v>
                </c:pt>
                <c:pt idx="1776">
                  <c:v>8.5</c:v>
                </c:pt>
                <c:pt idx="1777">
                  <c:v>10.199999999999999</c:v>
                </c:pt>
                <c:pt idx="1778">
                  <c:v>10</c:v>
                </c:pt>
                <c:pt idx="1779">
                  <c:v>11.1</c:v>
                </c:pt>
                <c:pt idx="1780">
                  <c:v>13</c:v>
                </c:pt>
                <c:pt idx="1781">
                  <c:v>9.1999999999999993</c:v>
                </c:pt>
                <c:pt idx="1782">
                  <c:v>9.3000000000000007</c:v>
                </c:pt>
                <c:pt idx="1783">
                  <c:v>5.9</c:v>
                </c:pt>
                <c:pt idx="1784">
                  <c:v>9.4</c:v>
                </c:pt>
                <c:pt idx="1785">
                  <c:v>7.5</c:v>
                </c:pt>
                <c:pt idx="1786">
                  <c:v>7.9</c:v>
                </c:pt>
                <c:pt idx="1787">
                  <c:v>6.3</c:v>
                </c:pt>
                <c:pt idx="1788">
                  <c:v>8.8000000000000007</c:v>
                </c:pt>
                <c:pt idx="1789">
                  <c:v>8.6</c:v>
                </c:pt>
                <c:pt idx="1790">
                  <c:v>10.6</c:v>
                </c:pt>
                <c:pt idx="1791">
                  <c:v>6</c:v>
                </c:pt>
                <c:pt idx="1792">
                  <c:v>8.1999999999999993</c:v>
                </c:pt>
                <c:pt idx="1793">
                  <c:v>9.8000000000000007</c:v>
                </c:pt>
                <c:pt idx="1794">
                  <c:v>9</c:v>
                </c:pt>
                <c:pt idx="1795">
                  <c:v>8.4</c:v>
                </c:pt>
                <c:pt idx="1796">
                  <c:v>4.5999999999999996</c:v>
                </c:pt>
                <c:pt idx="1797">
                  <c:v>7.6</c:v>
                </c:pt>
                <c:pt idx="1798">
                  <c:v>15.3</c:v>
                </c:pt>
                <c:pt idx="1799">
                  <c:v>9.5</c:v>
                </c:pt>
                <c:pt idx="1800">
                  <c:v>9.1</c:v>
                </c:pt>
                <c:pt idx="1801">
                  <c:v>5.2</c:v>
                </c:pt>
                <c:pt idx="1802">
                  <c:v>11.5</c:v>
                </c:pt>
                <c:pt idx="1803">
                  <c:v>5.8</c:v>
                </c:pt>
                <c:pt idx="1804">
                  <c:v>9.6999999999999993</c:v>
                </c:pt>
                <c:pt idx="1805">
                  <c:v>1.2</c:v>
                </c:pt>
                <c:pt idx="1806">
                  <c:v>6</c:v>
                </c:pt>
                <c:pt idx="1807">
                  <c:v>12.2</c:v>
                </c:pt>
                <c:pt idx="1808">
                  <c:v>5.9</c:v>
                </c:pt>
                <c:pt idx="1809">
                  <c:v>7.3</c:v>
                </c:pt>
                <c:pt idx="1810">
                  <c:v>3.5</c:v>
                </c:pt>
                <c:pt idx="1811">
                  <c:v>13.8</c:v>
                </c:pt>
                <c:pt idx="1812">
                  <c:v>15.5</c:v>
                </c:pt>
                <c:pt idx="1813">
                  <c:v>5.4</c:v>
                </c:pt>
                <c:pt idx="1814">
                  <c:v>12.7</c:v>
                </c:pt>
                <c:pt idx="1815">
                  <c:v>5</c:v>
                </c:pt>
                <c:pt idx="1816">
                  <c:v>11.4</c:v>
                </c:pt>
                <c:pt idx="1817">
                  <c:v>9.6999999999999993</c:v>
                </c:pt>
                <c:pt idx="1818">
                  <c:v>9.1999999999999993</c:v>
                </c:pt>
                <c:pt idx="1819">
                  <c:v>9.1999999999999993</c:v>
                </c:pt>
                <c:pt idx="1820">
                  <c:v>6.4</c:v>
                </c:pt>
                <c:pt idx="1821">
                  <c:v>7.9</c:v>
                </c:pt>
                <c:pt idx="1822">
                  <c:v>6.8</c:v>
                </c:pt>
                <c:pt idx="1823">
                  <c:v>7.3</c:v>
                </c:pt>
                <c:pt idx="1824">
                  <c:v>10.7</c:v>
                </c:pt>
                <c:pt idx="1825">
                  <c:v>11.2</c:v>
                </c:pt>
                <c:pt idx="1826">
                  <c:v>2.1</c:v>
                </c:pt>
                <c:pt idx="1827">
                  <c:v>12.4</c:v>
                </c:pt>
                <c:pt idx="1828">
                  <c:v>6.4</c:v>
                </c:pt>
                <c:pt idx="1829">
                  <c:v>9.1999999999999993</c:v>
                </c:pt>
                <c:pt idx="1830">
                  <c:v>14</c:v>
                </c:pt>
                <c:pt idx="1831">
                  <c:v>7.8</c:v>
                </c:pt>
                <c:pt idx="1832">
                  <c:v>8.1999999999999993</c:v>
                </c:pt>
                <c:pt idx="1833">
                  <c:v>7.3</c:v>
                </c:pt>
                <c:pt idx="1834">
                  <c:v>7.8</c:v>
                </c:pt>
                <c:pt idx="1835">
                  <c:v>5.4</c:v>
                </c:pt>
                <c:pt idx="1836">
                  <c:v>7.1</c:v>
                </c:pt>
                <c:pt idx="1837">
                  <c:v>6.9</c:v>
                </c:pt>
                <c:pt idx="1838">
                  <c:v>6.7</c:v>
                </c:pt>
                <c:pt idx="1839">
                  <c:v>6.1</c:v>
                </c:pt>
                <c:pt idx="1840">
                  <c:v>9.5</c:v>
                </c:pt>
                <c:pt idx="1841">
                  <c:v>8.6999999999999993</c:v>
                </c:pt>
                <c:pt idx="1842">
                  <c:v>7</c:v>
                </c:pt>
                <c:pt idx="1843">
                  <c:v>7.9</c:v>
                </c:pt>
                <c:pt idx="1844">
                  <c:v>8.8000000000000007</c:v>
                </c:pt>
                <c:pt idx="1845">
                  <c:v>9.3000000000000007</c:v>
                </c:pt>
                <c:pt idx="1846">
                  <c:v>6.7</c:v>
                </c:pt>
                <c:pt idx="1847">
                  <c:v>9.1</c:v>
                </c:pt>
                <c:pt idx="1848">
                  <c:v>9.6999999999999993</c:v>
                </c:pt>
                <c:pt idx="1849">
                  <c:v>8.6999999999999993</c:v>
                </c:pt>
                <c:pt idx="1850">
                  <c:v>10.6</c:v>
                </c:pt>
                <c:pt idx="1851">
                  <c:v>10</c:v>
                </c:pt>
                <c:pt idx="1852">
                  <c:v>8.3000000000000007</c:v>
                </c:pt>
                <c:pt idx="1853">
                  <c:v>5.4</c:v>
                </c:pt>
                <c:pt idx="1854">
                  <c:v>5.0999999999999996</c:v>
                </c:pt>
                <c:pt idx="1855">
                  <c:v>7.7</c:v>
                </c:pt>
                <c:pt idx="1856">
                  <c:v>8.9</c:v>
                </c:pt>
                <c:pt idx="1857">
                  <c:v>6.4</c:v>
                </c:pt>
                <c:pt idx="1858">
                  <c:v>7.5</c:v>
                </c:pt>
                <c:pt idx="1859">
                  <c:v>7.6</c:v>
                </c:pt>
                <c:pt idx="1860">
                  <c:v>7.4</c:v>
                </c:pt>
                <c:pt idx="1861">
                  <c:v>7.2</c:v>
                </c:pt>
                <c:pt idx="1862">
                  <c:v>6.4</c:v>
                </c:pt>
                <c:pt idx="1863">
                  <c:v>7.3</c:v>
                </c:pt>
                <c:pt idx="1864">
                  <c:v>9</c:v>
                </c:pt>
                <c:pt idx="1865">
                  <c:v>9.6999999999999993</c:v>
                </c:pt>
                <c:pt idx="1866">
                  <c:v>7.1</c:v>
                </c:pt>
                <c:pt idx="1867">
                  <c:v>6.8</c:v>
                </c:pt>
                <c:pt idx="1868">
                  <c:v>8.6</c:v>
                </c:pt>
                <c:pt idx="1869">
                  <c:v>7.6</c:v>
                </c:pt>
                <c:pt idx="1870">
                  <c:v>6.9</c:v>
                </c:pt>
                <c:pt idx="1871">
                  <c:v>7.9</c:v>
                </c:pt>
                <c:pt idx="1872">
                  <c:v>10</c:v>
                </c:pt>
                <c:pt idx="1873">
                  <c:v>6</c:v>
                </c:pt>
                <c:pt idx="1874">
                  <c:v>7.4</c:v>
                </c:pt>
                <c:pt idx="1875">
                  <c:v>10.5</c:v>
                </c:pt>
                <c:pt idx="1876">
                  <c:v>6.4</c:v>
                </c:pt>
                <c:pt idx="1877">
                  <c:v>5.5</c:v>
                </c:pt>
                <c:pt idx="1878">
                  <c:v>8.1999999999999993</c:v>
                </c:pt>
                <c:pt idx="1879">
                  <c:v>6.4</c:v>
                </c:pt>
                <c:pt idx="1880">
                  <c:v>11.5</c:v>
                </c:pt>
                <c:pt idx="1881">
                  <c:v>6.9</c:v>
                </c:pt>
                <c:pt idx="1882">
                  <c:v>5.9</c:v>
                </c:pt>
                <c:pt idx="1883">
                  <c:v>9.3000000000000007</c:v>
                </c:pt>
                <c:pt idx="1884">
                  <c:v>6.6</c:v>
                </c:pt>
                <c:pt idx="1885">
                  <c:v>9.5</c:v>
                </c:pt>
                <c:pt idx="1886">
                  <c:v>7.5</c:v>
                </c:pt>
                <c:pt idx="1887">
                  <c:v>7.6</c:v>
                </c:pt>
                <c:pt idx="1888">
                  <c:v>7.4</c:v>
                </c:pt>
                <c:pt idx="1889">
                  <c:v>6.9</c:v>
                </c:pt>
                <c:pt idx="1890">
                  <c:v>7.9</c:v>
                </c:pt>
                <c:pt idx="1891">
                  <c:v>9</c:v>
                </c:pt>
                <c:pt idx="1892">
                  <c:v>10.5</c:v>
                </c:pt>
                <c:pt idx="1893">
                  <c:v>17.600000000000001</c:v>
                </c:pt>
                <c:pt idx="1894">
                  <c:v>8.5</c:v>
                </c:pt>
                <c:pt idx="1895">
                  <c:v>6.9</c:v>
                </c:pt>
                <c:pt idx="1896">
                  <c:v>11.5</c:v>
                </c:pt>
                <c:pt idx="1897">
                  <c:v>13.5</c:v>
                </c:pt>
                <c:pt idx="1898">
                  <c:v>12.1</c:v>
                </c:pt>
                <c:pt idx="1899">
                  <c:v>11.4</c:v>
                </c:pt>
                <c:pt idx="1900">
                  <c:v>7</c:v>
                </c:pt>
                <c:pt idx="1901">
                  <c:v>11.6</c:v>
                </c:pt>
                <c:pt idx="1902">
                  <c:v>9.1999999999999993</c:v>
                </c:pt>
                <c:pt idx="1903">
                  <c:v>12.2</c:v>
                </c:pt>
                <c:pt idx="1904">
                  <c:v>9.3000000000000007</c:v>
                </c:pt>
                <c:pt idx="1905">
                  <c:v>10.199999999999999</c:v>
                </c:pt>
                <c:pt idx="1906">
                  <c:v>10.9</c:v>
                </c:pt>
                <c:pt idx="1907">
                  <c:v>8.1999999999999993</c:v>
                </c:pt>
                <c:pt idx="1908">
                  <c:v>9</c:v>
                </c:pt>
                <c:pt idx="1909">
                  <c:v>8.4</c:v>
                </c:pt>
                <c:pt idx="1910">
                  <c:v>12.7</c:v>
                </c:pt>
                <c:pt idx="1911">
                  <c:v>12.3</c:v>
                </c:pt>
                <c:pt idx="1912">
                  <c:v>12.6</c:v>
                </c:pt>
                <c:pt idx="1913">
                  <c:v>9</c:v>
                </c:pt>
                <c:pt idx="1914">
                  <c:v>11.4</c:v>
                </c:pt>
                <c:pt idx="1915">
                  <c:v>12.6</c:v>
                </c:pt>
                <c:pt idx="1916">
                  <c:v>6.6</c:v>
                </c:pt>
                <c:pt idx="1917">
                  <c:v>6.4</c:v>
                </c:pt>
                <c:pt idx="1918">
                  <c:v>11</c:v>
                </c:pt>
                <c:pt idx="1919">
                  <c:v>7.2</c:v>
                </c:pt>
                <c:pt idx="1920">
                  <c:v>11.3</c:v>
                </c:pt>
                <c:pt idx="1921">
                  <c:v>6.8</c:v>
                </c:pt>
                <c:pt idx="1922">
                  <c:v>15.4</c:v>
                </c:pt>
                <c:pt idx="1923">
                  <c:v>9.5</c:v>
                </c:pt>
                <c:pt idx="1924">
                  <c:v>9.9</c:v>
                </c:pt>
                <c:pt idx="1925">
                  <c:v>11.2</c:v>
                </c:pt>
                <c:pt idx="1926">
                  <c:v>12.2</c:v>
                </c:pt>
                <c:pt idx="1927">
                  <c:v>11.1</c:v>
                </c:pt>
                <c:pt idx="1928">
                  <c:v>8.3000000000000007</c:v>
                </c:pt>
                <c:pt idx="1929">
                  <c:v>11.9</c:v>
                </c:pt>
                <c:pt idx="1930">
                  <c:v>8.8000000000000007</c:v>
                </c:pt>
                <c:pt idx="1931">
                  <c:v>14.1</c:v>
                </c:pt>
                <c:pt idx="1932">
                  <c:v>11.3</c:v>
                </c:pt>
                <c:pt idx="1933">
                  <c:v>7.3</c:v>
                </c:pt>
                <c:pt idx="1934">
                  <c:v>6</c:v>
                </c:pt>
                <c:pt idx="1935">
                  <c:v>13.7</c:v>
                </c:pt>
                <c:pt idx="1936">
                  <c:v>13.1</c:v>
                </c:pt>
                <c:pt idx="1937">
                  <c:v>12.7</c:v>
                </c:pt>
                <c:pt idx="1938">
                  <c:v>9.8000000000000007</c:v>
                </c:pt>
                <c:pt idx="1939">
                  <c:v>6.2</c:v>
                </c:pt>
                <c:pt idx="1940">
                  <c:v>8.9</c:v>
                </c:pt>
                <c:pt idx="1941">
                  <c:v>11.6</c:v>
                </c:pt>
                <c:pt idx="1942">
                  <c:v>10.3</c:v>
                </c:pt>
                <c:pt idx="1943">
                  <c:v>13.1</c:v>
                </c:pt>
                <c:pt idx="1944">
                  <c:v>10.199999999999999</c:v>
                </c:pt>
                <c:pt idx="1945">
                  <c:v>11.1</c:v>
                </c:pt>
                <c:pt idx="1946">
                  <c:v>7.3</c:v>
                </c:pt>
                <c:pt idx="1947">
                  <c:v>7.3</c:v>
                </c:pt>
                <c:pt idx="1948">
                  <c:v>14.7</c:v>
                </c:pt>
                <c:pt idx="1949">
                  <c:v>8.9</c:v>
                </c:pt>
                <c:pt idx="1950">
                  <c:v>8.6</c:v>
                </c:pt>
                <c:pt idx="1951">
                  <c:v>10.5</c:v>
                </c:pt>
                <c:pt idx="1952">
                  <c:v>8</c:v>
                </c:pt>
                <c:pt idx="1953">
                  <c:v>11.9</c:v>
                </c:pt>
                <c:pt idx="1954">
                  <c:v>8.9</c:v>
                </c:pt>
                <c:pt idx="1955">
                  <c:v>15.9</c:v>
                </c:pt>
                <c:pt idx="1956">
                  <c:v>11.6</c:v>
                </c:pt>
                <c:pt idx="1957">
                  <c:v>6.4</c:v>
                </c:pt>
                <c:pt idx="1958">
                  <c:v>9.6999999999999993</c:v>
                </c:pt>
                <c:pt idx="1959">
                  <c:v>10.1</c:v>
                </c:pt>
                <c:pt idx="1960">
                  <c:v>9.8000000000000007</c:v>
                </c:pt>
                <c:pt idx="1961">
                  <c:v>12.7</c:v>
                </c:pt>
                <c:pt idx="1962">
                  <c:v>11.9</c:v>
                </c:pt>
                <c:pt idx="1963">
                  <c:v>12.1</c:v>
                </c:pt>
                <c:pt idx="1964">
                  <c:v>8.8000000000000007</c:v>
                </c:pt>
                <c:pt idx="1965">
                  <c:v>9</c:v>
                </c:pt>
                <c:pt idx="1966">
                  <c:v>13.8</c:v>
                </c:pt>
                <c:pt idx="1967">
                  <c:v>12.1</c:v>
                </c:pt>
                <c:pt idx="1968">
                  <c:v>10.5</c:v>
                </c:pt>
                <c:pt idx="1969">
                  <c:v>11.5</c:v>
                </c:pt>
                <c:pt idx="1970">
                  <c:v>12.2</c:v>
                </c:pt>
                <c:pt idx="1971">
                  <c:v>10.4</c:v>
                </c:pt>
                <c:pt idx="1972">
                  <c:v>15.5</c:v>
                </c:pt>
                <c:pt idx="1973">
                  <c:v>12.2</c:v>
                </c:pt>
                <c:pt idx="1974">
                  <c:v>9.3000000000000007</c:v>
                </c:pt>
                <c:pt idx="1975">
                  <c:v>6.9</c:v>
                </c:pt>
                <c:pt idx="1976">
                  <c:v>7.7</c:v>
                </c:pt>
                <c:pt idx="1977">
                  <c:v>6.9</c:v>
                </c:pt>
                <c:pt idx="1978">
                  <c:v>14.1</c:v>
                </c:pt>
                <c:pt idx="1979">
                  <c:v>7.7</c:v>
                </c:pt>
                <c:pt idx="1980">
                  <c:v>12.2</c:v>
                </c:pt>
                <c:pt idx="1981">
                  <c:v>6.4</c:v>
                </c:pt>
                <c:pt idx="1982">
                  <c:v>10.7</c:v>
                </c:pt>
                <c:pt idx="1983">
                  <c:v>15.5</c:v>
                </c:pt>
                <c:pt idx="1984">
                  <c:v>9.5</c:v>
                </c:pt>
                <c:pt idx="1985">
                  <c:v>12.4</c:v>
                </c:pt>
                <c:pt idx="1986">
                  <c:v>11.7</c:v>
                </c:pt>
                <c:pt idx="1987">
                  <c:v>10.1</c:v>
                </c:pt>
                <c:pt idx="1988">
                  <c:v>8.3000000000000007</c:v>
                </c:pt>
                <c:pt idx="1989">
                  <c:v>11</c:v>
                </c:pt>
                <c:pt idx="1990">
                  <c:v>1.2</c:v>
                </c:pt>
                <c:pt idx="1991">
                  <c:v>2.4</c:v>
                </c:pt>
                <c:pt idx="1992">
                  <c:v>6.1</c:v>
                </c:pt>
                <c:pt idx="1993">
                  <c:v>1.4</c:v>
                </c:pt>
                <c:pt idx="1994">
                  <c:v>2.6</c:v>
                </c:pt>
                <c:pt idx="1995">
                  <c:v>1.8</c:v>
                </c:pt>
                <c:pt idx="1996">
                  <c:v>2.2999999999999998</c:v>
                </c:pt>
                <c:pt idx="1997">
                  <c:v>2.2999999999999998</c:v>
                </c:pt>
                <c:pt idx="1998">
                  <c:v>3.2</c:v>
                </c:pt>
                <c:pt idx="1999">
                  <c:v>0.8</c:v>
                </c:pt>
                <c:pt idx="2000">
                  <c:v>1.5</c:v>
                </c:pt>
                <c:pt idx="2001">
                  <c:v>0.7</c:v>
                </c:pt>
                <c:pt idx="2002">
                  <c:v>4.3</c:v>
                </c:pt>
                <c:pt idx="2003">
                  <c:v>1.9</c:v>
                </c:pt>
                <c:pt idx="2004">
                  <c:v>3.6</c:v>
                </c:pt>
                <c:pt idx="2005">
                  <c:v>1.3</c:v>
                </c:pt>
                <c:pt idx="2006">
                  <c:v>1</c:v>
                </c:pt>
                <c:pt idx="2007">
                  <c:v>3.6</c:v>
                </c:pt>
                <c:pt idx="2008">
                  <c:v>3.4</c:v>
                </c:pt>
                <c:pt idx="2009">
                  <c:v>2</c:v>
                </c:pt>
                <c:pt idx="2010">
                  <c:v>1.1000000000000001</c:v>
                </c:pt>
                <c:pt idx="2011">
                  <c:v>0.9</c:v>
                </c:pt>
                <c:pt idx="2012">
                  <c:v>1.9</c:v>
                </c:pt>
                <c:pt idx="2013">
                  <c:v>2.2000000000000002</c:v>
                </c:pt>
                <c:pt idx="2014">
                  <c:v>3.1</c:v>
                </c:pt>
                <c:pt idx="2015">
                  <c:v>1.2</c:v>
                </c:pt>
                <c:pt idx="2016">
                  <c:v>3</c:v>
                </c:pt>
                <c:pt idx="2017">
                  <c:v>1.6</c:v>
                </c:pt>
                <c:pt idx="2018">
                  <c:v>3.2</c:v>
                </c:pt>
                <c:pt idx="2019">
                  <c:v>3.2</c:v>
                </c:pt>
                <c:pt idx="2020">
                  <c:v>4.7</c:v>
                </c:pt>
                <c:pt idx="2021">
                  <c:v>0.7</c:v>
                </c:pt>
                <c:pt idx="2022">
                  <c:v>3.6</c:v>
                </c:pt>
                <c:pt idx="2023">
                  <c:v>3.5</c:v>
                </c:pt>
                <c:pt idx="2024">
                  <c:v>0.9</c:v>
                </c:pt>
                <c:pt idx="2025">
                  <c:v>1.2</c:v>
                </c:pt>
                <c:pt idx="2026">
                  <c:v>2</c:v>
                </c:pt>
                <c:pt idx="2027">
                  <c:v>1.6</c:v>
                </c:pt>
                <c:pt idx="2028">
                  <c:v>3</c:v>
                </c:pt>
                <c:pt idx="2029">
                  <c:v>4.8</c:v>
                </c:pt>
                <c:pt idx="2030">
                  <c:v>1.2</c:v>
                </c:pt>
                <c:pt idx="2031">
                  <c:v>2</c:v>
                </c:pt>
                <c:pt idx="2032">
                  <c:v>20.3</c:v>
                </c:pt>
                <c:pt idx="2033">
                  <c:v>0</c:v>
                </c:pt>
                <c:pt idx="2034">
                  <c:v>2.8</c:v>
                </c:pt>
                <c:pt idx="2035">
                  <c:v>4</c:v>
                </c:pt>
                <c:pt idx="2036">
                  <c:v>2.5</c:v>
                </c:pt>
                <c:pt idx="2037">
                  <c:v>2.9</c:v>
                </c:pt>
                <c:pt idx="2038">
                  <c:v>2.7</c:v>
                </c:pt>
                <c:pt idx="2039">
                  <c:v>3.3</c:v>
                </c:pt>
                <c:pt idx="2040">
                  <c:v>2.6</c:v>
                </c:pt>
                <c:pt idx="2041">
                  <c:v>1.3</c:v>
                </c:pt>
                <c:pt idx="2042">
                  <c:v>1.7</c:v>
                </c:pt>
                <c:pt idx="2043">
                  <c:v>13.4</c:v>
                </c:pt>
                <c:pt idx="2044">
                  <c:v>9.1999999999999993</c:v>
                </c:pt>
                <c:pt idx="2045">
                  <c:v>7.8</c:v>
                </c:pt>
                <c:pt idx="2046">
                  <c:v>8.9</c:v>
                </c:pt>
                <c:pt idx="2047">
                  <c:v>10.9</c:v>
                </c:pt>
                <c:pt idx="2048">
                  <c:v>5</c:v>
                </c:pt>
                <c:pt idx="2049">
                  <c:v>8.5</c:v>
                </c:pt>
                <c:pt idx="2050">
                  <c:v>9.9</c:v>
                </c:pt>
                <c:pt idx="2051">
                  <c:v>7.2</c:v>
                </c:pt>
                <c:pt idx="2052">
                  <c:v>7.1</c:v>
                </c:pt>
                <c:pt idx="2053">
                  <c:v>9.1</c:v>
                </c:pt>
                <c:pt idx="2054">
                  <c:v>10</c:v>
                </c:pt>
                <c:pt idx="2055">
                  <c:v>5.5</c:v>
                </c:pt>
                <c:pt idx="2056">
                  <c:v>9.1999999999999993</c:v>
                </c:pt>
                <c:pt idx="2057">
                  <c:v>9</c:v>
                </c:pt>
                <c:pt idx="2058">
                  <c:v>7.8</c:v>
                </c:pt>
                <c:pt idx="2059">
                  <c:v>8.1</c:v>
                </c:pt>
                <c:pt idx="2060">
                  <c:v>10.6</c:v>
                </c:pt>
                <c:pt idx="2061">
                  <c:v>7.6</c:v>
                </c:pt>
                <c:pt idx="2062">
                  <c:v>8.4</c:v>
                </c:pt>
                <c:pt idx="2063">
                  <c:v>3.2</c:v>
                </c:pt>
                <c:pt idx="2064">
                  <c:v>7.7</c:v>
                </c:pt>
                <c:pt idx="2065">
                  <c:v>6.9</c:v>
                </c:pt>
                <c:pt idx="2066">
                  <c:v>8.6</c:v>
                </c:pt>
                <c:pt idx="2067">
                  <c:v>7</c:v>
                </c:pt>
                <c:pt idx="2068">
                  <c:v>6.7</c:v>
                </c:pt>
                <c:pt idx="2069">
                  <c:v>7.5</c:v>
                </c:pt>
                <c:pt idx="2070">
                  <c:v>4.0999999999999996</c:v>
                </c:pt>
                <c:pt idx="2071">
                  <c:v>7.6</c:v>
                </c:pt>
                <c:pt idx="2072">
                  <c:v>11.7</c:v>
                </c:pt>
                <c:pt idx="2073">
                  <c:v>8.8000000000000007</c:v>
                </c:pt>
                <c:pt idx="2074">
                  <c:v>6.9</c:v>
                </c:pt>
                <c:pt idx="2075">
                  <c:v>9.6</c:v>
                </c:pt>
                <c:pt idx="2076">
                  <c:v>5.6</c:v>
                </c:pt>
                <c:pt idx="2077">
                  <c:v>6.7</c:v>
                </c:pt>
                <c:pt idx="2078">
                  <c:v>11.5</c:v>
                </c:pt>
                <c:pt idx="2079">
                  <c:v>9.5</c:v>
                </c:pt>
                <c:pt idx="2080">
                  <c:v>4.2</c:v>
                </c:pt>
                <c:pt idx="2081">
                  <c:v>7.2</c:v>
                </c:pt>
                <c:pt idx="2082">
                  <c:v>11.5</c:v>
                </c:pt>
                <c:pt idx="2083">
                  <c:v>8.8000000000000007</c:v>
                </c:pt>
                <c:pt idx="2084">
                  <c:v>6.6</c:v>
                </c:pt>
                <c:pt idx="2085">
                  <c:v>6</c:v>
                </c:pt>
                <c:pt idx="2086">
                  <c:v>8</c:v>
                </c:pt>
                <c:pt idx="2087">
                  <c:v>7.2</c:v>
                </c:pt>
                <c:pt idx="2088">
                  <c:v>7.6</c:v>
                </c:pt>
                <c:pt idx="2089">
                  <c:v>8.8000000000000007</c:v>
                </c:pt>
                <c:pt idx="2090">
                  <c:v>11.1</c:v>
                </c:pt>
                <c:pt idx="2091">
                  <c:v>5.9</c:v>
                </c:pt>
                <c:pt idx="2092">
                  <c:v>9.5</c:v>
                </c:pt>
                <c:pt idx="2093">
                  <c:v>9.6</c:v>
                </c:pt>
                <c:pt idx="2094">
                  <c:v>5</c:v>
                </c:pt>
                <c:pt idx="2095">
                  <c:v>12.1</c:v>
                </c:pt>
                <c:pt idx="2096">
                  <c:v>5.5</c:v>
                </c:pt>
                <c:pt idx="2097">
                  <c:v>7.6</c:v>
                </c:pt>
                <c:pt idx="2098">
                  <c:v>7.4</c:v>
                </c:pt>
                <c:pt idx="2099">
                  <c:v>9.4</c:v>
                </c:pt>
                <c:pt idx="2100">
                  <c:v>9.3000000000000007</c:v>
                </c:pt>
                <c:pt idx="2101">
                  <c:v>7</c:v>
                </c:pt>
                <c:pt idx="2102">
                  <c:v>8.3000000000000007</c:v>
                </c:pt>
                <c:pt idx="2103">
                  <c:v>7</c:v>
                </c:pt>
                <c:pt idx="2104">
                  <c:v>5.5</c:v>
                </c:pt>
                <c:pt idx="2105">
                  <c:v>6.6</c:v>
                </c:pt>
                <c:pt idx="2106">
                  <c:v>9.5</c:v>
                </c:pt>
                <c:pt idx="2107">
                  <c:v>6.9</c:v>
                </c:pt>
                <c:pt idx="2108">
                  <c:v>13.4</c:v>
                </c:pt>
                <c:pt idx="2109">
                  <c:v>8.6999999999999993</c:v>
                </c:pt>
                <c:pt idx="2110">
                  <c:v>7.3</c:v>
                </c:pt>
                <c:pt idx="2111">
                  <c:v>3.4</c:v>
                </c:pt>
                <c:pt idx="2112">
                  <c:v>8.6999999999999993</c:v>
                </c:pt>
                <c:pt idx="2113">
                  <c:v>11.3</c:v>
                </c:pt>
                <c:pt idx="2114">
                  <c:v>7.6</c:v>
                </c:pt>
                <c:pt idx="2115">
                  <c:v>9.6</c:v>
                </c:pt>
                <c:pt idx="2116">
                  <c:v>8.1</c:v>
                </c:pt>
                <c:pt idx="2117">
                  <c:v>6.7</c:v>
                </c:pt>
                <c:pt idx="2118">
                  <c:v>8.5</c:v>
                </c:pt>
                <c:pt idx="2119">
                  <c:v>8.4</c:v>
                </c:pt>
                <c:pt idx="2120">
                  <c:v>7.4</c:v>
                </c:pt>
                <c:pt idx="2121">
                  <c:v>7</c:v>
                </c:pt>
                <c:pt idx="2122">
                  <c:v>4.2</c:v>
                </c:pt>
                <c:pt idx="2123">
                  <c:v>7.5</c:v>
                </c:pt>
                <c:pt idx="2124">
                  <c:v>12</c:v>
                </c:pt>
                <c:pt idx="2125">
                  <c:v>6.1</c:v>
                </c:pt>
                <c:pt idx="2126">
                  <c:v>6.8</c:v>
                </c:pt>
                <c:pt idx="2127">
                  <c:v>4.8</c:v>
                </c:pt>
                <c:pt idx="2128">
                  <c:v>7.1</c:v>
                </c:pt>
                <c:pt idx="2129">
                  <c:v>7.2</c:v>
                </c:pt>
                <c:pt idx="2130">
                  <c:v>6.6</c:v>
                </c:pt>
                <c:pt idx="2131">
                  <c:v>7.9</c:v>
                </c:pt>
                <c:pt idx="2132">
                  <c:v>4.9000000000000004</c:v>
                </c:pt>
                <c:pt idx="2133">
                  <c:v>8.6999999999999993</c:v>
                </c:pt>
                <c:pt idx="2134">
                  <c:v>3</c:v>
                </c:pt>
                <c:pt idx="2135">
                  <c:v>2.9</c:v>
                </c:pt>
                <c:pt idx="2136">
                  <c:v>3</c:v>
                </c:pt>
                <c:pt idx="2137">
                  <c:v>8.1</c:v>
                </c:pt>
                <c:pt idx="2138">
                  <c:v>9.5</c:v>
                </c:pt>
                <c:pt idx="2139">
                  <c:v>4.5</c:v>
                </c:pt>
                <c:pt idx="2140">
                  <c:v>6.1</c:v>
                </c:pt>
                <c:pt idx="2141">
                  <c:v>7.9</c:v>
                </c:pt>
                <c:pt idx="2142">
                  <c:v>8.9</c:v>
                </c:pt>
                <c:pt idx="2143">
                  <c:v>2.2000000000000002</c:v>
                </c:pt>
                <c:pt idx="2144">
                  <c:v>4.9000000000000004</c:v>
                </c:pt>
                <c:pt idx="2145">
                  <c:v>9.1</c:v>
                </c:pt>
                <c:pt idx="2146">
                  <c:v>8.6</c:v>
                </c:pt>
                <c:pt idx="2147">
                  <c:v>9.1999999999999993</c:v>
                </c:pt>
                <c:pt idx="2148">
                  <c:v>6.4</c:v>
                </c:pt>
                <c:pt idx="2149">
                  <c:v>5.7</c:v>
                </c:pt>
                <c:pt idx="2150">
                  <c:v>3.7</c:v>
                </c:pt>
                <c:pt idx="2151">
                  <c:v>9.1999999999999993</c:v>
                </c:pt>
                <c:pt idx="2152">
                  <c:v>2.7</c:v>
                </c:pt>
                <c:pt idx="2153">
                  <c:v>5</c:v>
                </c:pt>
                <c:pt idx="2154">
                  <c:v>5.6</c:v>
                </c:pt>
                <c:pt idx="2155">
                  <c:v>4.4000000000000004</c:v>
                </c:pt>
                <c:pt idx="2156">
                  <c:v>4.3</c:v>
                </c:pt>
                <c:pt idx="2157">
                  <c:v>3.6</c:v>
                </c:pt>
                <c:pt idx="2158">
                  <c:v>4.4000000000000004</c:v>
                </c:pt>
                <c:pt idx="2159">
                  <c:v>8.6999999999999993</c:v>
                </c:pt>
                <c:pt idx="2160">
                  <c:v>1.6</c:v>
                </c:pt>
                <c:pt idx="2161">
                  <c:v>8.6999999999999993</c:v>
                </c:pt>
                <c:pt idx="2162">
                  <c:v>7.1</c:v>
                </c:pt>
                <c:pt idx="2163">
                  <c:v>7.6</c:v>
                </c:pt>
                <c:pt idx="2164">
                  <c:v>6.5</c:v>
                </c:pt>
                <c:pt idx="2165">
                  <c:v>6.7</c:v>
                </c:pt>
                <c:pt idx="2166">
                  <c:v>7.8</c:v>
                </c:pt>
                <c:pt idx="2167">
                  <c:v>3.6</c:v>
                </c:pt>
                <c:pt idx="2168">
                  <c:v>5.5</c:v>
                </c:pt>
                <c:pt idx="2169">
                  <c:v>7.8</c:v>
                </c:pt>
                <c:pt idx="2170">
                  <c:v>9.4</c:v>
                </c:pt>
                <c:pt idx="2171">
                  <c:v>7.1</c:v>
                </c:pt>
                <c:pt idx="2172">
                  <c:v>6</c:v>
                </c:pt>
                <c:pt idx="2173">
                  <c:v>4</c:v>
                </c:pt>
                <c:pt idx="2174">
                  <c:v>3.9</c:v>
                </c:pt>
                <c:pt idx="2175">
                  <c:v>8.3000000000000007</c:v>
                </c:pt>
                <c:pt idx="2176">
                  <c:v>10.8</c:v>
                </c:pt>
                <c:pt idx="2177">
                  <c:v>5.4</c:v>
                </c:pt>
                <c:pt idx="2178">
                  <c:v>7.6</c:v>
                </c:pt>
                <c:pt idx="2179">
                  <c:v>7</c:v>
                </c:pt>
                <c:pt idx="2180">
                  <c:v>3.6</c:v>
                </c:pt>
                <c:pt idx="2181">
                  <c:v>8.1999999999999993</c:v>
                </c:pt>
                <c:pt idx="2182">
                  <c:v>5.9</c:v>
                </c:pt>
                <c:pt idx="2183">
                  <c:v>8.4</c:v>
                </c:pt>
                <c:pt idx="2184">
                  <c:v>9.6</c:v>
                </c:pt>
                <c:pt idx="2185">
                  <c:v>6</c:v>
                </c:pt>
                <c:pt idx="2186">
                  <c:v>10.4</c:v>
                </c:pt>
                <c:pt idx="2187">
                  <c:v>7.1</c:v>
                </c:pt>
                <c:pt idx="2188">
                  <c:v>9.4</c:v>
                </c:pt>
                <c:pt idx="2189">
                  <c:v>6.3</c:v>
                </c:pt>
                <c:pt idx="2190">
                  <c:v>6.3</c:v>
                </c:pt>
                <c:pt idx="2191">
                  <c:v>6.2</c:v>
                </c:pt>
                <c:pt idx="2192">
                  <c:v>6.2</c:v>
                </c:pt>
                <c:pt idx="2193">
                  <c:v>6.8</c:v>
                </c:pt>
                <c:pt idx="2194">
                  <c:v>10.6</c:v>
                </c:pt>
                <c:pt idx="2195">
                  <c:v>0.8</c:v>
                </c:pt>
                <c:pt idx="2196">
                  <c:v>5.5</c:v>
                </c:pt>
                <c:pt idx="2197">
                  <c:v>8.4</c:v>
                </c:pt>
                <c:pt idx="2198">
                  <c:v>9.8000000000000007</c:v>
                </c:pt>
                <c:pt idx="2199">
                  <c:v>6.6</c:v>
                </c:pt>
                <c:pt idx="2200">
                  <c:v>3.5</c:v>
                </c:pt>
                <c:pt idx="2201">
                  <c:v>7.1</c:v>
                </c:pt>
                <c:pt idx="2202">
                  <c:v>6.5</c:v>
                </c:pt>
                <c:pt idx="2203">
                  <c:v>6</c:v>
                </c:pt>
                <c:pt idx="2204">
                  <c:v>5.3</c:v>
                </c:pt>
                <c:pt idx="2205">
                  <c:v>3.5</c:v>
                </c:pt>
                <c:pt idx="2206">
                  <c:v>2.8</c:v>
                </c:pt>
                <c:pt idx="2207">
                  <c:v>5.0999999999999996</c:v>
                </c:pt>
                <c:pt idx="2208">
                  <c:v>10.1</c:v>
                </c:pt>
                <c:pt idx="2209">
                  <c:v>8.6</c:v>
                </c:pt>
                <c:pt idx="2210">
                  <c:v>8.3000000000000007</c:v>
                </c:pt>
                <c:pt idx="2211">
                  <c:v>7.6</c:v>
                </c:pt>
                <c:pt idx="2212">
                  <c:v>9.8000000000000007</c:v>
                </c:pt>
                <c:pt idx="2213">
                  <c:v>11.7</c:v>
                </c:pt>
                <c:pt idx="2214">
                  <c:v>13.5</c:v>
                </c:pt>
                <c:pt idx="2215">
                  <c:v>11.3</c:v>
                </c:pt>
                <c:pt idx="2216">
                  <c:v>9.4</c:v>
                </c:pt>
                <c:pt idx="2217">
                  <c:v>12.2</c:v>
                </c:pt>
                <c:pt idx="2218">
                  <c:v>9.1999999999999993</c:v>
                </c:pt>
                <c:pt idx="2219">
                  <c:v>9</c:v>
                </c:pt>
                <c:pt idx="2220">
                  <c:v>16.100000000000001</c:v>
                </c:pt>
                <c:pt idx="2221">
                  <c:v>5.0999999999999996</c:v>
                </c:pt>
                <c:pt idx="2222">
                  <c:v>10.8</c:v>
                </c:pt>
                <c:pt idx="2223">
                  <c:v>14.4</c:v>
                </c:pt>
                <c:pt idx="2224">
                  <c:v>12.3</c:v>
                </c:pt>
                <c:pt idx="2225">
                  <c:v>12.4</c:v>
                </c:pt>
                <c:pt idx="2226">
                  <c:v>10.6</c:v>
                </c:pt>
                <c:pt idx="2227">
                  <c:v>9.9</c:v>
                </c:pt>
                <c:pt idx="2228">
                  <c:v>7.9</c:v>
                </c:pt>
                <c:pt idx="2229">
                  <c:v>10.6</c:v>
                </c:pt>
                <c:pt idx="2230">
                  <c:v>11.2</c:v>
                </c:pt>
                <c:pt idx="2231">
                  <c:v>10.7</c:v>
                </c:pt>
                <c:pt idx="2232">
                  <c:v>8.6</c:v>
                </c:pt>
                <c:pt idx="2233">
                  <c:v>8.8000000000000007</c:v>
                </c:pt>
                <c:pt idx="2234">
                  <c:v>10.8</c:v>
                </c:pt>
                <c:pt idx="2235">
                  <c:v>7.9</c:v>
                </c:pt>
                <c:pt idx="2236">
                  <c:v>7.8</c:v>
                </c:pt>
                <c:pt idx="2237">
                  <c:v>9.4</c:v>
                </c:pt>
                <c:pt idx="2238">
                  <c:v>7.1</c:v>
                </c:pt>
                <c:pt idx="2239">
                  <c:v>9.5</c:v>
                </c:pt>
                <c:pt idx="2240">
                  <c:v>9</c:v>
                </c:pt>
                <c:pt idx="2241">
                  <c:v>7.6</c:v>
                </c:pt>
                <c:pt idx="2242">
                  <c:v>8.5</c:v>
                </c:pt>
                <c:pt idx="2243">
                  <c:v>9.6999999999999993</c:v>
                </c:pt>
                <c:pt idx="2244">
                  <c:v>5.7</c:v>
                </c:pt>
                <c:pt idx="2245">
                  <c:v>7.1</c:v>
                </c:pt>
                <c:pt idx="2246">
                  <c:v>8.5</c:v>
                </c:pt>
                <c:pt idx="2247">
                  <c:v>6.8</c:v>
                </c:pt>
                <c:pt idx="2248">
                  <c:v>7.3</c:v>
                </c:pt>
                <c:pt idx="2249">
                  <c:v>9</c:v>
                </c:pt>
                <c:pt idx="2250">
                  <c:v>6.4</c:v>
                </c:pt>
                <c:pt idx="2251">
                  <c:v>5.6</c:v>
                </c:pt>
                <c:pt idx="2252">
                  <c:v>7</c:v>
                </c:pt>
                <c:pt idx="2253">
                  <c:v>5.9</c:v>
                </c:pt>
                <c:pt idx="2254">
                  <c:v>8.5</c:v>
                </c:pt>
                <c:pt idx="2255">
                  <c:v>4.5</c:v>
                </c:pt>
                <c:pt idx="2256">
                  <c:v>8.6</c:v>
                </c:pt>
                <c:pt idx="2257">
                  <c:v>5.0999999999999996</c:v>
                </c:pt>
                <c:pt idx="2258">
                  <c:v>5.9</c:v>
                </c:pt>
                <c:pt idx="2259">
                  <c:v>8.1</c:v>
                </c:pt>
                <c:pt idx="2260">
                  <c:v>7.8</c:v>
                </c:pt>
                <c:pt idx="2261">
                  <c:v>6.1</c:v>
                </c:pt>
                <c:pt idx="2262">
                  <c:v>5.7</c:v>
                </c:pt>
                <c:pt idx="2263">
                  <c:v>7.2</c:v>
                </c:pt>
                <c:pt idx="2264">
                  <c:v>5.6</c:v>
                </c:pt>
                <c:pt idx="2265">
                  <c:v>7.1</c:v>
                </c:pt>
                <c:pt idx="2266">
                  <c:v>8.1999999999999993</c:v>
                </c:pt>
                <c:pt idx="2267">
                  <c:v>5.2</c:v>
                </c:pt>
                <c:pt idx="2268">
                  <c:v>8</c:v>
                </c:pt>
                <c:pt idx="2269">
                  <c:v>8.4</c:v>
                </c:pt>
                <c:pt idx="2270">
                  <c:v>4.8</c:v>
                </c:pt>
                <c:pt idx="2271">
                  <c:v>6.9</c:v>
                </c:pt>
                <c:pt idx="2272">
                  <c:v>7.5</c:v>
                </c:pt>
                <c:pt idx="2273">
                  <c:v>6.4</c:v>
                </c:pt>
                <c:pt idx="2274">
                  <c:v>8.1</c:v>
                </c:pt>
                <c:pt idx="2275">
                  <c:v>7.8</c:v>
                </c:pt>
                <c:pt idx="2276">
                  <c:v>6.4</c:v>
                </c:pt>
                <c:pt idx="2277">
                  <c:v>5.7</c:v>
                </c:pt>
                <c:pt idx="2278">
                  <c:v>6.9</c:v>
                </c:pt>
                <c:pt idx="2279">
                  <c:v>6.1</c:v>
                </c:pt>
                <c:pt idx="2280">
                  <c:v>7</c:v>
                </c:pt>
                <c:pt idx="2281">
                  <c:v>6.9</c:v>
                </c:pt>
                <c:pt idx="2282">
                  <c:v>8.5</c:v>
                </c:pt>
                <c:pt idx="2283">
                  <c:v>7.8</c:v>
                </c:pt>
                <c:pt idx="2284">
                  <c:v>7.7</c:v>
                </c:pt>
                <c:pt idx="2285">
                  <c:v>9.1</c:v>
                </c:pt>
                <c:pt idx="2286">
                  <c:v>6.8</c:v>
                </c:pt>
                <c:pt idx="2287">
                  <c:v>6.4</c:v>
                </c:pt>
                <c:pt idx="2288">
                  <c:v>12</c:v>
                </c:pt>
                <c:pt idx="2289">
                  <c:v>6.4</c:v>
                </c:pt>
                <c:pt idx="2290">
                  <c:v>6.6</c:v>
                </c:pt>
                <c:pt idx="2291">
                  <c:v>7.3</c:v>
                </c:pt>
                <c:pt idx="2292">
                  <c:v>7.2</c:v>
                </c:pt>
                <c:pt idx="2293">
                  <c:v>6.3</c:v>
                </c:pt>
                <c:pt idx="2294">
                  <c:v>13.9</c:v>
                </c:pt>
                <c:pt idx="2295">
                  <c:v>11.6</c:v>
                </c:pt>
                <c:pt idx="2296">
                  <c:v>6.9</c:v>
                </c:pt>
                <c:pt idx="2297">
                  <c:v>8.8000000000000007</c:v>
                </c:pt>
                <c:pt idx="2298">
                  <c:v>5</c:v>
                </c:pt>
                <c:pt idx="2299">
                  <c:v>6.9</c:v>
                </c:pt>
                <c:pt idx="2300">
                  <c:v>8.6999999999999993</c:v>
                </c:pt>
                <c:pt idx="2301">
                  <c:v>7.7</c:v>
                </c:pt>
                <c:pt idx="2302">
                  <c:v>7.4</c:v>
                </c:pt>
                <c:pt idx="2303">
                  <c:v>6.1</c:v>
                </c:pt>
                <c:pt idx="2304">
                  <c:v>8.1</c:v>
                </c:pt>
                <c:pt idx="2305">
                  <c:v>6.6</c:v>
                </c:pt>
                <c:pt idx="2306">
                  <c:v>6.5</c:v>
                </c:pt>
                <c:pt idx="2307">
                  <c:v>7.8</c:v>
                </c:pt>
                <c:pt idx="2308">
                  <c:v>5.6</c:v>
                </c:pt>
                <c:pt idx="2309">
                  <c:v>7.6</c:v>
                </c:pt>
                <c:pt idx="2310">
                  <c:v>7.3</c:v>
                </c:pt>
                <c:pt idx="2311">
                  <c:v>6.8</c:v>
                </c:pt>
                <c:pt idx="2312">
                  <c:v>8.1999999999999993</c:v>
                </c:pt>
                <c:pt idx="2313">
                  <c:v>6.9</c:v>
                </c:pt>
                <c:pt idx="2314">
                  <c:v>9.5</c:v>
                </c:pt>
                <c:pt idx="2315">
                  <c:v>6.4</c:v>
                </c:pt>
                <c:pt idx="2316">
                  <c:v>10.7</c:v>
                </c:pt>
                <c:pt idx="2317">
                  <c:v>9.9</c:v>
                </c:pt>
                <c:pt idx="2318">
                  <c:v>22.6</c:v>
                </c:pt>
                <c:pt idx="2319">
                  <c:v>9.1999999999999993</c:v>
                </c:pt>
                <c:pt idx="2320">
                  <c:v>10.9</c:v>
                </c:pt>
                <c:pt idx="2321">
                  <c:v>14.7</c:v>
                </c:pt>
                <c:pt idx="2322">
                  <c:v>7.2</c:v>
                </c:pt>
                <c:pt idx="2323">
                  <c:v>9.9</c:v>
                </c:pt>
                <c:pt idx="2324">
                  <c:v>8.6</c:v>
                </c:pt>
                <c:pt idx="2325">
                  <c:v>7.7</c:v>
                </c:pt>
                <c:pt idx="2326">
                  <c:v>10.6</c:v>
                </c:pt>
                <c:pt idx="2327">
                  <c:v>13.8</c:v>
                </c:pt>
                <c:pt idx="2328">
                  <c:v>10.3</c:v>
                </c:pt>
                <c:pt idx="2329">
                  <c:v>16.2</c:v>
                </c:pt>
                <c:pt idx="2330">
                  <c:v>12.4</c:v>
                </c:pt>
                <c:pt idx="2331">
                  <c:v>15.9</c:v>
                </c:pt>
                <c:pt idx="2332">
                  <c:v>13.2</c:v>
                </c:pt>
                <c:pt idx="2333">
                  <c:v>8</c:v>
                </c:pt>
                <c:pt idx="2334">
                  <c:v>8.9</c:v>
                </c:pt>
                <c:pt idx="2335">
                  <c:v>12.8</c:v>
                </c:pt>
                <c:pt idx="2336">
                  <c:v>12.1</c:v>
                </c:pt>
                <c:pt idx="2337">
                  <c:v>11.2</c:v>
                </c:pt>
                <c:pt idx="2338">
                  <c:v>7.6</c:v>
                </c:pt>
                <c:pt idx="2339">
                  <c:v>12.9</c:v>
                </c:pt>
                <c:pt idx="2340">
                  <c:v>11</c:v>
                </c:pt>
                <c:pt idx="2341">
                  <c:v>8.6999999999999993</c:v>
                </c:pt>
                <c:pt idx="2342">
                  <c:v>11.9</c:v>
                </c:pt>
                <c:pt idx="2343">
                  <c:v>10.5</c:v>
                </c:pt>
                <c:pt idx="2344">
                  <c:v>9.9</c:v>
                </c:pt>
                <c:pt idx="2345">
                  <c:v>10.7</c:v>
                </c:pt>
                <c:pt idx="2346">
                  <c:v>14.9</c:v>
                </c:pt>
                <c:pt idx="2347">
                  <c:v>7.5</c:v>
                </c:pt>
                <c:pt idx="2348">
                  <c:v>14.3</c:v>
                </c:pt>
                <c:pt idx="2349">
                  <c:v>13.9</c:v>
                </c:pt>
                <c:pt idx="2350">
                  <c:v>15.5</c:v>
                </c:pt>
                <c:pt idx="2351">
                  <c:v>10.199999999999999</c:v>
                </c:pt>
                <c:pt idx="2352">
                  <c:v>10.4</c:v>
                </c:pt>
                <c:pt idx="2353">
                  <c:v>12.8</c:v>
                </c:pt>
                <c:pt idx="2354">
                  <c:v>9.1999999999999993</c:v>
                </c:pt>
                <c:pt idx="2355">
                  <c:v>9.4</c:v>
                </c:pt>
                <c:pt idx="2356">
                  <c:v>9</c:v>
                </c:pt>
                <c:pt idx="2357">
                  <c:v>8.9</c:v>
                </c:pt>
                <c:pt idx="2358">
                  <c:v>12.4</c:v>
                </c:pt>
                <c:pt idx="2359">
                  <c:v>12.3</c:v>
                </c:pt>
                <c:pt idx="2360">
                  <c:v>11.6</c:v>
                </c:pt>
                <c:pt idx="2361">
                  <c:v>8.9</c:v>
                </c:pt>
                <c:pt idx="2362">
                  <c:v>1.9</c:v>
                </c:pt>
                <c:pt idx="2363">
                  <c:v>2.9</c:v>
                </c:pt>
                <c:pt idx="2364">
                  <c:v>14.7</c:v>
                </c:pt>
                <c:pt idx="2365">
                  <c:v>0.9</c:v>
                </c:pt>
                <c:pt idx="2366">
                  <c:v>3.1</c:v>
                </c:pt>
                <c:pt idx="2367">
                  <c:v>2.5</c:v>
                </c:pt>
                <c:pt idx="2368">
                  <c:v>2.6</c:v>
                </c:pt>
                <c:pt idx="2369">
                  <c:v>16.3</c:v>
                </c:pt>
                <c:pt idx="2370">
                  <c:v>3</c:v>
                </c:pt>
                <c:pt idx="2371">
                  <c:v>1.4</c:v>
                </c:pt>
                <c:pt idx="2372">
                  <c:v>5.0999999999999996</c:v>
                </c:pt>
                <c:pt idx="2373">
                  <c:v>2.8</c:v>
                </c:pt>
                <c:pt idx="2374">
                  <c:v>6.8</c:v>
                </c:pt>
                <c:pt idx="2375">
                  <c:v>2.9</c:v>
                </c:pt>
                <c:pt idx="2376">
                  <c:v>29.4</c:v>
                </c:pt>
                <c:pt idx="2377">
                  <c:v>5.2</c:v>
                </c:pt>
                <c:pt idx="2378">
                  <c:v>3.3</c:v>
                </c:pt>
                <c:pt idx="2379">
                  <c:v>3.9</c:v>
                </c:pt>
                <c:pt idx="2380">
                  <c:v>3.1</c:v>
                </c:pt>
                <c:pt idx="2381">
                  <c:v>24.6</c:v>
                </c:pt>
                <c:pt idx="2382">
                  <c:v>0.4</c:v>
                </c:pt>
                <c:pt idx="2383">
                  <c:v>1.8</c:v>
                </c:pt>
                <c:pt idx="2384">
                  <c:v>4.0999999999999996</c:v>
                </c:pt>
                <c:pt idx="2385">
                  <c:v>0.7</c:v>
                </c:pt>
                <c:pt idx="2386">
                  <c:v>4.0999999999999996</c:v>
                </c:pt>
                <c:pt idx="2387">
                  <c:v>2.1</c:v>
                </c:pt>
                <c:pt idx="2388">
                  <c:v>2.5</c:v>
                </c:pt>
                <c:pt idx="2389">
                  <c:v>2.5</c:v>
                </c:pt>
                <c:pt idx="2390">
                  <c:v>1.7</c:v>
                </c:pt>
                <c:pt idx="2391">
                  <c:v>1.1000000000000001</c:v>
                </c:pt>
                <c:pt idx="2392">
                  <c:v>1.4</c:v>
                </c:pt>
                <c:pt idx="2393">
                  <c:v>3.1</c:v>
                </c:pt>
                <c:pt idx="2394">
                  <c:v>3</c:v>
                </c:pt>
                <c:pt idx="2395">
                  <c:v>1.8</c:v>
                </c:pt>
                <c:pt idx="2396">
                  <c:v>17.399999999999999</c:v>
                </c:pt>
                <c:pt idx="2397">
                  <c:v>0.9</c:v>
                </c:pt>
                <c:pt idx="2398">
                  <c:v>3.6</c:v>
                </c:pt>
                <c:pt idx="2399">
                  <c:v>2</c:v>
                </c:pt>
                <c:pt idx="2400">
                  <c:v>4.4000000000000004</c:v>
                </c:pt>
                <c:pt idx="2401">
                  <c:v>3.8</c:v>
                </c:pt>
                <c:pt idx="2402">
                  <c:v>1.9</c:v>
                </c:pt>
                <c:pt idx="2403">
                  <c:v>7.4</c:v>
                </c:pt>
                <c:pt idx="2404">
                  <c:v>2.1</c:v>
                </c:pt>
                <c:pt idx="2405">
                  <c:v>6.7</c:v>
                </c:pt>
                <c:pt idx="2406">
                  <c:v>0.7</c:v>
                </c:pt>
                <c:pt idx="2407">
                  <c:v>2.2999999999999998</c:v>
                </c:pt>
                <c:pt idx="2408">
                  <c:v>12</c:v>
                </c:pt>
                <c:pt idx="2409">
                  <c:v>4.0999999999999996</c:v>
                </c:pt>
                <c:pt idx="2410">
                  <c:v>4.4000000000000004</c:v>
                </c:pt>
                <c:pt idx="2411">
                  <c:v>6.1</c:v>
                </c:pt>
                <c:pt idx="2412">
                  <c:v>28.7</c:v>
                </c:pt>
                <c:pt idx="2413">
                  <c:v>4.8</c:v>
                </c:pt>
                <c:pt idx="2414">
                  <c:v>4.5</c:v>
                </c:pt>
                <c:pt idx="2415">
                  <c:v>0.5</c:v>
                </c:pt>
                <c:pt idx="2416">
                  <c:v>7.6</c:v>
                </c:pt>
                <c:pt idx="2417">
                  <c:v>3.4</c:v>
                </c:pt>
                <c:pt idx="2418">
                  <c:v>1.1000000000000001</c:v>
                </c:pt>
                <c:pt idx="2419">
                  <c:v>1.4</c:v>
                </c:pt>
                <c:pt idx="2420">
                  <c:v>1.7</c:v>
                </c:pt>
                <c:pt idx="2421">
                  <c:v>25.4</c:v>
                </c:pt>
                <c:pt idx="2422">
                  <c:v>2.1</c:v>
                </c:pt>
                <c:pt idx="2423">
                  <c:v>2.5</c:v>
                </c:pt>
                <c:pt idx="2424">
                  <c:v>2.9</c:v>
                </c:pt>
                <c:pt idx="2425">
                  <c:v>5.8</c:v>
                </c:pt>
                <c:pt idx="2426">
                  <c:v>3.6</c:v>
                </c:pt>
                <c:pt idx="2427">
                  <c:v>27.4</c:v>
                </c:pt>
                <c:pt idx="2428">
                  <c:v>7.7</c:v>
                </c:pt>
                <c:pt idx="2429">
                  <c:v>7.7</c:v>
                </c:pt>
                <c:pt idx="2430">
                  <c:v>14.3</c:v>
                </c:pt>
                <c:pt idx="2431">
                  <c:v>9.6</c:v>
                </c:pt>
                <c:pt idx="2432">
                  <c:v>7.8</c:v>
                </c:pt>
                <c:pt idx="2433">
                  <c:v>11.2</c:v>
                </c:pt>
                <c:pt idx="2434">
                  <c:v>9.9</c:v>
                </c:pt>
                <c:pt idx="2435">
                  <c:v>12.9</c:v>
                </c:pt>
                <c:pt idx="2436">
                  <c:v>11.5</c:v>
                </c:pt>
                <c:pt idx="2437">
                  <c:v>8.1</c:v>
                </c:pt>
                <c:pt idx="2438">
                  <c:v>7.8</c:v>
                </c:pt>
                <c:pt idx="2439">
                  <c:v>13.5</c:v>
                </c:pt>
                <c:pt idx="2440">
                  <c:v>8.1999999999999993</c:v>
                </c:pt>
                <c:pt idx="2441">
                  <c:v>7.2</c:v>
                </c:pt>
                <c:pt idx="2442">
                  <c:v>11.1</c:v>
                </c:pt>
                <c:pt idx="2443">
                  <c:v>8.8000000000000007</c:v>
                </c:pt>
                <c:pt idx="2444">
                  <c:v>7.4</c:v>
                </c:pt>
                <c:pt idx="2445">
                  <c:v>9</c:v>
                </c:pt>
                <c:pt idx="2446">
                  <c:v>7.2</c:v>
                </c:pt>
                <c:pt idx="2447">
                  <c:v>10.1</c:v>
                </c:pt>
                <c:pt idx="2448">
                  <c:v>7.6</c:v>
                </c:pt>
                <c:pt idx="2449">
                  <c:v>7.5</c:v>
                </c:pt>
                <c:pt idx="2450">
                  <c:v>6.6</c:v>
                </c:pt>
                <c:pt idx="2451">
                  <c:v>8.5</c:v>
                </c:pt>
                <c:pt idx="2452">
                  <c:v>10.4</c:v>
                </c:pt>
                <c:pt idx="2453">
                  <c:v>9.5</c:v>
                </c:pt>
                <c:pt idx="2454">
                  <c:v>9.5</c:v>
                </c:pt>
                <c:pt idx="2455">
                  <c:v>9.9</c:v>
                </c:pt>
                <c:pt idx="2456">
                  <c:v>9.5</c:v>
                </c:pt>
                <c:pt idx="2457">
                  <c:v>8.6999999999999993</c:v>
                </c:pt>
                <c:pt idx="2458">
                  <c:v>10.199999999999999</c:v>
                </c:pt>
                <c:pt idx="2459">
                  <c:v>10.1</c:v>
                </c:pt>
                <c:pt idx="2460">
                  <c:v>8</c:v>
                </c:pt>
                <c:pt idx="2461">
                  <c:v>12.1</c:v>
                </c:pt>
                <c:pt idx="2462">
                  <c:v>18.7</c:v>
                </c:pt>
                <c:pt idx="2463">
                  <c:v>13.9</c:v>
                </c:pt>
                <c:pt idx="2464">
                  <c:v>10</c:v>
                </c:pt>
                <c:pt idx="2465">
                  <c:v>10.5</c:v>
                </c:pt>
                <c:pt idx="2466">
                  <c:v>9.4</c:v>
                </c:pt>
                <c:pt idx="2467">
                  <c:v>9.6999999999999993</c:v>
                </c:pt>
                <c:pt idx="2468">
                  <c:v>8.6</c:v>
                </c:pt>
                <c:pt idx="2469">
                  <c:v>8.1</c:v>
                </c:pt>
                <c:pt idx="2470">
                  <c:v>8.9</c:v>
                </c:pt>
                <c:pt idx="2471">
                  <c:v>14.5</c:v>
                </c:pt>
                <c:pt idx="2472">
                  <c:v>9.1</c:v>
                </c:pt>
                <c:pt idx="2473">
                  <c:v>9</c:v>
                </c:pt>
                <c:pt idx="2474">
                  <c:v>6.5</c:v>
                </c:pt>
                <c:pt idx="2475">
                  <c:v>10.1</c:v>
                </c:pt>
                <c:pt idx="2476">
                  <c:v>13.4</c:v>
                </c:pt>
                <c:pt idx="2477">
                  <c:v>10.8</c:v>
                </c:pt>
                <c:pt idx="2478">
                  <c:v>7.7</c:v>
                </c:pt>
                <c:pt idx="2479">
                  <c:v>7.6</c:v>
                </c:pt>
                <c:pt idx="2480">
                  <c:v>8.9</c:v>
                </c:pt>
                <c:pt idx="2481">
                  <c:v>9.3000000000000007</c:v>
                </c:pt>
                <c:pt idx="2482">
                  <c:v>14.9</c:v>
                </c:pt>
                <c:pt idx="2483">
                  <c:v>7.4</c:v>
                </c:pt>
                <c:pt idx="2484">
                  <c:v>8.4</c:v>
                </c:pt>
                <c:pt idx="2485">
                  <c:v>6.7</c:v>
                </c:pt>
                <c:pt idx="2486">
                  <c:v>8.4</c:v>
                </c:pt>
                <c:pt idx="2487">
                  <c:v>7.7</c:v>
                </c:pt>
                <c:pt idx="2488">
                  <c:v>15</c:v>
                </c:pt>
                <c:pt idx="2489">
                  <c:v>12.5</c:v>
                </c:pt>
                <c:pt idx="2490">
                  <c:v>9.6999999999999993</c:v>
                </c:pt>
                <c:pt idx="2491">
                  <c:v>6.5</c:v>
                </c:pt>
                <c:pt idx="2492">
                  <c:v>8.5</c:v>
                </c:pt>
                <c:pt idx="2493">
                  <c:v>11.2</c:v>
                </c:pt>
                <c:pt idx="2494">
                  <c:v>7.7</c:v>
                </c:pt>
                <c:pt idx="2495">
                  <c:v>9.5</c:v>
                </c:pt>
                <c:pt idx="2496">
                  <c:v>4.9000000000000004</c:v>
                </c:pt>
                <c:pt idx="2497">
                  <c:v>10.9</c:v>
                </c:pt>
                <c:pt idx="2498">
                  <c:v>8.4</c:v>
                </c:pt>
                <c:pt idx="2499">
                  <c:v>11.1</c:v>
                </c:pt>
                <c:pt idx="2500">
                  <c:v>9.8000000000000007</c:v>
                </c:pt>
                <c:pt idx="2501">
                  <c:v>8.4</c:v>
                </c:pt>
                <c:pt idx="2502">
                  <c:v>6.8</c:v>
                </c:pt>
                <c:pt idx="2503">
                  <c:v>14.1</c:v>
                </c:pt>
                <c:pt idx="2504">
                  <c:v>9</c:v>
                </c:pt>
                <c:pt idx="2505">
                  <c:v>7.4</c:v>
                </c:pt>
                <c:pt idx="2506">
                  <c:v>10.3</c:v>
                </c:pt>
                <c:pt idx="2507">
                  <c:v>5.2</c:v>
                </c:pt>
                <c:pt idx="2508">
                  <c:v>10.1</c:v>
                </c:pt>
                <c:pt idx="2509">
                  <c:v>8.1999999999999993</c:v>
                </c:pt>
                <c:pt idx="2510">
                  <c:v>6</c:v>
                </c:pt>
                <c:pt idx="2511">
                  <c:v>10.6</c:v>
                </c:pt>
                <c:pt idx="2512">
                  <c:v>10.5</c:v>
                </c:pt>
                <c:pt idx="2513">
                  <c:v>13.7</c:v>
                </c:pt>
                <c:pt idx="2514">
                  <c:v>9.5</c:v>
                </c:pt>
                <c:pt idx="2515">
                  <c:v>11.2</c:v>
                </c:pt>
                <c:pt idx="2516">
                  <c:v>8</c:v>
                </c:pt>
                <c:pt idx="2517">
                  <c:v>6.2</c:v>
                </c:pt>
                <c:pt idx="2518">
                  <c:v>12.2</c:v>
                </c:pt>
                <c:pt idx="2519">
                  <c:v>11.2</c:v>
                </c:pt>
                <c:pt idx="2520">
                  <c:v>10.5</c:v>
                </c:pt>
                <c:pt idx="2521">
                  <c:v>4.2</c:v>
                </c:pt>
                <c:pt idx="2522">
                  <c:v>6.5</c:v>
                </c:pt>
                <c:pt idx="2523">
                  <c:v>4.3</c:v>
                </c:pt>
                <c:pt idx="2524">
                  <c:v>3.9</c:v>
                </c:pt>
                <c:pt idx="2525">
                  <c:v>9.1</c:v>
                </c:pt>
                <c:pt idx="2526">
                  <c:v>6.8</c:v>
                </c:pt>
                <c:pt idx="2527">
                  <c:v>3</c:v>
                </c:pt>
                <c:pt idx="2528">
                  <c:v>1.1000000000000001</c:v>
                </c:pt>
                <c:pt idx="2529">
                  <c:v>6.5</c:v>
                </c:pt>
                <c:pt idx="2530">
                  <c:v>6.2</c:v>
                </c:pt>
                <c:pt idx="2531">
                  <c:v>4.3</c:v>
                </c:pt>
                <c:pt idx="2532">
                  <c:v>4.8</c:v>
                </c:pt>
                <c:pt idx="2533">
                  <c:v>9.8000000000000007</c:v>
                </c:pt>
                <c:pt idx="2534">
                  <c:v>1.4</c:v>
                </c:pt>
                <c:pt idx="2535">
                  <c:v>7</c:v>
                </c:pt>
                <c:pt idx="2536">
                  <c:v>9.5</c:v>
                </c:pt>
                <c:pt idx="2537">
                  <c:v>7.4</c:v>
                </c:pt>
                <c:pt idx="2538">
                  <c:v>6.4</c:v>
                </c:pt>
                <c:pt idx="2539">
                  <c:v>0.7</c:v>
                </c:pt>
                <c:pt idx="2540">
                  <c:v>7.9</c:v>
                </c:pt>
                <c:pt idx="2541">
                  <c:v>8.5</c:v>
                </c:pt>
                <c:pt idx="2542">
                  <c:v>5.4</c:v>
                </c:pt>
                <c:pt idx="2543">
                  <c:v>6.4</c:v>
                </c:pt>
                <c:pt idx="2544">
                  <c:v>4.9000000000000004</c:v>
                </c:pt>
                <c:pt idx="2545">
                  <c:v>4.7</c:v>
                </c:pt>
                <c:pt idx="2546">
                  <c:v>19.8</c:v>
                </c:pt>
                <c:pt idx="2547">
                  <c:v>4.3</c:v>
                </c:pt>
                <c:pt idx="2548">
                  <c:v>7.5</c:v>
                </c:pt>
                <c:pt idx="2549">
                  <c:v>5.0999999999999996</c:v>
                </c:pt>
                <c:pt idx="2550">
                  <c:v>5.2</c:v>
                </c:pt>
                <c:pt idx="2551">
                  <c:v>7.2</c:v>
                </c:pt>
                <c:pt idx="2552">
                  <c:v>5.4</c:v>
                </c:pt>
                <c:pt idx="2553">
                  <c:v>10</c:v>
                </c:pt>
                <c:pt idx="2554">
                  <c:v>8.5</c:v>
                </c:pt>
                <c:pt idx="2555">
                  <c:v>1.7</c:v>
                </c:pt>
                <c:pt idx="2556">
                  <c:v>9.1999999999999993</c:v>
                </c:pt>
                <c:pt idx="2557">
                  <c:v>4.7</c:v>
                </c:pt>
                <c:pt idx="2558">
                  <c:v>7.8</c:v>
                </c:pt>
                <c:pt idx="2559">
                  <c:v>6.4</c:v>
                </c:pt>
                <c:pt idx="2560">
                  <c:v>5.2</c:v>
                </c:pt>
                <c:pt idx="2561">
                  <c:v>6.8</c:v>
                </c:pt>
                <c:pt idx="2562">
                  <c:v>8.5</c:v>
                </c:pt>
                <c:pt idx="2563">
                  <c:v>3.1</c:v>
                </c:pt>
                <c:pt idx="2564">
                  <c:v>8.1999999999999993</c:v>
                </c:pt>
                <c:pt idx="2565">
                  <c:v>4.9000000000000004</c:v>
                </c:pt>
                <c:pt idx="2566">
                  <c:v>5.2</c:v>
                </c:pt>
                <c:pt idx="2567">
                  <c:v>4.2</c:v>
                </c:pt>
                <c:pt idx="2568">
                  <c:v>4.9000000000000004</c:v>
                </c:pt>
                <c:pt idx="2569">
                  <c:v>4.5</c:v>
                </c:pt>
                <c:pt idx="2570">
                  <c:v>2.8</c:v>
                </c:pt>
                <c:pt idx="2571">
                  <c:v>7</c:v>
                </c:pt>
                <c:pt idx="2572">
                  <c:v>9.5</c:v>
                </c:pt>
                <c:pt idx="2573">
                  <c:v>7.5</c:v>
                </c:pt>
                <c:pt idx="2574">
                  <c:v>5.2</c:v>
                </c:pt>
                <c:pt idx="2575">
                  <c:v>1.8</c:v>
                </c:pt>
                <c:pt idx="2576">
                  <c:v>10</c:v>
                </c:pt>
                <c:pt idx="2577">
                  <c:v>6.5</c:v>
                </c:pt>
                <c:pt idx="2578">
                  <c:v>5.6</c:v>
                </c:pt>
                <c:pt idx="2579">
                  <c:v>7.6</c:v>
                </c:pt>
                <c:pt idx="2580">
                  <c:v>9.5</c:v>
                </c:pt>
                <c:pt idx="2581">
                  <c:v>5.4</c:v>
                </c:pt>
                <c:pt idx="2582">
                  <c:v>13.6</c:v>
                </c:pt>
                <c:pt idx="2583">
                  <c:v>5.7</c:v>
                </c:pt>
                <c:pt idx="2584">
                  <c:v>6.8</c:v>
                </c:pt>
                <c:pt idx="2585">
                  <c:v>13.6</c:v>
                </c:pt>
                <c:pt idx="2586">
                  <c:v>10.3</c:v>
                </c:pt>
                <c:pt idx="2587">
                  <c:v>3.9</c:v>
                </c:pt>
                <c:pt idx="2588">
                  <c:v>10.9</c:v>
                </c:pt>
                <c:pt idx="2589">
                  <c:v>4.4000000000000004</c:v>
                </c:pt>
                <c:pt idx="2590">
                  <c:v>5.2</c:v>
                </c:pt>
                <c:pt idx="2591">
                  <c:v>4.9000000000000004</c:v>
                </c:pt>
                <c:pt idx="2592">
                  <c:v>6.5</c:v>
                </c:pt>
                <c:pt idx="2593">
                  <c:v>8.4</c:v>
                </c:pt>
                <c:pt idx="2594">
                  <c:v>4.0999999999999996</c:v>
                </c:pt>
                <c:pt idx="2595">
                  <c:v>7.2</c:v>
                </c:pt>
                <c:pt idx="2596">
                  <c:v>6.7</c:v>
                </c:pt>
                <c:pt idx="2597">
                  <c:v>1.8</c:v>
                </c:pt>
                <c:pt idx="2598">
                  <c:v>7.2</c:v>
                </c:pt>
                <c:pt idx="2599">
                  <c:v>8</c:v>
                </c:pt>
                <c:pt idx="2600">
                  <c:v>9.6999999999999993</c:v>
                </c:pt>
                <c:pt idx="2601">
                  <c:v>5.0999999999999996</c:v>
                </c:pt>
                <c:pt idx="2602">
                  <c:v>6.6</c:v>
                </c:pt>
                <c:pt idx="2603">
                  <c:v>4.9000000000000004</c:v>
                </c:pt>
                <c:pt idx="2604">
                  <c:v>5.2</c:v>
                </c:pt>
                <c:pt idx="2605">
                  <c:v>4</c:v>
                </c:pt>
                <c:pt idx="2606">
                  <c:v>7.5</c:v>
                </c:pt>
                <c:pt idx="2607">
                  <c:v>2</c:v>
                </c:pt>
                <c:pt idx="2608">
                  <c:v>6.8</c:v>
                </c:pt>
                <c:pt idx="2609">
                  <c:v>2.5</c:v>
                </c:pt>
                <c:pt idx="2610">
                  <c:v>9.3000000000000007</c:v>
                </c:pt>
                <c:pt idx="2611">
                  <c:v>6.5</c:v>
                </c:pt>
                <c:pt idx="2612">
                  <c:v>5.4</c:v>
                </c:pt>
                <c:pt idx="2613">
                  <c:v>7.8</c:v>
                </c:pt>
                <c:pt idx="2614">
                  <c:v>5.9</c:v>
                </c:pt>
                <c:pt idx="2615">
                  <c:v>6.2</c:v>
                </c:pt>
                <c:pt idx="2616">
                  <c:v>5.7</c:v>
                </c:pt>
                <c:pt idx="2617">
                  <c:v>8.1</c:v>
                </c:pt>
                <c:pt idx="2618">
                  <c:v>11.5</c:v>
                </c:pt>
                <c:pt idx="2619">
                  <c:v>5.9</c:v>
                </c:pt>
                <c:pt idx="2620">
                  <c:v>2.2999999999999998</c:v>
                </c:pt>
                <c:pt idx="2621">
                  <c:v>5.9</c:v>
                </c:pt>
                <c:pt idx="2622">
                  <c:v>5.5</c:v>
                </c:pt>
                <c:pt idx="2623">
                  <c:v>7.5</c:v>
                </c:pt>
                <c:pt idx="2624">
                  <c:v>7.7</c:v>
                </c:pt>
                <c:pt idx="2625">
                  <c:v>2.1</c:v>
                </c:pt>
                <c:pt idx="2626">
                  <c:v>6.9</c:v>
                </c:pt>
                <c:pt idx="2627">
                  <c:v>6.7</c:v>
                </c:pt>
                <c:pt idx="2628">
                  <c:v>3.7</c:v>
                </c:pt>
                <c:pt idx="2629">
                  <c:v>7.8</c:v>
                </c:pt>
                <c:pt idx="2630">
                  <c:v>9.9</c:v>
                </c:pt>
                <c:pt idx="2631">
                  <c:v>8.9</c:v>
                </c:pt>
                <c:pt idx="2632">
                  <c:v>6.4</c:v>
                </c:pt>
                <c:pt idx="2633">
                  <c:v>5</c:v>
                </c:pt>
                <c:pt idx="2634">
                  <c:v>7.1</c:v>
                </c:pt>
                <c:pt idx="2635">
                  <c:v>6.4</c:v>
                </c:pt>
                <c:pt idx="2636">
                  <c:v>6.4</c:v>
                </c:pt>
                <c:pt idx="2637">
                  <c:v>5.7</c:v>
                </c:pt>
                <c:pt idx="2638">
                  <c:v>11.4</c:v>
                </c:pt>
                <c:pt idx="2639">
                  <c:v>5.3</c:v>
                </c:pt>
                <c:pt idx="2640">
                  <c:v>4.4000000000000004</c:v>
                </c:pt>
                <c:pt idx="2641">
                  <c:v>5.6</c:v>
                </c:pt>
                <c:pt idx="2642">
                  <c:v>5.2</c:v>
                </c:pt>
                <c:pt idx="2643">
                  <c:v>11.4</c:v>
                </c:pt>
                <c:pt idx="2644">
                  <c:v>7.1</c:v>
                </c:pt>
                <c:pt idx="2645">
                  <c:v>8.8000000000000007</c:v>
                </c:pt>
                <c:pt idx="2646">
                  <c:v>16.5</c:v>
                </c:pt>
                <c:pt idx="2647">
                  <c:v>6.6</c:v>
                </c:pt>
                <c:pt idx="2648">
                  <c:v>7.3</c:v>
                </c:pt>
                <c:pt idx="2649">
                  <c:v>4.2</c:v>
                </c:pt>
                <c:pt idx="2650">
                  <c:v>4.8</c:v>
                </c:pt>
                <c:pt idx="2651">
                  <c:v>8.6999999999999993</c:v>
                </c:pt>
                <c:pt idx="2652">
                  <c:v>4.5</c:v>
                </c:pt>
                <c:pt idx="2653">
                  <c:v>0</c:v>
                </c:pt>
                <c:pt idx="2654">
                  <c:v>1.5</c:v>
                </c:pt>
                <c:pt idx="2655">
                  <c:v>8</c:v>
                </c:pt>
                <c:pt idx="2656">
                  <c:v>7.6</c:v>
                </c:pt>
                <c:pt idx="2657">
                  <c:v>5.0999999999999996</c:v>
                </c:pt>
                <c:pt idx="2658">
                  <c:v>13.2</c:v>
                </c:pt>
                <c:pt idx="2659">
                  <c:v>11.7</c:v>
                </c:pt>
                <c:pt idx="2660">
                  <c:v>7.1</c:v>
                </c:pt>
                <c:pt idx="2661">
                  <c:v>7.4</c:v>
                </c:pt>
                <c:pt idx="2662">
                  <c:v>6.2</c:v>
                </c:pt>
                <c:pt idx="2663">
                  <c:v>8.6</c:v>
                </c:pt>
                <c:pt idx="2664">
                  <c:v>8.1</c:v>
                </c:pt>
                <c:pt idx="2665">
                  <c:v>4</c:v>
                </c:pt>
                <c:pt idx="2666">
                  <c:v>5.7</c:v>
                </c:pt>
                <c:pt idx="2667">
                  <c:v>7.5</c:v>
                </c:pt>
                <c:pt idx="2668">
                  <c:v>11.5</c:v>
                </c:pt>
                <c:pt idx="2669">
                  <c:v>8.1999999999999993</c:v>
                </c:pt>
                <c:pt idx="2670">
                  <c:v>5</c:v>
                </c:pt>
                <c:pt idx="2671">
                  <c:v>4.3</c:v>
                </c:pt>
                <c:pt idx="2672">
                  <c:v>5.8</c:v>
                </c:pt>
                <c:pt idx="2673">
                  <c:v>15.1</c:v>
                </c:pt>
                <c:pt idx="2674">
                  <c:v>6.2</c:v>
                </c:pt>
                <c:pt idx="2675">
                  <c:v>10.9</c:v>
                </c:pt>
                <c:pt idx="2676">
                  <c:v>4.3</c:v>
                </c:pt>
                <c:pt idx="2677">
                  <c:v>6.2</c:v>
                </c:pt>
                <c:pt idx="2678">
                  <c:v>14.1</c:v>
                </c:pt>
                <c:pt idx="2679">
                  <c:v>5.7</c:v>
                </c:pt>
                <c:pt idx="2680">
                  <c:v>8</c:v>
                </c:pt>
                <c:pt idx="2681">
                  <c:v>3.5</c:v>
                </c:pt>
                <c:pt idx="2682">
                  <c:v>6.8</c:v>
                </c:pt>
                <c:pt idx="2683">
                  <c:v>6.4</c:v>
                </c:pt>
                <c:pt idx="2684">
                  <c:v>13.1</c:v>
                </c:pt>
                <c:pt idx="2685">
                  <c:v>6.6</c:v>
                </c:pt>
                <c:pt idx="2686">
                  <c:v>8.3000000000000007</c:v>
                </c:pt>
                <c:pt idx="2687">
                  <c:v>3.4</c:v>
                </c:pt>
                <c:pt idx="2688">
                  <c:v>9.6</c:v>
                </c:pt>
                <c:pt idx="2689">
                  <c:v>3.6</c:v>
                </c:pt>
                <c:pt idx="2690">
                  <c:v>5.5</c:v>
                </c:pt>
                <c:pt idx="2691">
                  <c:v>6.6</c:v>
                </c:pt>
                <c:pt idx="2692">
                  <c:v>6.1</c:v>
                </c:pt>
                <c:pt idx="2693">
                  <c:v>4.0999999999999996</c:v>
                </c:pt>
                <c:pt idx="2694">
                  <c:v>12.7</c:v>
                </c:pt>
                <c:pt idx="2695">
                  <c:v>11</c:v>
                </c:pt>
                <c:pt idx="2696">
                  <c:v>8.6</c:v>
                </c:pt>
                <c:pt idx="2697">
                  <c:v>10.9</c:v>
                </c:pt>
                <c:pt idx="2698">
                  <c:v>12.1</c:v>
                </c:pt>
                <c:pt idx="2699">
                  <c:v>7.7</c:v>
                </c:pt>
                <c:pt idx="2700">
                  <c:v>6.6</c:v>
                </c:pt>
                <c:pt idx="2701">
                  <c:v>5.2</c:v>
                </c:pt>
                <c:pt idx="2702">
                  <c:v>7.4</c:v>
                </c:pt>
                <c:pt idx="2703">
                  <c:v>8.4</c:v>
                </c:pt>
                <c:pt idx="2704">
                  <c:v>8.3000000000000007</c:v>
                </c:pt>
                <c:pt idx="2705">
                  <c:v>5.7</c:v>
                </c:pt>
                <c:pt idx="2706">
                  <c:v>6.1</c:v>
                </c:pt>
                <c:pt idx="2707">
                  <c:v>3.6</c:v>
                </c:pt>
                <c:pt idx="2708">
                  <c:v>4.8</c:v>
                </c:pt>
                <c:pt idx="2709">
                  <c:v>10</c:v>
                </c:pt>
                <c:pt idx="2710">
                  <c:v>5.3</c:v>
                </c:pt>
                <c:pt idx="2711">
                  <c:v>9.6</c:v>
                </c:pt>
                <c:pt idx="2712">
                  <c:v>7.9</c:v>
                </c:pt>
                <c:pt idx="2713">
                  <c:v>3.9</c:v>
                </c:pt>
                <c:pt idx="2714">
                  <c:v>2.2000000000000002</c:v>
                </c:pt>
                <c:pt idx="2715">
                  <c:v>12</c:v>
                </c:pt>
                <c:pt idx="2716">
                  <c:v>7.2</c:v>
                </c:pt>
                <c:pt idx="2717">
                  <c:v>6.7</c:v>
                </c:pt>
                <c:pt idx="2718">
                  <c:v>6.7</c:v>
                </c:pt>
                <c:pt idx="2719">
                  <c:v>1.9</c:v>
                </c:pt>
                <c:pt idx="2720">
                  <c:v>9.1999999999999993</c:v>
                </c:pt>
                <c:pt idx="2721">
                  <c:v>5.9</c:v>
                </c:pt>
                <c:pt idx="2722">
                  <c:v>3.4</c:v>
                </c:pt>
                <c:pt idx="2723">
                  <c:v>4.9000000000000004</c:v>
                </c:pt>
                <c:pt idx="2724">
                  <c:v>12.1</c:v>
                </c:pt>
                <c:pt idx="2725">
                  <c:v>16.3</c:v>
                </c:pt>
                <c:pt idx="2726">
                  <c:v>12.6</c:v>
                </c:pt>
                <c:pt idx="2727">
                  <c:v>5.2</c:v>
                </c:pt>
                <c:pt idx="2728">
                  <c:v>4.9000000000000004</c:v>
                </c:pt>
                <c:pt idx="2729">
                  <c:v>4.0999999999999996</c:v>
                </c:pt>
                <c:pt idx="2730">
                  <c:v>3.3</c:v>
                </c:pt>
                <c:pt idx="2731">
                  <c:v>3.8</c:v>
                </c:pt>
                <c:pt idx="2732">
                  <c:v>7.9</c:v>
                </c:pt>
                <c:pt idx="2733">
                  <c:v>3.7</c:v>
                </c:pt>
                <c:pt idx="2734">
                  <c:v>7.2</c:v>
                </c:pt>
                <c:pt idx="2735">
                  <c:v>2.1</c:v>
                </c:pt>
                <c:pt idx="2736">
                  <c:v>13.8</c:v>
                </c:pt>
                <c:pt idx="2737">
                  <c:v>3.9</c:v>
                </c:pt>
                <c:pt idx="2738">
                  <c:v>0.3</c:v>
                </c:pt>
                <c:pt idx="2739">
                  <c:v>6.9</c:v>
                </c:pt>
                <c:pt idx="2740">
                  <c:v>4.3</c:v>
                </c:pt>
                <c:pt idx="2741">
                  <c:v>6.4</c:v>
                </c:pt>
                <c:pt idx="2742">
                  <c:v>6.9</c:v>
                </c:pt>
                <c:pt idx="2743">
                  <c:v>5.9</c:v>
                </c:pt>
                <c:pt idx="2744">
                  <c:v>3.7</c:v>
                </c:pt>
                <c:pt idx="2745">
                  <c:v>6.5</c:v>
                </c:pt>
                <c:pt idx="2746">
                  <c:v>2.6</c:v>
                </c:pt>
                <c:pt idx="2747">
                  <c:v>7.5</c:v>
                </c:pt>
                <c:pt idx="2748">
                  <c:v>4.7</c:v>
                </c:pt>
                <c:pt idx="2749">
                  <c:v>6</c:v>
                </c:pt>
                <c:pt idx="2750">
                  <c:v>9.9</c:v>
                </c:pt>
                <c:pt idx="2751">
                  <c:v>11.5</c:v>
                </c:pt>
                <c:pt idx="2752">
                  <c:v>7.9</c:v>
                </c:pt>
                <c:pt idx="2753">
                  <c:v>4.3</c:v>
                </c:pt>
                <c:pt idx="2754">
                  <c:v>8.1</c:v>
                </c:pt>
                <c:pt idx="2755">
                  <c:v>9.3000000000000007</c:v>
                </c:pt>
                <c:pt idx="2756">
                  <c:v>6.1</c:v>
                </c:pt>
                <c:pt idx="2757">
                  <c:v>6.5</c:v>
                </c:pt>
                <c:pt idx="2758">
                  <c:v>4.4000000000000004</c:v>
                </c:pt>
                <c:pt idx="2759">
                  <c:v>8.3000000000000007</c:v>
                </c:pt>
                <c:pt idx="2760">
                  <c:v>4.4000000000000004</c:v>
                </c:pt>
                <c:pt idx="2761">
                  <c:v>5.0999999999999996</c:v>
                </c:pt>
                <c:pt idx="2762">
                  <c:v>6</c:v>
                </c:pt>
                <c:pt idx="2763">
                  <c:v>6.6</c:v>
                </c:pt>
                <c:pt idx="2764">
                  <c:v>3.9</c:v>
                </c:pt>
                <c:pt idx="2765">
                  <c:v>6.1</c:v>
                </c:pt>
                <c:pt idx="2766">
                  <c:v>7.5</c:v>
                </c:pt>
                <c:pt idx="2767">
                  <c:v>11.5</c:v>
                </c:pt>
                <c:pt idx="2768">
                  <c:v>6</c:v>
                </c:pt>
                <c:pt idx="2769">
                  <c:v>5.8</c:v>
                </c:pt>
                <c:pt idx="2770">
                  <c:v>2.5</c:v>
                </c:pt>
                <c:pt idx="2771">
                  <c:v>7.5</c:v>
                </c:pt>
                <c:pt idx="2772">
                  <c:v>8.9</c:v>
                </c:pt>
                <c:pt idx="2773">
                  <c:v>8.1</c:v>
                </c:pt>
                <c:pt idx="2774">
                  <c:v>5.6</c:v>
                </c:pt>
                <c:pt idx="2775">
                  <c:v>12.2</c:v>
                </c:pt>
                <c:pt idx="2776">
                  <c:v>12.2</c:v>
                </c:pt>
                <c:pt idx="2777">
                  <c:v>3.8</c:v>
                </c:pt>
                <c:pt idx="2778">
                  <c:v>6.3</c:v>
                </c:pt>
                <c:pt idx="2779">
                  <c:v>5.5</c:v>
                </c:pt>
                <c:pt idx="2780">
                  <c:v>7.4</c:v>
                </c:pt>
                <c:pt idx="2781">
                  <c:v>4.3</c:v>
                </c:pt>
                <c:pt idx="2782">
                  <c:v>4.2</c:v>
                </c:pt>
                <c:pt idx="2783">
                  <c:v>5.2</c:v>
                </c:pt>
                <c:pt idx="2784">
                  <c:v>5.7</c:v>
                </c:pt>
                <c:pt idx="2785">
                  <c:v>8.6</c:v>
                </c:pt>
                <c:pt idx="2786">
                  <c:v>7.1</c:v>
                </c:pt>
                <c:pt idx="2787">
                  <c:v>10.5</c:v>
                </c:pt>
                <c:pt idx="2788">
                  <c:v>3.8</c:v>
                </c:pt>
                <c:pt idx="2789">
                  <c:v>7</c:v>
                </c:pt>
                <c:pt idx="2790">
                  <c:v>4.3</c:v>
                </c:pt>
                <c:pt idx="2791">
                  <c:v>6</c:v>
                </c:pt>
                <c:pt idx="2792">
                  <c:v>6.8</c:v>
                </c:pt>
                <c:pt idx="2793">
                  <c:v>6.2</c:v>
                </c:pt>
                <c:pt idx="2794">
                  <c:v>5.8</c:v>
                </c:pt>
                <c:pt idx="2795">
                  <c:v>8.4</c:v>
                </c:pt>
                <c:pt idx="2796">
                  <c:v>8.3000000000000007</c:v>
                </c:pt>
                <c:pt idx="2797">
                  <c:v>5.9</c:v>
                </c:pt>
                <c:pt idx="2798">
                  <c:v>3.2</c:v>
                </c:pt>
                <c:pt idx="2799">
                  <c:v>7.1</c:v>
                </c:pt>
                <c:pt idx="2800">
                  <c:v>5.0999999999999996</c:v>
                </c:pt>
                <c:pt idx="2801">
                  <c:v>5.5</c:v>
                </c:pt>
                <c:pt idx="2802">
                  <c:v>4.7</c:v>
                </c:pt>
                <c:pt idx="2803">
                  <c:v>7.7</c:v>
                </c:pt>
                <c:pt idx="2804">
                  <c:v>2.1</c:v>
                </c:pt>
                <c:pt idx="2805">
                  <c:v>6.3</c:v>
                </c:pt>
                <c:pt idx="2806">
                  <c:v>5.8</c:v>
                </c:pt>
                <c:pt idx="2807">
                  <c:v>5.7</c:v>
                </c:pt>
                <c:pt idx="2808">
                  <c:v>7.2</c:v>
                </c:pt>
                <c:pt idx="2809">
                  <c:v>5</c:v>
                </c:pt>
                <c:pt idx="2810">
                  <c:v>9.4</c:v>
                </c:pt>
                <c:pt idx="2811">
                  <c:v>4.9000000000000004</c:v>
                </c:pt>
                <c:pt idx="2812">
                  <c:v>7.4</c:v>
                </c:pt>
                <c:pt idx="2813">
                  <c:v>4.3</c:v>
                </c:pt>
                <c:pt idx="2814">
                  <c:v>4.5</c:v>
                </c:pt>
                <c:pt idx="2815">
                  <c:v>5.6</c:v>
                </c:pt>
                <c:pt idx="2816">
                  <c:v>6.6</c:v>
                </c:pt>
                <c:pt idx="2817">
                  <c:v>4.8</c:v>
                </c:pt>
                <c:pt idx="2818">
                  <c:v>6.8</c:v>
                </c:pt>
                <c:pt idx="2819">
                  <c:v>5.0999999999999996</c:v>
                </c:pt>
                <c:pt idx="2820">
                  <c:v>6.8</c:v>
                </c:pt>
                <c:pt idx="2821">
                  <c:v>3.8</c:v>
                </c:pt>
                <c:pt idx="2822">
                  <c:v>5.0999999999999996</c:v>
                </c:pt>
                <c:pt idx="2823">
                  <c:v>5</c:v>
                </c:pt>
                <c:pt idx="2824">
                  <c:v>6.6</c:v>
                </c:pt>
                <c:pt idx="2825">
                  <c:v>6.6</c:v>
                </c:pt>
                <c:pt idx="2826">
                  <c:v>3.7</c:v>
                </c:pt>
                <c:pt idx="2827">
                  <c:v>4.7</c:v>
                </c:pt>
                <c:pt idx="2828">
                  <c:v>6</c:v>
                </c:pt>
                <c:pt idx="2829">
                  <c:v>5.8</c:v>
                </c:pt>
                <c:pt idx="2830">
                  <c:v>8.6999999999999993</c:v>
                </c:pt>
                <c:pt idx="2831">
                  <c:v>4.5999999999999996</c:v>
                </c:pt>
                <c:pt idx="2832">
                  <c:v>10.5</c:v>
                </c:pt>
                <c:pt idx="2833">
                  <c:v>10.6</c:v>
                </c:pt>
                <c:pt idx="2834">
                  <c:v>11.2</c:v>
                </c:pt>
                <c:pt idx="2835">
                  <c:v>6</c:v>
                </c:pt>
                <c:pt idx="2836">
                  <c:v>8.6</c:v>
                </c:pt>
                <c:pt idx="2837">
                  <c:v>6.7</c:v>
                </c:pt>
                <c:pt idx="2838">
                  <c:v>8.1999999999999993</c:v>
                </c:pt>
                <c:pt idx="2839">
                  <c:v>4.9000000000000004</c:v>
                </c:pt>
                <c:pt idx="2840">
                  <c:v>6.8</c:v>
                </c:pt>
                <c:pt idx="2841">
                  <c:v>6</c:v>
                </c:pt>
                <c:pt idx="2842">
                  <c:v>4.0999999999999996</c:v>
                </c:pt>
                <c:pt idx="2843">
                  <c:v>7.3</c:v>
                </c:pt>
                <c:pt idx="2844">
                  <c:v>10.1</c:v>
                </c:pt>
                <c:pt idx="2845">
                  <c:v>8.4</c:v>
                </c:pt>
                <c:pt idx="2846">
                  <c:v>9.6999999999999993</c:v>
                </c:pt>
                <c:pt idx="2847">
                  <c:v>8.5</c:v>
                </c:pt>
                <c:pt idx="2848">
                  <c:v>4.9000000000000004</c:v>
                </c:pt>
                <c:pt idx="2849">
                  <c:v>5</c:v>
                </c:pt>
                <c:pt idx="2850">
                  <c:v>5.7</c:v>
                </c:pt>
                <c:pt idx="2851">
                  <c:v>5.2</c:v>
                </c:pt>
                <c:pt idx="2852">
                  <c:v>6.2</c:v>
                </c:pt>
                <c:pt idx="2853">
                  <c:v>5.2</c:v>
                </c:pt>
                <c:pt idx="2854">
                  <c:v>4.8</c:v>
                </c:pt>
                <c:pt idx="2855">
                  <c:v>4.7</c:v>
                </c:pt>
                <c:pt idx="2856">
                  <c:v>5</c:v>
                </c:pt>
                <c:pt idx="2857">
                  <c:v>9</c:v>
                </c:pt>
                <c:pt idx="2858">
                  <c:v>7.4</c:v>
                </c:pt>
                <c:pt idx="2859">
                  <c:v>6.4</c:v>
                </c:pt>
                <c:pt idx="2860">
                  <c:v>7.5</c:v>
                </c:pt>
                <c:pt idx="2861">
                  <c:v>4.4000000000000004</c:v>
                </c:pt>
                <c:pt idx="2862">
                  <c:v>6.7</c:v>
                </c:pt>
                <c:pt idx="2863">
                  <c:v>10</c:v>
                </c:pt>
                <c:pt idx="2864">
                  <c:v>1.1000000000000001</c:v>
                </c:pt>
                <c:pt idx="2865">
                  <c:v>8.3000000000000007</c:v>
                </c:pt>
                <c:pt idx="2866">
                  <c:v>5.0999999999999996</c:v>
                </c:pt>
                <c:pt idx="2867">
                  <c:v>5.5</c:v>
                </c:pt>
                <c:pt idx="2868">
                  <c:v>7.4</c:v>
                </c:pt>
                <c:pt idx="2869">
                  <c:v>5.4</c:v>
                </c:pt>
                <c:pt idx="2870">
                  <c:v>7.9</c:v>
                </c:pt>
                <c:pt idx="2871">
                  <c:v>12</c:v>
                </c:pt>
                <c:pt idx="2872">
                  <c:v>4</c:v>
                </c:pt>
                <c:pt idx="2873">
                  <c:v>8.1</c:v>
                </c:pt>
                <c:pt idx="2874">
                  <c:v>7.3</c:v>
                </c:pt>
                <c:pt idx="2875">
                  <c:v>6.6</c:v>
                </c:pt>
                <c:pt idx="2876">
                  <c:v>3.3</c:v>
                </c:pt>
                <c:pt idx="2877">
                  <c:v>6.9</c:v>
                </c:pt>
                <c:pt idx="2878">
                  <c:v>6.3</c:v>
                </c:pt>
                <c:pt idx="2879">
                  <c:v>5.6</c:v>
                </c:pt>
                <c:pt idx="2880">
                  <c:v>5.7</c:v>
                </c:pt>
                <c:pt idx="2881">
                  <c:v>6.1</c:v>
                </c:pt>
                <c:pt idx="2882">
                  <c:v>9.5</c:v>
                </c:pt>
                <c:pt idx="2883">
                  <c:v>8.6999999999999993</c:v>
                </c:pt>
                <c:pt idx="2884">
                  <c:v>10.8</c:v>
                </c:pt>
                <c:pt idx="2885">
                  <c:v>7.9</c:v>
                </c:pt>
                <c:pt idx="2886">
                  <c:v>9.3000000000000007</c:v>
                </c:pt>
                <c:pt idx="2887">
                  <c:v>8.3000000000000007</c:v>
                </c:pt>
                <c:pt idx="2888">
                  <c:v>7.7</c:v>
                </c:pt>
                <c:pt idx="2889">
                  <c:v>4.9000000000000004</c:v>
                </c:pt>
                <c:pt idx="2890">
                  <c:v>7</c:v>
                </c:pt>
                <c:pt idx="2891">
                  <c:v>10.6</c:v>
                </c:pt>
                <c:pt idx="2892">
                  <c:v>5.4</c:v>
                </c:pt>
                <c:pt idx="2893">
                  <c:v>7.4</c:v>
                </c:pt>
                <c:pt idx="2894">
                  <c:v>2.9</c:v>
                </c:pt>
                <c:pt idx="2895">
                  <c:v>8.6999999999999993</c:v>
                </c:pt>
                <c:pt idx="2896">
                  <c:v>5.0999999999999996</c:v>
                </c:pt>
                <c:pt idx="2897">
                  <c:v>4.0999999999999996</c:v>
                </c:pt>
                <c:pt idx="2898">
                  <c:v>5.4</c:v>
                </c:pt>
                <c:pt idx="2899">
                  <c:v>8</c:v>
                </c:pt>
                <c:pt idx="2900">
                  <c:v>9.4</c:v>
                </c:pt>
                <c:pt idx="2901">
                  <c:v>6</c:v>
                </c:pt>
                <c:pt idx="2902">
                  <c:v>6.4</c:v>
                </c:pt>
                <c:pt idx="2903">
                  <c:v>7.2</c:v>
                </c:pt>
                <c:pt idx="2904">
                  <c:v>6.2</c:v>
                </c:pt>
                <c:pt idx="2905">
                  <c:v>5.5</c:v>
                </c:pt>
                <c:pt idx="2906">
                  <c:v>10.7</c:v>
                </c:pt>
                <c:pt idx="2907">
                  <c:v>6.9</c:v>
                </c:pt>
                <c:pt idx="2908">
                  <c:v>8</c:v>
                </c:pt>
                <c:pt idx="2909">
                  <c:v>7.2</c:v>
                </c:pt>
                <c:pt idx="2910">
                  <c:v>6.9</c:v>
                </c:pt>
                <c:pt idx="2911">
                  <c:v>9.6999999999999993</c:v>
                </c:pt>
                <c:pt idx="2912">
                  <c:v>11</c:v>
                </c:pt>
                <c:pt idx="2913">
                  <c:v>9.6</c:v>
                </c:pt>
                <c:pt idx="2914">
                  <c:v>5.8</c:v>
                </c:pt>
                <c:pt idx="2915">
                  <c:v>4.5</c:v>
                </c:pt>
                <c:pt idx="2916">
                  <c:v>10.7</c:v>
                </c:pt>
                <c:pt idx="2917">
                  <c:v>7.3</c:v>
                </c:pt>
                <c:pt idx="2918">
                  <c:v>4.3</c:v>
                </c:pt>
                <c:pt idx="2919">
                  <c:v>7.5</c:v>
                </c:pt>
                <c:pt idx="2920">
                  <c:v>8.3000000000000007</c:v>
                </c:pt>
                <c:pt idx="2921">
                  <c:v>7.3</c:v>
                </c:pt>
                <c:pt idx="2922">
                  <c:v>12.7</c:v>
                </c:pt>
                <c:pt idx="2923">
                  <c:v>19.100000000000001</c:v>
                </c:pt>
                <c:pt idx="2924">
                  <c:v>5.4</c:v>
                </c:pt>
                <c:pt idx="2925">
                  <c:v>4.2</c:v>
                </c:pt>
                <c:pt idx="2926">
                  <c:v>13.7</c:v>
                </c:pt>
                <c:pt idx="2927">
                  <c:v>8.9</c:v>
                </c:pt>
                <c:pt idx="2928">
                  <c:v>6.4</c:v>
                </c:pt>
                <c:pt idx="2929">
                  <c:v>9.8000000000000007</c:v>
                </c:pt>
                <c:pt idx="2930">
                  <c:v>6.5</c:v>
                </c:pt>
                <c:pt idx="2931">
                  <c:v>12.8</c:v>
                </c:pt>
                <c:pt idx="2932">
                  <c:v>2.7</c:v>
                </c:pt>
                <c:pt idx="2933">
                  <c:v>8</c:v>
                </c:pt>
                <c:pt idx="2934">
                  <c:v>7.5</c:v>
                </c:pt>
                <c:pt idx="2935">
                  <c:v>4.4000000000000004</c:v>
                </c:pt>
                <c:pt idx="2936">
                  <c:v>11.5</c:v>
                </c:pt>
                <c:pt idx="2937">
                  <c:v>9.1</c:v>
                </c:pt>
                <c:pt idx="2938">
                  <c:v>10.9</c:v>
                </c:pt>
                <c:pt idx="2939">
                  <c:v>11.1</c:v>
                </c:pt>
                <c:pt idx="2940">
                  <c:v>13</c:v>
                </c:pt>
                <c:pt idx="2941">
                  <c:v>4.5</c:v>
                </c:pt>
                <c:pt idx="2942">
                  <c:v>11.6</c:v>
                </c:pt>
                <c:pt idx="2943">
                  <c:v>8.8000000000000007</c:v>
                </c:pt>
                <c:pt idx="2944">
                  <c:v>10</c:v>
                </c:pt>
                <c:pt idx="2945">
                  <c:v>8.3000000000000007</c:v>
                </c:pt>
                <c:pt idx="2946">
                  <c:v>4.8</c:v>
                </c:pt>
                <c:pt idx="2947">
                  <c:v>5.6</c:v>
                </c:pt>
                <c:pt idx="2948">
                  <c:v>8</c:v>
                </c:pt>
                <c:pt idx="2949">
                  <c:v>6.1</c:v>
                </c:pt>
                <c:pt idx="2950">
                  <c:v>4.9000000000000004</c:v>
                </c:pt>
                <c:pt idx="2951">
                  <c:v>8.5</c:v>
                </c:pt>
                <c:pt idx="2952">
                  <c:v>6.7</c:v>
                </c:pt>
                <c:pt idx="2953">
                  <c:v>9.6</c:v>
                </c:pt>
                <c:pt idx="2954">
                  <c:v>9.6</c:v>
                </c:pt>
                <c:pt idx="2955">
                  <c:v>6.9</c:v>
                </c:pt>
                <c:pt idx="2956">
                  <c:v>7.5</c:v>
                </c:pt>
                <c:pt idx="2957">
                  <c:v>9.9</c:v>
                </c:pt>
                <c:pt idx="2958">
                  <c:v>8.6</c:v>
                </c:pt>
                <c:pt idx="2959">
                  <c:v>10.4</c:v>
                </c:pt>
                <c:pt idx="2960">
                  <c:v>10.7</c:v>
                </c:pt>
                <c:pt idx="2961">
                  <c:v>6.5</c:v>
                </c:pt>
                <c:pt idx="2962">
                  <c:v>12.2</c:v>
                </c:pt>
                <c:pt idx="2963">
                  <c:v>7.2</c:v>
                </c:pt>
                <c:pt idx="2964">
                  <c:v>7.4</c:v>
                </c:pt>
                <c:pt idx="2965">
                  <c:v>10.1</c:v>
                </c:pt>
                <c:pt idx="2966">
                  <c:v>14.3</c:v>
                </c:pt>
                <c:pt idx="2967">
                  <c:v>9</c:v>
                </c:pt>
                <c:pt idx="2968">
                  <c:v>9.5</c:v>
                </c:pt>
                <c:pt idx="2969">
                  <c:v>6.3</c:v>
                </c:pt>
                <c:pt idx="2970">
                  <c:v>8</c:v>
                </c:pt>
                <c:pt idx="2971">
                  <c:v>7.8</c:v>
                </c:pt>
                <c:pt idx="2972">
                  <c:v>7</c:v>
                </c:pt>
                <c:pt idx="2973">
                  <c:v>12.1</c:v>
                </c:pt>
                <c:pt idx="2974">
                  <c:v>4.8</c:v>
                </c:pt>
                <c:pt idx="2975">
                  <c:v>12.9</c:v>
                </c:pt>
                <c:pt idx="2976">
                  <c:v>8.9</c:v>
                </c:pt>
                <c:pt idx="2977">
                  <c:v>8.9</c:v>
                </c:pt>
                <c:pt idx="2978">
                  <c:v>10.3</c:v>
                </c:pt>
                <c:pt idx="2979">
                  <c:v>9.1999999999999993</c:v>
                </c:pt>
                <c:pt idx="2980">
                  <c:v>5.9</c:v>
                </c:pt>
                <c:pt idx="2981">
                  <c:v>8.1999999999999993</c:v>
                </c:pt>
                <c:pt idx="2982">
                  <c:v>8.3000000000000007</c:v>
                </c:pt>
                <c:pt idx="2983">
                  <c:v>7.5</c:v>
                </c:pt>
                <c:pt idx="2984">
                  <c:v>8.4</c:v>
                </c:pt>
                <c:pt idx="2985">
                  <c:v>9.4</c:v>
                </c:pt>
                <c:pt idx="2986">
                  <c:v>8.5</c:v>
                </c:pt>
                <c:pt idx="2987">
                  <c:v>10.6</c:v>
                </c:pt>
                <c:pt idx="2988">
                  <c:v>6.4</c:v>
                </c:pt>
                <c:pt idx="2989">
                  <c:v>8.1999999999999993</c:v>
                </c:pt>
                <c:pt idx="2990">
                  <c:v>8.8000000000000007</c:v>
                </c:pt>
                <c:pt idx="2991">
                  <c:v>9</c:v>
                </c:pt>
                <c:pt idx="2992">
                  <c:v>9</c:v>
                </c:pt>
                <c:pt idx="2993">
                  <c:v>9.6999999999999993</c:v>
                </c:pt>
                <c:pt idx="2994">
                  <c:v>9.1999999999999993</c:v>
                </c:pt>
                <c:pt idx="2995">
                  <c:v>14.4</c:v>
                </c:pt>
                <c:pt idx="2996">
                  <c:v>6.4</c:v>
                </c:pt>
                <c:pt idx="2997">
                  <c:v>6.8</c:v>
                </c:pt>
                <c:pt idx="2998">
                  <c:v>18.100000000000001</c:v>
                </c:pt>
                <c:pt idx="2999">
                  <c:v>12.3</c:v>
                </c:pt>
                <c:pt idx="3000">
                  <c:v>6.5</c:v>
                </c:pt>
                <c:pt idx="3001">
                  <c:v>9.1999999999999993</c:v>
                </c:pt>
                <c:pt idx="3002">
                  <c:v>9.4</c:v>
                </c:pt>
                <c:pt idx="3003">
                  <c:v>6.7</c:v>
                </c:pt>
                <c:pt idx="3004">
                  <c:v>7.2</c:v>
                </c:pt>
                <c:pt idx="3005">
                  <c:v>8.1</c:v>
                </c:pt>
                <c:pt idx="3006">
                  <c:v>7.2</c:v>
                </c:pt>
                <c:pt idx="3007">
                  <c:v>7.9</c:v>
                </c:pt>
                <c:pt idx="3008">
                  <c:v>7.4</c:v>
                </c:pt>
                <c:pt idx="3009">
                  <c:v>6.8</c:v>
                </c:pt>
                <c:pt idx="3010">
                  <c:v>8.4</c:v>
                </c:pt>
                <c:pt idx="3011">
                  <c:v>7</c:v>
                </c:pt>
                <c:pt idx="3012">
                  <c:v>7.2</c:v>
                </c:pt>
                <c:pt idx="3013">
                  <c:v>10.1</c:v>
                </c:pt>
                <c:pt idx="3014">
                  <c:v>10.9</c:v>
                </c:pt>
                <c:pt idx="3015">
                  <c:v>13.3</c:v>
                </c:pt>
                <c:pt idx="3016">
                  <c:v>4.9000000000000004</c:v>
                </c:pt>
                <c:pt idx="3017">
                  <c:v>7</c:v>
                </c:pt>
                <c:pt idx="3018">
                  <c:v>10.3</c:v>
                </c:pt>
                <c:pt idx="3019">
                  <c:v>5.0999999999999996</c:v>
                </c:pt>
                <c:pt idx="3020">
                  <c:v>8.8000000000000007</c:v>
                </c:pt>
                <c:pt idx="3021">
                  <c:v>14.1</c:v>
                </c:pt>
                <c:pt idx="3022">
                  <c:v>5.8</c:v>
                </c:pt>
                <c:pt idx="3023">
                  <c:v>7.3</c:v>
                </c:pt>
                <c:pt idx="3024">
                  <c:v>12.3</c:v>
                </c:pt>
                <c:pt idx="3025">
                  <c:v>8.4</c:v>
                </c:pt>
                <c:pt idx="3026">
                  <c:v>5.5</c:v>
                </c:pt>
                <c:pt idx="3027">
                  <c:v>4.9000000000000004</c:v>
                </c:pt>
                <c:pt idx="3028">
                  <c:v>8.1999999999999993</c:v>
                </c:pt>
                <c:pt idx="3029">
                  <c:v>5.7</c:v>
                </c:pt>
                <c:pt idx="3030">
                  <c:v>7</c:v>
                </c:pt>
                <c:pt idx="3031">
                  <c:v>3.7</c:v>
                </c:pt>
                <c:pt idx="3032">
                  <c:v>6.6</c:v>
                </c:pt>
                <c:pt idx="3033">
                  <c:v>6.7</c:v>
                </c:pt>
                <c:pt idx="3034">
                  <c:v>10.6</c:v>
                </c:pt>
                <c:pt idx="3035">
                  <c:v>8.9</c:v>
                </c:pt>
                <c:pt idx="3036">
                  <c:v>10</c:v>
                </c:pt>
                <c:pt idx="3037">
                  <c:v>9.5</c:v>
                </c:pt>
                <c:pt idx="3038">
                  <c:v>7.6</c:v>
                </c:pt>
                <c:pt idx="3039">
                  <c:v>10.9</c:v>
                </c:pt>
                <c:pt idx="3040">
                  <c:v>8</c:v>
                </c:pt>
                <c:pt idx="3041">
                  <c:v>9.9</c:v>
                </c:pt>
                <c:pt idx="3042">
                  <c:v>14.8</c:v>
                </c:pt>
                <c:pt idx="3043">
                  <c:v>8.1</c:v>
                </c:pt>
                <c:pt idx="3044">
                  <c:v>8.4</c:v>
                </c:pt>
                <c:pt idx="3045">
                  <c:v>8.6</c:v>
                </c:pt>
                <c:pt idx="3046">
                  <c:v>10.1</c:v>
                </c:pt>
                <c:pt idx="3047">
                  <c:v>10.1</c:v>
                </c:pt>
                <c:pt idx="3048">
                  <c:v>7.9</c:v>
                </c:pt>
                <c:pt idx="3049">
                  <c:v>6</c:v>
                </c:pt>
                <c:pt idx="3050">
                  <c:v>7.2</c:v>
                </c:pt>
                <c:pt idx="3051">
                  <c:v>6.1</c:v>
                </c:pt>
                <c:pt idx="3052">
                  <c:v>3.7</c:v>
                </c:pt>
                <c:pt idx="3053">
                  <c:v>7.5</c:v>
                </c:pt>
                <c:pt idx="3054">
                  <c:v>3.1</c:v>
                </c:pt>
                <c:pt idx="3055">
                  <c:v>5.0999999999999996</c:v>
                </c:pt>
                <c:pt idx="3056">
                  <c:v>4.8</c:v>
                </c:pt>
                <c:pt idx="3057">
                  <c:v>5.8</c:v>
                </c:pt>
                <c:pt idx="3058">
                  <c:v>6.5</c:v>
                </c:pt>
                <c:pt idx="3059">
                  <c:v>4.9000000000000004</c:v>
                </c:pt>
                <c:pt idx="3060">
                  <c:v>6</c:v>
                </c:pt>
                <c:pt idx="3061">
                  <c:v>6.2</c:v>
                </c:pt>
                <c:pt idx="3062">
                  <c:v>7</c:v>
                </c:pt>
                <c:pt idx="3063">
                  <c:v>6.1</c:v>
                </c:pt>
                <c:pt idx="3064">
                  <c:v>5.8</c:v>
                </c:pt>
                <c:pt idx="3065">
                  <c:v>7.2</c:v>
                </c:pt>
                <c:pt idx="3066">
                  <c:v>5.3</c:v>
                </c:pt>
                <c:pt idx="3067">
                  <c:v>10.1</c:v>
                </c:pt>
                <c:pt idx="3068">
                  <c:v>4.5999999999999996</c:v>
                </c:pt>
                <c:pt idx="3069">
                  <c:v>3.5</c:v>
                </c:pt>
                <c:pt idx="3070">
                  <c:v>5.7</c:v>
                </c:pt>
                <c:pt idx="3071">
                  <c:v>4.7</c:v>
                </c:pt>
                <c:pt idx="3072">
                  <c:v>7</c:v>
                </c:pt>
                <c:pt idx="3073">
                  <c:v>5.6</c:v>
                </c:pt>
                <c:pt idx="3074">
                  <c:v>5.5</c:v>
                </c:pt>
                <c:pt idx="3075">
                  <c:v>7.1</c:v>
                </c:pt>
                <c:pt idx="3076">
                  <c:v>9.6999999999999993</c:v>
                </c:pt>
                <c:pt idx="3077">
                  <c:v>4.7</c:v>
                </c:pt>
                <c:pt idx="3078">
                  <c:v>5.4</c:v>
                </c:pt>
                <c:pt idx="3079">
                  <c:v>3.6</c:v>
                </c:pt>
                <c:pt idx="3080">
                  <c:v>8.1999999999999993</c:v>
                </c:pt>
                <c:pt idx="3081">
                  <c:v>6.1</c:v>
                </c:pt>
                <c:pt idx="3082">
                  <c:v>5.7</c:v>
                </c:pt>
                <c:pt idx="3083">
                  <c:v>5.7</c:v>
                </c:pt>
                <c:pt idx="3084">
                  <c:v>7.5</c:v>
                </c:pt>
                <c:pt idx="3085">
                  <c:v>7.6</c:v>
                </c:pt>
                <c:pt idx="3086">
                  <c:v>14.8</c:v>
                </c:pt>
                <c:pt idx="3087">
                  <c:v>9.3000000000000007</c:v>
                </c:pt>
                <c:pt idx="3088">
                  <c:v>6.5</c:v>
                </c:pt>
                <c:pt idx="3089">
                  <c:v>5.5</c:v>
                </c:pt>
                <c:pt idx="3090">
                  <c:v>6.3</c:v>
                </c:pt>
                <c:pt idx="3091">
                  <c:v>3.9</c:v>
                </c:pt>
                <c:pt idx="3092">
                  <c:v>4.5</c:v>
                </c:pt>
                <c:pt idx="3093">
                  <c:v>4.5999999999999996</c:v>
                </c:pt>
                <c:pt idx="3094">
                  <c:v>3.6</c:v>
                </c:pt>
                <c:pt idx="3095">
                  <c:v>6.8</c:v>
                </c:pt>
                <c:pt idx="3096">
                  <c:v>7.2</c:v>
                </c:pt>
                <c:pt idx="3097">
                  <c:v>4.5999999999999996</c:v>
                </c:pt>
                <c:pt idx="3098">
                  <c:v>8.4</c:v>
                </c:pt>
                <c:pt idx="3099">
                  <c:v>4.8</c:v>
                </c:pt>
                <c:pt idx="3100">
                  <c:v>8.5</c:v>
                </c:pt>
                <c:pt idx="3101">
                  <c:v>5.9</c:v>
                </c:pt>
                <c:pt idx="3102">
                  <c:v>4.5999999999999996</c:v>
                </c:pt>
                <c:pt idx="3103">
                  <c:v>5.5</c:v>
                </c:pt>
                <c:pt idx="3104">
                  <c:v>9.8000000000000007</c:v>
                </c:pt>
                <c:pt idx="3105">
                  <c:v>5.4</c:v>
                </c:pt>
                <c:pt idx="3106">
                  <c:v>5.8</c:v>
                </c:pt>
                <c:pt idx="3107">
                  <c:v>5.5</c:v>
                </c:pt>
                <c:pt idx="3108">
                  <c:v>3.6</c:v>
                </c:pt>
                <c:pt idx="3109">
                  <c:v>4</c:v>
                </c:pt>
                <c:pt idx="3110">
                  <c:v>8</c:v>
                </c:pt>
                <c:pt idx="3111">
                  <c:v>7.2</c:v>
                </c:pt>
                <c:pt idx="3112">
                  <c:v>6.6</c:v>
                </c:pt>
                <c:pt idx="3113">
                  <c:v>4.5</c:v>
                </c:pt>
                <c:pt idx="3114">
                  <c:v>4.2</c:v>
                </c:pt>
                <c:pt idx="3115">
                  <c:v>5.7</c:v>
                </c:pt>
                <c:pt idx="3116">
                  <c:v>7.2</c:v>
                </c:pt>
                <c:pt idx="3117">
                  <c:v>4.7</c:v>
                </c:pt>
                <c:pt idx="3118">
                  <c:v>6.6</c:v>
                </c:pt>
                <c:pt idx="3119">
                  <c:v>4.7</c:v>
                </c:pt>
                <c:pt idx="3120">
                  <c:v>4.4000000000000004</c:v>
                </c:pt>
                <c:pt idx="3121">
                  <c:v>4</c:v>
                </c:pt>
                <c:pt idx="3122">
                  <c:v>4.3</c:v>
                </c:pt>
                <c:pt idx="3123">
                  <c:v>5.0999999999999996</c:v>
                </c:pt>
                <c:pt idx="3124">
                  <c:v>4.0999999999999996</c:v>
                </c:pt>
                <c:pt idx="3125">
                  <c:v>7.8</c:v>
                </c:pt>
                <c:pt idx="3126">
                  <c:v>6.8</c:v>
                </c:pt>
                <c:pt idx="3127">
                  <c:v>3.3</c:v>
                </c:pt>
                <c:pt idx="3128">
                  <c:v>3.6</c:v>
                </c:pt>
                <c:pt idx="3129">
                  <c:v>5</c:v>
                </c:pt>
                <c:pt idx="3130">
                  <c:v>6.4</c:v>
                </c:pt>
                <c:pt idx="3131">
                  <c:v>5.0999999999999996</c:v>
                </c:pt>
                <c:pt idx="3132">
                  <c:v>1.6</c:v>
                </c:pt>
                <c:pt idx="3133">
                  <c:v>3.8</c:v>
                </c:pt>
                <c:pt idx="3134">
                  <c:v>2.4</c:v>
                </c:pt>
                <c:pt idx="3135">
                  <c:v>3.4</c:v>
                </c:pt>
                <c:pt idx="3136">
                  <c:v>5.4</c:v>
                </c:pt>
                <c:pt idx="3137">
                  <c:v>5.4</c:v>
                </c:pt>
                <c:pt idx="3138">
                  <c:v>2.6</c:v>
                </c:pt>
                <c:pt idx="3139">
                  <c:v>4.4000000000000004</c:v>
                </c:pt>
                <c:pt idx="3140">
                  <c:v>6.8</c:v>
                </c:pt>
                <c:pt idx="3141">
                  <c:v>5.2</c:v>
                </c:pt>
                <c:pt idx="3142">
                  <c:v>36.5</c:v>
                </c:pt>
                <c:pt idx="3143">
                  <c:v>25.1</c:v>
                </c:pt>
                <c:pt idx="3144">
                  <c:v>23.2</c:v>
                </c:pt>
                <c:pt idx="3145">
                  <c:v>24.6</c:v>
                </c:pt>
                <c:pt idx="3146">
                  <c:v>6</c:v>
                </c:pt>
                <c:pt idx="3147">
                  <c:v>15</c:v>
                </c:pt>
                <c:pt idx="3148">
                  <c:v>17.7</c:v>
                </c:pt>
                <c:pt idx="3149">
                  <c:v>22.9</c:v>
                </c:pt>
                <c:pt idx="3150">
                  <c:v>17.100000000000001</c:v>
                </c:pt>
                <c:pt idx="3151">
                  <c:v>6.8</c:v>
                </c:pt>
                <c:pt idx="3152">
                  <c:v>16.100000000000001</c:v>
                </c:pt>
                <c:pt idx="3153">
                  <c:v>11.8</c:v>
                </c:pt>
                <c:pt idx="3154">
                  <c:v>15.9</c:v>
                </c:pt>
                <c:pt idx="3155">
                  <c:v>21.4</c:v>
                </c:pt>
                <c:pt idx="3156">
                  <c:v>22.6</c:v>
                </c:pt>
                <c:pt idx="3157">
                  <c:v>14.5</c:v>
                </c:pt>
                <c:pt idx="3158">
                  <c:v>30.8</c:v>
                </c:pt>
                <c:pt idx="3159">
                  <c:v>12.8</c:v>
                </c:pt>
                <c:pt idx="3160">
                  <c:v>12.2</c:v>
                </c:pt>
                <c:pt idx="3161">
                  <c:v>17.7</c:v>
                </c:pt>
                <c:pt idx="3162">
                  <c:v>13.7</c:v>
                </c:pt>
                <c:pt idx="3163">
                  <c:v>11.5</c:v>
                </c:pt>
                <c:pt idx="3164">
                  <c:v>20.6</c:v>
                </c:pt>
                <c:pt idx="3165">
                  <c:v>23.1</c:v>
                </c:pt>
                <c:pt idx="3166">
                  <c:v>3.2</c:v>
                </c:pt>
                <c:pt idx="3167">
                  <c:v>19.399999999999999</c:v>
                </c:pt>
                <c:pt idx="3168">
                  <c:v>25.1</c:v>
                </c:pt>
                <c:pt idx="3169">
                  <c:v>15.7</c:v>
                </c:pt>
                <c:pt idx="3170">
                  <c:v>27.2</c:v>
                </c:pt>
                <c:pt idx="3171">
                  <c:v>17.399999999999999</c:v>
                </c:pt>
                <c:pt idx="3172">
                  <c:v>22.5</c:v>
                </c:pt>
                <c:pt idx="3173">
                  <c:v>12.4</c:v>
                </c:pt>
                <c:pt idx="3174">
                  <c:v>13.4</c:v>
                </c:pt>
                <c:pt idx="3175">
                  <c:v>13.3</c:v>
                </c:pt>
                <c:pt idx="3176">
                  <c:v>22.6</c:v>
                </c:pt>
                <c:pt idx="3177">
                  <c:v>13.8</c:v>
                </c:pt>
                <c:pt idx="3178">
                  <c:v>20.3</c:v>
                </c:pt>
                <c:pt idx="3179">
                  <c:v>31.7</c:v>
                </c:pt>
                <c:pt idx="3180">
                  <c:v>17.2</c:v>
                </c:pt>
                <c:pt idx="3181">
                  <c:v>24</c:v>
                </c:pt>
                <c:pt idx="3182">
                  <c:v>17.600000000000001</c:v>
                </c:pt>
                <c:pt idx="3183">
                  <c:v>35.200000000000003</c:v>
                </c:pt>
                <c:pt idx="3184">
                  <c:v>4.5999999999999996</c:v>
                </c:pt>
                <c:pt idx="3185">
                  <c:v>22.5</c:v>
                </c:pt>
                <c:pt idx="3186">
                  <c:v>26.2</c:v>
                </c:pt>
                <c:pt idx="3187">
                  <c:v>28.5</c:v>
                </c:pt>
                <c:pt idx="3188">
                  <c:v>18.899999999999999</c:v>
                </c:pt>
                <c:pt idx="3189">
                  <c:v>10.7</c:v>
                </c:pt>
                <c:pt idx="3190">
                  <c:v>27.9</c:v>
                </c:pt>
                <c:pt idx="3191">
                  <c:v>22.9</c:v>
                </c:pt>
                <c:pt idx="3192">
                  <c:v>23</c:v>
                </c:pt>
                <c:pt idx="3193">
                  <c:v>24.7</c:v>
                </c:pt>
                <c:pt idx="3194">
                  <c:v>10.9</c:v>
                </c:pt>
                <c:pt idx="3195">
                  <c:v>21.9</c:v>
                </c:pt>
                <c:pt idx="3196">
                  <c:v>31.2</c:v>
                </c:pt>
                <c:pt idx="3197">
                  <c:v>27.5</c:v>
                </c:pt>
                <c:pt idx="3198">
                  <c:v>26.1</c:v>
                </c:pt>
                <c:pt idx="3199">
                  <c:v>20</c:v>
                </c:pt>
                <c:pt idx="3200">
                  <c:v>16.100000000000001</c:v>
                </c:pt>
                <c:pt idx="3201">
                  <c:v>17.600000000000001</c:v>
                </c:pt>
                <c:pt idx="3202">
                  <c:v>23.9</c:v>
                </c:pt>
                <c:pt idx="3203">
                  <c:v>24.3</c:v>
                </c:pt>
                <c:pt idx="3204">
                  <c:v>12.1</c:v>
                </c:pt>
                <c:pt idx="3205">
                  <c:v>6.8</c:v>
                </c:pt>
                <c:pt idx="3206">
                  <c:v>15.8</c:v>
                </c:pt>
                <c:pt idx="3207">
                  <c:v>15.8</c:v>
                </c:pt>
                <c:pt idx="3208">
                  <c:v>29.4</c:v>
                </c:pt>
                <c:pt idx="3209">
                  <c:v>12.2</c:v>
                </c:pt>
                <c:pt idx="3210">
                  <c:v>15.7</c:v>
                </c:pt>
                <c:pt idx="3211">
                  <c:v>19</c:v>
                </c:pt>
                <c:pt idx="3212">
                  <c:v>7.9</c:v>
                </c:pt>
                <c:pt idx="3213">
                  <c:v>28.8</c:v>
                </c:pt>
                <c:pt idx="3214">
                  <c:v>21.7</c:v>
                </c:pt>
                <c:pt idx="3215">
                  <c:v>15.2</c:v>
                </c:pt>
                <c:pt idx="3216">
                  <c:v>12.2</c:v>
                </c:pt>
                <c:pt idx="3217">
                  <c:v>25.9</c:v>
                </c:pt>
                <c:pt idx="3218">
                  <c:v>24.3</c:v>
                </c:pt>
                <c:pt idx="3219">
                  <c:v>27.1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D5-42D5-BC7E-E9BCBCCFD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3328"/>
        <c:axId val="10081792"/>
      </c:scatterChart>
      <c:valAx>
        <c:axId val="100833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0081792"/>
        <c:crosses val="autoZero"/>
        <c:crossBetween val="midCat"/>
      </c:valAx>
      <c:valAx>
        <c:axId val="10081792"/>
        <c:scaling>
          <c:orientation val="minMax"/>
          <c:max val="4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0083328"/>
        <c:crosses val="autoZero"/>
        <c:crossBetween val="midCat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распределения </a:t>
            </a:r>
            <a:r>
              <a:rPr lang="en-US" baseline="0"/>
              <a:t>TotalPop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2004454060170091E-2"/>
          <c:y val="0.1742035813874363"/>
          <c:w val="0.87741000692279703"/>
          <c:h val="0.5401430483953284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Визуализация!$Q$1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Визуализация!$M$2:$N$14</c:f>
              <c:strCache>
                <c:ptCount val="13"/>
                <c:pt idx="0">
                  <c:v>&lt;772263</c:v>
                </c:pt>
                <c:pt idx="1">
                  <c:v>&lt;1544441</c:v>
                </c:pt>
                <c:pt idx="2">
                  <c:v>&lt;2316619</c:v>
                </c:pt>
                <c:pt idx="3">
                  <c:v>&lt;3088797</c:v>
                </c:pt>
                <c:pt idx="4">
                  <c:v>&lt;3860975</c:v>
                </c:pt>
                <c:pt idx="5">
                  <c:v>&lt;4633153</c:v>
                </c:pt>
                <c:pt idx="6">
                  <c:v>&lt;5405331</c:v>
                </c:pt>
                <c:pt idx="7">
                  <c:v>&lt;6177509</c:v>
                </c:pt>
                <c:pt idx="8">
                  <c:v>&lt;6949687</c:v>
                </c:pt>
                <c:pt idx="9">
                  <c:v>&lt;7721865</c:v>
                </c:pt>
                <c:pt idx="10">
                  <c:v>&lt;8494043</c:v>
                </c:pt>
                <c:pt idx="11">
                  <c:v>&lt;9266221</c:v>
                </c:pt>
                <c:pt idx="12">
                  <c:v>&lt;10038389</c:v>
                </c:pt>
              </c:strCache>
            </c:strRef>
          </c:cat>
          <c:val>
            <c:numRef>
              <c:f>Визуализация!$Q$2:$Q$14</c:f>
              <c:numCache>
                <c:formatCode>General</c:formatCode>
                <c:ptCount val="13"/>
                <c:pt idx="0">
                  <c:v>85</c:v>
                </c:pt>
                <c:pt idx="1">
                  <c:v>3144</c:v>
                </c:pt>
                <c:pt idx="2">
                  <c:v>0</c:v>
                </c:pt>
                <c:pt idx="3">
                  <c:v>52</c:v>
                </c:pt>
                <c:pt idx="4">
                  <c:v>0</c:v>
                </c:pt>
                <c:pt idx="5">
                  <c:v>14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5-423C-96FC-8D051970C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499295"/>
        <c:axId val="18215127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Визуализация!$O$1</c15:sqref>
                        </c15:formulaRef>
                      </c:ext>
                    </c:extLst>
                    <c:strCache>
                      <c:ptCount val="1"/>
                      <c:pt idx="0">
                        <c:v>Нижняя граница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Визуализация!$M$2:$N$14</c15:sqref>
                        </c15:formulaRef>
                      </c:ext>
                    </c:extLst>
                    <c:strCache>
                      <c:ptCount val="13"/>
                      <c:pt idx="0">
                        <c:v>&lt;772263</c:v>
                      </c:pt>
                      <c:pt idx="1">
                        <c:v>&lt;1544441</c:v>
                      </c:pt>
                      <c:pt idx="2">
                        <c:v>&lt;2316619</c:v>
                      </c:pt>
                      <c:pt idx="3">
                        <c:v>&lt;3088797</c:v>
                      </c:pt>
                      <c:pt idx="4">
                        <c:v>&lt;3860975</c:v>
                      </c:pt>
                      <c:pt idx="5">
                        <c:v>&lt;4633153</c:v>
                      </c:pt>
                      <c:pt idx="6">
                        <c:v>&lt;5405331</c:v>
                      </c:pt>
                      <c:pt idx="7">
                        <c:v>&lt;6177509</c:v>
                      </c:pt>
                      <c:pt idx="8">
                        <c:v>&lt;6949687</c:v>
                      </c:pt>
                      <c:pt idx="9">
                        <c:v>&lt;7721865</c:v>
                      </c:pt>
                      <c:pt idx="10">
                        <c:v>&lt;8494043</c:v>
                      </c:pt>
                      <c:pt idx="11">
                        <c:v>&lt;9266221</c:v>
                      </c:pt>
                      <c:pt idx="12">
                        <c:v>&lt;10038389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Визуализация!$O$2:$O$14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85</c:v>
                      </c:pt>
                      <c:pt idx="1">
                        <c:v>772263</c:v>
                      </c:pt>
                      <c:pt idx="2">
                        <c:v>1544441</c:v>
                      </c:pt>
                      <c:pt idx="3">
                        <c:v>2316619</c:v>
                      </c:pt>
                      <c:pt idx="4">
                        <c:v>3088797</c:v>
                      </c:pt>
                      <c:pt idx="5">
                        <c:v>3860975</c:v>
                      </c:pt>
                      <c:pt idx="6">
                        <c:v>4633153</c:v>
                      </c:pt>
                      <c:pt idx="7">
                        <c:v>5405331</c:v>
                      </c:pt>
                      <c:pt idx="8">
                        <c:v>6177509</c:v>
                      </c:pt>
                      <c:pt idx="9">
                        <c:v>6949687</c:v>
                      </c:pt>
                      <c:pt idx="10">
                        <c:v>7721865</c:v>
                      </c:pt>
                      <c:pt idx="11">
                        <c:v>8494043</c:v>
                      </c:pt>
                      <c:pt idx="12">
                        <c:v>9266221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A85-423C-96FC-8D051970CD4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Визуализация!$P$1</c15:sqref>
                        </c15:formulaRef>
                      </c:ext>
                    </c:extLst>
                    <c:strCache>
                      <c:ptCount val="1"/>
                      <c:pt idx="0">
                        <c:v>Верхняя граница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Визуализация!$M$2:$N$14</c15:sqref>
                        </c15:formulaRef>
                      </c:ext>
                    </c:extLst>
                    <c:strCache>
                      <c:ptCount val="13"/>
                      <c:pt idx="0">
                        <c:v>&lt;772263</c:v>
                      </c:pt>
                      <c:pt idx="1">
                        <c:v>&lt;1544441</c:v>
                      </c:pt>
                      <c:pt idx="2">
                        <c:v>&lt;2316619</c:v>
                      </c:pt>
                      <c:pt idx="3">
                        <c:v>&lt;3088797</c:v>
                      </c:pt>
                      <c:pt idx="4">
                        <c:v>&lt;3860975</c:v>
                      </c:pt>
                      <c:pt idx="5">
                        <c:v>&lt;4633153</c:v>
                      </c:pt>
                      <c:pt idx="6">
                        <c:v>&lt;5405331</c:v>
                      </c:pt>
                      <c:pt idx="7">
                        <c:v>&lt;6177509</c:v>
                      </c:pt>
                      <c:pt idx="8">
                        <c:v>&lt;6949687</c:v>
                      </c:pt>
                      <c:pt idx="9">
                        <c:v>&lt;7721865</c:v>
                      </c:pt>
                      <c:pt idx="10">
                        <c:v>&lt;8494043</c:v>
                      </c:pt>
                      <c:pt idx="11">
                        <c:v>&lt;9266221</c:v>
                      </c:pt>
                      <c:pt idx="12">
                        <c:v>&lt;10038389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Визуализация!$P$2:$P$14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772263</c:v>
                      </c:pt>
                      <c:pt idx="1">
                        <c:v>1544441</c:v>
                      </c:pt>
                      <c:pt idx="2">
                        <c:v>2316619</c:v>
                      </c:pt>
                      <c:pt idx="3">
                        <c:v>3088797</c:v>
                      </c:pt>
                      <c:pt idx="4">
                        <c:v>3860975</c:v>
                      </c:pt>
                      <c:pt idx="5">
                        <c:v>4633153</c:v>
                      </c:pt>
                      <c:pt idx="6">
                        <c:v>5405331</c:v>
                      </c:pt>
                      <c:pt idx="7">
                        <c:v>6177509</c:v>
                      </c:pt>
                      <c:pt idx="8">
                        <c:v>6949687</c:v>
                      </c:pt>
                      <c:pt idx="9">
                        <c:v>7721865</c:v>
                      </c:pt>
                      <c:pt idx="10">
                        <c:v>8494043</c:v>
                      </c:pt>
                      <c:pt idx="11">
                        <c:v>9266221</c:v>
                      </c:pt>
                      <c:pt idx="12">
                        <c:v>10038389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A85-423C-96FC-8D051970CD48}"/>
                  </c:ext>
                </c:extLst>
              </c15:ser>
            </c15:filteredBarSeries>
          </c:ext>
        </c:extLst>
      </c:barChart>
      <c:catAx>
        <c:axId val="18214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1512735"/>
        <c:crosses val="autoZero"/>
        <c:auto val="1"/>
        <c:lblAlgn val="ctr"/>
        <c:lblOffset val="100"/>
        <c:noMultiLvlLbl val="0"/>
      </c:catAx>
      <c:valAx>
        <c:axId val="182151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149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Доли</a:t>
            </a:r>
            <a:r>
              <a:rPr lang="ru-RU" baseline="0"/>
              <a:t> самозанятых, в гос.секторе и частных компаниях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Визуализация!$D$36</c:f>
              <c:strCache>
                <c:ptCount val="1"/>
                <c:pt idx="0">
                  <c:v>Slope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Визуализация!$E$35:$H$35</c:f>
              <c:strCache>
                <c:ptCount val="4"/>
                <c:pt idx="0">
                  <c:v>PrivateWork</c:v>
                </c:pt>
                <c:pt idx="1">
                  <c:v>PublicWork</c:v>
                </c:pt>
                <c:pt idx="2">
                  <c:v>SelfEmployed</c:v>
                </c:pt>
                <c:pt idx="3">
                  <c:v>FamilyWork</c:v>
                </c:pt>
              </c:strCache>
            </c:strRef>
          </c:cat>
          <c:val>
            <c:numRef>
              <c:f>Визуализация!$E$36:$H$36</c:f>
              <c:numCache>
                <c:formatCode>0.0</c:formatCode>
                <c:ptCount val="4"/>
                <c:pt idx="0">
                  <c:v>56.1</c:v>
                </c:pt>
                <c:pt idx="1">
                  <c:v>15.5</c:v>
                </c:pt>
                <c:pt idx="2">
                  <c:v>27.5</c:v>
                </c:pt>
                <c:pt idx="3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0-4EFC-9761-F5DD821F5018}"/>
            </c:ext>
          </c:extLst>
        </c:ser>
        <c:ser>
          <c:idx val="1"/>
          <c:order val="1"/>
          <c:tx>
            <c:strRef>
              <c:f>Визуализация!$D$37</c:f>
              <c:strCache>
                <c:ptCount val="1"/>
                <c:pt idx="0">
                  <c:v>Adjuntas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Визуализация!$E$35:$H$35</c:f>
              <c:strCache>
                <c:ptCount val="4"/>
                <c:pt idx="0">
                  <c:v>PrivateWork</c:v>
                </c:pt>
                <c:pt idx="1">
                  <c:v>PublicWork</c:v>
                </c:pt>
                <c:pt idx="2">
                  <c:v>SelfEmployed</c:v>
                </c:pt>
                <c:pt idx="3">
                  <c:v>FamilyWork</c:v>
                </c:pt>
              </c:strCache>
            </c:strRef>
          </c:cat>
          <c:val>
            <c:numRef>
              <c:f>Визуализация!$E$37:$H$37</c:f>
              <c:numCache>
                <c:formatCode>0.0</c:formatCode>
                <c:ptCount val="4"/>
                <c:pt idx="0">
                  <c:v>63</c:v>
                </c:pt>
                <c:pt idx="1">
                  <c:v>28.7</c:v>
                </c:pt>
                <c:pt idx="2">
                  <c:v>8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0-4EFC-9761-F5DD821F5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7429055"/>
        <c:axId val="1247423775"/>
      </c:barChart>
      <c:catAx>
        <c:axId val="1247429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7423775"/>
        <c:crosses val="autoZero"/>
        <c:auto val="1"/>
        <c:lblAlgn val="ctr"/>
        <c:lblOffset val="100"/>
        <c:noMultiLvlLbl val="0"/>
      </c:catAx>
      <c:valAx>
        <c:axId val="124742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742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8477464534114804"/>
          <c:y val="5.1336410669938437E-2"/>
          <c:w val="0.79081804856590387"/>
          <c:h val="0.9067407707252589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'Качественные признаки'!$A$2:$A$53</c:f>
              <c:strCache>
                <c:ptCount val="52"/>
                <c:pt idx="0">
                  <c:v>District of Columbia</c:v>
                </c:pt>
                <c:pt idx="1">
                  <c:v>Delaware</c:v>
                </c:pt>
                <c:pt idx="2">
                  <c:v>Hawaii</c:v>
                </c:pt>
                <c:pt idx="3">
                  <c:v>Rhode Island</c:v>
                </c:pt>
                <c:pt idx="4">
                  <c:v>Connecticut</c:v>
                </c:pt>
                <c:pt idx="5">
                  <c:v>New Hampshire</c:v>
                </c:pt>
                <c:pt idx="6">
                  <c:v>Massachusetts</c:v>
                </c:pt>
                <c:pt idx="7">
                  <c:v>Vermont</c:v>
                </c:pt>
                <c:pt idx="8">
                  <c:v>Arizona</c:v>
                </c:pt>
                <c:pt idx="9">
                  <c:v>Maine</c:v>
                </c:pt>
                <c:pt idx="10">
                  <c:v>Nevada</c:v>
                </c:pt>
                <c:pt idx="11">
                  <c:v>New Jersey</c:v>
                </c:pt>
                <c:pt idx="12">
                  <c:v>Wyoming</c:v>
                </c:pt>
                <c:pt idx="13">
                  <c:v>Maryland</c:v>
                </c:pt>
                <c:pt idx="14">
                  <c:v>Alaska</c:v>
                </c:pt>
                <c:pt idx="15">
                  <c:v>Utah</c:v>
                </c:pt>
                <c:pt idx="16">
                  <c:v>New Mexico</c:v>
                </c:pt>
                <c:pt idx="17">
                  <c:v>Oregon</c:v>
                </c:pt>
                <c:pt idx="18">
                  <c:v>Washington</c:v>
                </c:pt>
                <c:pt idx="19">
                  <c:v>Idaho</c:v>
                </c:pt>
                <c:pt idx="20">
                  <c:v>South Carolina</c:v>
                </c:pt>
                <c:pt idx="21">
                  <c:v>North Dakota</c:v>
                </c:pt>
                <c:pt idx="22">
                  <c:v>West Virginia</c:v>
                </c:pt>
                <c:pt idx="23">
                  <c:v>Montana</c:v>
                </c:pt>
                <c:pt idx="24">
                  <c:v>California</c:v>
                </c:pt>
                <c:pt idx="25">
                  <c:v>New York</c:v>
                </c:pt>
                <c:pt idx="26">
                  <c:v>Colorado</c:v>
                </c:pt>
                <c:pt idx="27">
                  <c:v>Louisiana</c:v>
                </c:pt>
                <c:pt idx="28">
                  <c:v>South Dakota</c:v>
                </c:pt>
                <c:pt idx="29">
                  <c:v>Alabama</c:v>
                </c:pt>
                <c:pt idx="30">
                  <c:v>Florida</c:v>
                </c:pt>
                <c:pt idx="31">
                  <c:v>Pennsylvania</c:v>
                </c:pt>
                <c:pt idx="32">
                  <c:v>Wisconsin</c:v>
                </c:pt>
                <c:pt idx="33">
                  <c:v>Arkansas</c:v>
                </c:pt>
                <c:pt idx="34">
                  <c:v>Oklahoma</c:v>
                </c:pt>
                <c:pt idx="35">
                  <c:v>Puerto Rico</c:v>
                </c:pt>
                <c:pt idx="36">
                  <c:v>Mississippi</c:v>
                </c:pt>
                <c:pt idx="37">
                  <c:v>Michigan</c:v>
                </c:pt>
                <c:pt idx="38">
                  <c:v>Minnesota</c:v>
                </c:pt>
                <c:pt idx="39">
                  <c:v>Ohio</c:v>
                </c:pt>
                <c:pt idx="40">
                  <c:v>Indiana</c:v>
                </c:pt>
                <c:pt idx="41">
                  <c:v>Nebraska</c:v>
                </c:pt>
                <c:pt idx="42">
                  <c:v>Tennessee</c:v>
                </c:pt>
                <c:pt idx="43">
                  <c:v>Iowa</c:v>
                </c:pt>
                <c:pt idx="44">
                  <c:v>North Carolina</c:v>
                </c:pt>
                <c:pt idx="45">
                  <c:v>Illinois</c:v>
                </c:pt>
                <c:pt idx="46">
                  <c:v>Kansas</c:v>
                </c:pt>
                <c:pt idx="47">
                  <c:v>Missouri</c:v>
                </c:pt>
                <c:pt idx="48">
                  <c:v>Kentucky</c:v>
                </c:pt>
                <c:pt idx="49">
                  <c:v>Virginia</c:v>
                </c:pt>
                <c:pt idx="50">
                  <c:v>Georgia</c:v>
                </c:pt>
                <c:pt idx="51">
                  <c:v>Texas</c:v>
                </c:pt>
              </c:strCache>
            </c:strRef>
          </c:cat>
          <c:val>
            <c:numRef>
              <c:f>'Качественные признаки'!$B$2:$B$53</c:f>
              <c:numCache>
                <c:formatCode>General</c:formatCode>
                <c:ptCount val="5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8</c:v>
                </c:pt>
                <c:pt idx="5">
                  <c:v>10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21</c:v>
                </c:pt>
                <c:pt idx="12">
                  <c:v>23</c:v>
                </c:pt>
                <c:pt idx="13">
                  <c:v>24</c:v>
                </c:pt>
                <c:pt idx="14">
                  <c:v>29</c:v>
                </c:pt>
                <c:pt idx="15">
                  <c:v>29</c:v>
                </c:pt>
                <c:pt idx="16">
                  <c:v>33</c:v>
                </c:pt>
                <c:pt idx="17">
                  <c:v>36</c:v>
                </c:pt>
                <c:pt idx="18">
                  <c:v>39</c:v>
                </c:pt>
                <c:pt idx="19">
                  <c:v>44</c:v>
                </c:pt>
                <c:pt idx="20">
                  <c:v>46</c:v>
                </c:pt>
                <c:pt idx="21">
                  <c:v>53</c:v>
                </c:pt>
                <c:pt idx="22">
                  <c:v>55</c:v>
                </c:pt>
                <c:pt idx="23">
                  <c:v>56</c:v>
                </c:pt>
                <c:pt idx="24">
                  <c:v>58</c:v>
                </c:pt>
                <c:pt idx="25">
                  <c:v>62</c:v>
                </c:pt>
                <c:pt idx="26">
                  <c:v>64</c:v>
                </c:pt>
                <c:pt idx="27">
                  <c:v>64</c:v>
                </c:pt>
                <c:pt idx="28">
                  <c:v>66</c:v>
                </c:pt>
                <c:pt idx="29">
                  <c:v>67</c:v>
                </c:pt>
                <c:pt idx="30">
                  <c:v>67</c:v>
                </c:pt>
                <c:pt idx="31">
                  <c:v>67</c:v>
                </c:pt>
                <c:pt idx="32">
                  <c:v>72</c:v>
                </c:pt>
                <c:pt idx="33">
                  <c:v>75</c:v>
                </c:pt>
                <c:pt idx="34">
                  <c:v>77</c:v>
                </c:pt>
                <c:pt idx="35">
                  <c:v>78</c:v>
                </c:pt>
                <c:pt idx="36">
                  <c:v>82</c:v>
                </c:pt>
                <c:pt idx="37">
                  <c:v>83</c:v>
                </c:pt>
                <c:pt idx="38">
                  <c:v>87</c:v>
                </c:pt>
                <c:pt idx="39">
                  <c:v>88</c:v>
                </c:pt>
                <c:pt idx="40">
                  <c:v>92</c:v>
                </c:pt>
                <c:pt idx="41">
                  <c:v>93</c:v>
                </c:pt>
                <c:pt idx="42">
                  <c:v>95</c:v>
                </c:pt>
                <c:pt idx="43">
                  <c:v>99</c:v>
                </c:pt>
                <c:pt idx="44">
                  <c:v>100</c:v>
                </c:pt>
                <c:pt idx="45">
                  <c:v>102</c:v>
                </c:pt>
                <c:pt idx="46">
                  <c:v>105</c:v>
                </c:pt>
                <c:pt idx="47">
                  <c:v>115</c:v>
                </c:pt>
                <c:pt idx="48">
                  <c:v>120</c:v>
                </c:pt>
                <c:pt idx="49">
                  <c:v>133</c:v>
                </c:pt>
                <c:pt idx="50">
                  <c:v>159</c:v>
                </c:pt>
                <c:pt idx="51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8-40B8-BC92-591B52662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8834863"/>
        <c:axId val="2058833903"/>
      </c:barChart>
      <c:catAx>
        <c:axId val="205883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833903"/>
        <c:crosses val="autoZero"/>
        <c:auto val="1"/>
        <c:lblAlgn val="ctr"/>
        <c:lblOffset val="100"/>
        <c:noMultiLvlLbl val="0"/>
      </c:catAx>
      <c:valAx>
        <c:axId val="205883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83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title pos="t" align="ctr" overlay="0">
      <cx:tx>
        <cx:txData>
          <cx:v>Сравнение распределения доходов от бинарного уровня безработицы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Сравнение распределения доходов от бинарного уровня безработицы</a:t>
          </a:r>
        </a:p>
      </cx:txPr>
    </cx:title>
    <cx:plotArea>
      <cx:plotAreaRegion>
        <cx:series layoutId="boxWhisker" uniqueId="{E41F2F1E-FEA0-48E8-92B9-C4D6FE8CD3DC}">
          <cx:tx>
            <cx:txData>
              <cx:f>_xlchart.v1.0</cx:f>
              <cx:v>IncomePerCap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190214</xdr:colOff>
      <xdr:row>16</xdr:row>
      <xdr:rowOff>161724</xdr:rowOff>
    </xdr:from>
    <xdr:to>
      <xdr:col>12</xdr:col>
      <xdr:colOff>497323</xdr:colOff>
      <xdr:row>31</xdr:row>
      <xdr:rowOff>161724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84757</xdr:colOff>
      <xdr:row>16</xdr:row>
      <xdr:rowOff>108018</xdr:rowOff>
    </xdr:from>
    <xdr:to>
      <xdr:col>16</xdr:col>
      <xdr:colOff>645683</xdr:colOff>
      <xdr:row>31</xdr:row>
      <xdr:rowOff>178446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03367AC-9122-16BB-5347-3104485BD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577271</xdr:colOff>
      <xdr:row>37</xdr:row>
      <xdr:rowOff>78796</xdr:rowOff>
    </xdr:from>
    <xdr:to>
      <xdr:col>14</xdr:col>
      <xdr:colOff>955385</xdr:colOff>
      <xdr:row>55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58AB5B6E-ABEB-EEAA-08DE-69FA7703B5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64021" y="7127296"/>
              <a:ext cx="4918364" cy="33978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15</xdr:col>
      <xdr:colOff>876217</xdr:colOff>
      <xdr:row>35</xdr:row>
      <xdr:rowOff>173430</xdr:rowOff>
    </xdr:from>
    <xdr:to>
      <xdr:col>22</xdr:col>
      <xdr:colOff>102671</xdr:colOff>
      <xdr:row>50</xdr:row>
      <xdr:rowOff>145720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4CE6419-33BF-BF59-0B97-F8802AC54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134470</xdr:colOff>
      <xdr:row>3</xdr:row>
      <xdr:rowOff>37354</xdr:rowOff>
    </xdr:from>
    <xdr:to>
      <xdr:col>14</xdr:col>
      <xdr:colOff>40118</xdr:colOff>
      <xdr:row>45</xdr:row>
      <xdr:rowOff>120058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253F64D-4DEF-E6FC-4DE1-CEF3944FD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fya Nikonorova" refreshedDate="45945.533594097222" createdVersion="8" refreshedVersion="8" minRefreshableVersion="3" recordCount="3220" xr:uid="{6766FB43-8F5F-4252-A5B1-E75DBAAB4C9A}">
  <cacheSource type="worksheet">
    <worksheetSource ref="L1:N3221" sheet="acs2015_county_data"/>
  </cacheSource>
  <cacheFields count="3">
    <cacheField name="Unemployment" numFmtId="164">
      <sharedItems containsSemiMixedTypes="0" containsString="0" containsNumber="1" minValue="0" maxValue="36.5" count="230">
        <n v="7.6"/>
        <n v="7.5"/>
        <n v="17.600000000000001"/>
        <n v="8.3000000000000007"/>
        <n v="7.7"/>
        <n v="18"/>
        <n v="10.9"/>
        <n v="12.3"/>
        <n v="8.9"/>
        <n v="7.9"/>
        <n v="9.1"/>
        <n v="13.6"/>
        <n v="19.399999999999999"/>
        <n v="9.4"/>
        <n v="7.1"/>
        <n v="9"/>
        <n v="22.6"/>
        <n v="17"/>
        <n v="11.2"/>
        <n v="9.6999999999999993"/>
        <n v="7.3"/>
        <n v="16.399999999999999"/>
        <n v="15.6"/>
        <n v="10"/>
        <n v="9.8000000000000007"/>
        <n v="20.399999999999999"/>
        <n v="13.3"/>
        <n v="8.1"/>
        <n v="10.1"/>
        <n v="10.199999999999999"/>
        <n v="7.8"/>
        <n v="13.2"/>
        <n v="16.899999999999999"/>
        <n v="8.5"/>
        <n v="11.4"/>
        <n v="9.9"/>
        <n v="8.4"/>
        <n v="20.7"/>
        <n v="8.8000000000000007"/>
        <n v="13.8"/>
        <n v="10.3"/>
        <n v="11.1"/>
        <n v="5.5"/>
        <n v="16.8"/>
        <n v="20"/>
        <n v="20.8"/>
        <n v="9.6"/>
        <n v="2.9"/>
        <n v="2.1"/>
        <n v="6.7"/>
        <n v="5.4"/>
        <n v="2.2999999999999998"/>
        <n v="12.5"/>
        <n v="3"/>
        <n v="13.1"/>
        <n v="5.2"/>
        <n v="6.3"/>
        <n v="28.6"/>
        <n v="16.5"/>
        <n v="9.3000000000000007"/>
        <n v="21.9"/>
        <n v="13.9"/>
        <n v="3.8"/>
        <n v="10.7"/>
        <n v="18.2"/>
        <n v="8.6999999999999993"/>
        <n v="12.8"/>
        <n v="14.1"/>
        <n v="19.8"/>
        <n v="10.6"/>
        <n v="11.3"/>
        <n v="11.8"/>
        <n v="4.2"/>
        <n v="7.2"/>
        <n v="6.2"/>
        <n v="11.5"/>
        <n v="9.5"/>
        <n v="8.6"/>
        <n v="17.7"/>
        <n v="14.3"/>
        <n v="6.6"/>
        <n v="11"/>
        <n v="9.1999999999999993"/>
        <n v="6.9"/>
        <n v="17.3"/>
        <n v="14.2"/>
        <n v="5.9"/>
        <n v="12"/>
        <n v="4.3"/>
        <n v="4.4000000000000004"/>
        <n v="6.8"/>
        <n v="18.100000000000001"/>
        <n v="11.7"/>
        <n v="5.3"/>
        <n v="6.1"/>
        <n v="7"/>
        <n v="12.4"/>
        <n v="14"/>
        <n v="12.1"/>
        <n v="10.4"/>
        <n v="12.6"/>
        <n v="10.5"/>
        <n v="17.399999999999999"/>
        <n v="12.7"/>
        <n v="13"/>
        <n v="14.6"/>
        <n v="5.7"/>
        <n v="11.6"/>
        <n v="12.2"/>
        <n v="16.2"/>
        <n v="13.4"/>
        <n v="15.2"/>
        <n v="12.9"/>
        <n v="13.7"/>
        <n v="8"/>
        <n v="14.8"/>
        <n v="8.1999999999999993"/>
        <n v="4.5"/>
        <n v="27"/>
        <n v="4.5999999999999996"/>
        <n v="4.0999999999999996"/>
        <n v="4.9000000000000004"/>
        <n v="15"/>
        <n v="1.5"/>
        <n v="2"/>
        <n v="1.6"/>
        <n v="5.6"/>
        <n v="10.8"/>
        <n v="4"/>
        <n v="5.8"/>
        <n v="6.4"/>
        <n v="4.7"/>
        <n v="5.0999999999999996"/>
        <n v="2.5"/>
        <n v="6"/>
        <n v="7.4"/>
        <n v="15.8"/>
        <n v="11.9"/>
        <n v="15.4"/>
        <n v="4.8"/>
        <n v="19.2"/>
        <n v="15.5"/>
        <n v="6.5"/>
        <n v="18.7"/>
        <n v="13.5"/>
        <n v="5"/>
        <n v="14.5"/>
        <n v="14.4"/>
        <n v="20.6"/>
        <n v="0"/>
        <n v="3.3"/>
        <n v="3.9"/>
        <n v="3.7"/>
        <n v="3.2"/>
        <n v="2.6"/>
        <n v="3.6"/>
        <n v="3.5"/>
        <n v="3.4"/>
        <n v="1.8"/>
        <n v="2.4"/>
        <n v="2.8"/>
        <n v="3.1"/>
        <n v="1.9"/>
        <n v="1.4"/>
        <n v="1.7"/>
        <n v="2.7"/>
        <n v="1.2"/>
        <n v="1"/>
        <n v="15.9"/>
        <n v="15.7"/>
        <n v="19"/>
        <n v="14.7"/>
        <n v="16"/>
        <n v="14.9"/>
        <n v="17.100000000000001"/>
        <n v="15.3"/>
        <n v="17.5"/>
        <n v="20.3"/>
        <n v="26.8"/>
        <n v="16.3"/>
        <n v="25.3"/>
        <n v="22.1"/>
        <n v="20.100000000000001"/>
        <n v="21.7"/>
        <n v="19.899999999999999"/>
        <n v="0.2"/>
        <n v="0.8"/>
        <n v="2.2000000000000002"/>
        <n v="0.9"/>
        <n v="0.7"/>
        <n v="1.1000000000000001"/>
        <n v="1.3"/>
        <n v="16.100000000000001"/>
        <n v="29.4"/>
        <n v="24.6"/>
        <n v="0.4"/>
        <n v="28.7"/>
        <n v="0.5"/>
        <n v="25.4"/>
        <n v="27.4"/>
        <n v="15.1"/>
        <n v="0.3"/>
        <n v="19.100000000000001"/>
        <n v="36.5"/>
        <n v="25.1"/>
        <n v="23.2"/>
        <n v="22.9"/>
        <n v="21.4"/>
        <n v="30.8"/>
        <n v="23.1"/>
        <n v="27.2"/>
        <n v="22.5"/>
        <n v="31.7"/>
        <n v="17.2"/>
        <n v="24"/>
        <n v="35.200000000000003"/>
        <n v="26.2"/>
        <n v="28.5"/>
        <n v="18.899999999999999"/>
        <n v="27.9"/>
        <n v="23"/>
        <n v="24.7"/>
        <n v="31.2"/>
        <n v="27.5"/>
        <n v="26.1"/>
        <n v="23.9"/>
        <n v="24.3"/>
        <n v="28.8"/>
        <n v="25.9"/>
        <n v="27.1"/>
      </sharedItems>
    </cacheField>
    <cacheField name="PublicWork_bin" numFmtId="0">
      <sharedItems count="2">
        <s v="да"/>
        <s v="нет"/>
      </sharedItems>
    </cacheField>
    <cacheField name="Unemployment_bin" numFmtId="0">
      <sharedItems count="2">
        <s v="да"/>
        <s v="нет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0">
  <r>
    <x v="0"/>
    <x v="0"/>
    <x v="0"/>
  </r>
  <r>
    <x v="1"/>
    <x v="1"/>
    <x v="1"/>
  </r>
  <r>
    <x v="2"/>
    <x v="0"/>
    <x v="0"/>
  </r>
  <r>
    <x v="3"/>
    <x v="1"/>
    <x v="0"/>
  </r>
  <r>
    <x v="4"/>
    <x v="1"/>
    <x v="0"/>
  </r>
  <r>
    <x v="5"/>
    <x v="1"/>
    <x v="0"/>
  </r>
  <r>
    <x v="6"/>
    <x v="0"/>
    <x v="0"/>
  </r>
  <r>
    <x v="7"/>
    <x v="0"/>
    <x v="0"/>
  </r>
  <r>
    <x v="8"/>
    <x v="1"/>
    <x v="0"/>
  </r>
  <r>
    <x v="9"/>
    <x v="0"/>
    <x v="0"/>
  </r>
  <r>
    <x v="10"/>
    <x v="1"/>
    <x v="0"/>
  </r>
  <r>
    <x v="11"/>
    <x v="0"/>
    <x v="0"/>
  </r>
  <r>
    <x v="12"/>
    <x v="1"/>
    <x v="0"/>
  </r>
  <r>
    <x v="13"/>
    <x v="1"/>
    <x v="0"/>
  </r>
  <r>
    <x v="3"/>
    <x v="1"/>
    <x v="0"/>
  </r>
  <r>
    <x v="14"/>
    <x v="0"/>
    <x v="1"/>
  </r>
  <r>
    <x v="15"/>
    <x v="1"/>
    <x v="0"/>
  </r>
  <r>
    <x v="16"/>
    <x v="1"/>
    <x v="0"/>
  </r>
  <r>
    <x v="17"/>
    <x v="0"/>
    <x v="0"/>
  </r>
  <r>
    <x v="18"/>
    <x v="1"/>
    <x v="0"/>
  </r>
  <r>
    <x v="19"/>
    <x v="0"/>
    <x v="0"/>
  </r>
  <r>
    <x v="20"/>
    <x v="1"/>
    <x v="1"/>
  </r>
  <r>
    <x v="6"/>
    <x v="0"/>
    <x v="0"/>
  </r>
  <r>
    <x v="21"/>
    <x v="0"/>
    <x v="0"/>
  </r>
  <r>
    <x v="4"/>
    <x v="1"/>
    <x v="0"/>
  </r>
  <r>
    <x v="3"/>
    <x v="0"/>
    <x v="0"/>
  </r>
  <r>
    <x v="22"/>
    <x v="0"/>
    <x v="0"/>
  </r>
  <r>
    <x v="15"/>
    <x v="1"/>
    <x v="0"/>
  </r>
  <r>
    <x v="23"/>
    <x v="1"/>
    <x v="0"/>
  </r>
  <r>
    <x v="24"/>
    <x v="1"/>
    <x v="0"/>
  </r>
  <r>
    <x v="18"/>
    <x v="1"/>
    <x v="0"/>
  </r>
  <r>
    <x v="25"/>
    <x v="0"/>
    <x v="0"/>
  </r>
  <r>
    <x v="26"/>
    <x v="0"/>
    <x v="0"/>
  </r>
  <r>
    <x v="27"/>
    <x v="1"/>
    <x v="0"/>
  </r>
  <r>
    <x v="3"/>
    <x v="1"/>
    <x v="0"/>
  </r>
  <r>
    <x v="28"/>
    <x v="0"/>
    <x v="0"/>
  </r>
  <r>
    <x v="10"/>
    <x v="1"/>
    <x v="0"/>
  </r>
  <r>
    <x v="29"/>
    <x v="1"/>
    <x v="0"/>
  </r>
  <r>
    <x v="14"/>
    <x v="0"/>
    <x v="1"/>
  </r>
  <r>
    <x v="24"/>
    <x v="1"/>
    <x v="0"/>
  </r>
  <r>
    <x v="20"/>
    <x v="0"/>
    <x v="1"/>
  </r>
  <r>
    <x v="30"/>
    <x v="0"/>
    <x v="0"/>
  </r>
  <r>
    <x v="31"/>
    <x v="0"/>
    <x v="0"/>
  </r>
  <r>
    <x v="32"/>
    <x v="0"/>
    <x v="0"/>
  </r>
  <r>
    <x v="33"/>
    <x v="0"/>
    <x v="0"/>
  </r>
  <r>
    <x v="34"/>
    <x v="0"/>
    <x v="0"/>
  </r>
  <r>
    <x v="35"/>
    <x v="0"/>
    <x v="0"/>
  </r>
  <r>
    <x v="36"/>
    <x v="1"/>
    <x v="0"/>
  </r>
  <r>
    <x v="24"/>
    <x v="1"/>
    <x v="0"/>
  </r>
  <r>
    <x v="37"/>
    <x v="0"/>
    <x v="0"/>
  </r>
  <r>
    <x v="38"/>
    <x v="0"/>
    <x v="0"/>
  </r>
  <r>
    <x v="35"/>
    <x v="1"/>
    <x v="0"/>
  </r>
  <r>
    <x v="18"/>
    <x v="0"/>
    <x v="0"/>
  </r>
  <r>
    <x v="39"/>
    <x v="0"/>
    <x v="0"/>
  </r>
  <r>
    <x v="29"/>
    <x v="0"/>
    <x v="0"/>
  </r>
  <r>
    <x v="40"/>
    <x v="1"/>
    <x v="0"/>
  </r>
  <r>
    <x v="41"/>
    <x v="0"/>
    <x v="0"/>
  </r>
  <r>
    <x v="36"/>
    <x v="1"/>
    <x v="0"/>
  </r>
  <r>
    <x v="42"/>
    <x v="1"/>
    <x v="1"/>
  </r>
  <r>
    <x v="43"/>
    <x v="0"/>
    <x v="0"/>
  </r>
  <r>
    <x v="39"/>
    <x v="0"/>
    <x v="0"/>
  </r>
  <r>
    <x v="15"/>
    <x v="1"/>
    <x v="0"/>
  </r>
  <r>
    <x v="0"/>
    <x v="0"/>
    <x v="0"/>
  </r>
  <r>
    <x v="34"/>
    <x v="1"/>
    <x v="0"/>
  </r>
  <r>
    <x v="44"/>
    <x v="1"/>
    <x v="0"/>
  </r>
  <r>
    <x v="45"/>
    <x v="0"/>
    <x v="0"/>
  </r>
  <r>
    <x v="46"/>
    <x v="1"/>
    <x v="0"/>
  </r>
  <r>
    <x v="47"/>
    <x v="1"/>
    <x v="1"/>
  </r>
  <r>
    <x v="48"/>
    <x v="0"/>
    <x v="1"/>
  </r>
  <r>
    <x v="49"/>
    <x v="0"/>
    <x v="1"/>
  </r>
  <r>
    <x v="2"/>
    <x v="0"/>
    <x v="0"/>
  </r>
  <r>
    <x v="50"/>
    <x v="0"/>
    <x v="1"/>
  </r>
  <r>
    <x v="51"/>
    <x v="0"/>
    <x v="1"/>
  </r>
  <r>
    <x v="52"/>
    <x v="0"/>
    <x v="0"/>
  </r>
  <r>
    <x v="9"/>
    <x v="0"/>
    <x v="0"/>
  </r>
  <r>
    <x v="53"/>
    <x v="0"/>
    <x v="1"/>
  </r>
  <r>
    <x v="54"/>
    <x v="0"/>
    <x v="0"/>
  </r>
  <r>
    <x v="55"/>
    <x v="0"/>
    <x v="1"/>
  </r>
  <r>
    <x v="13"/>
    <x v="0"/>
    <x v="0"/>
  </r>
  <r>
    <x v="9"/>
    <x v="0"/>
    <x v="0"/>
  </r>
  <r>
    <x v="56"/>
    <x v="0"/>
    <x v="1"/>
  </r>
  <r>
    <x v="57"/>
    <x v="0"/>
    <x v="0"/>
  </r>
  <r>
    <x v="24"/>
    <x v="0"/>
    <x v="0"/>
  </r>
  <r>
    <x v="24"/>
    <x v="0"/>
    <x v="0"/>
  </r>
  <r>
    <x v="58"/>
    <x v="0"/>
    <x v="0"/>
  </r>
  <r>
    <x v="59"/>
    <x v="0"/>
    <x v="0"/>
  </r>
  <r>
    <x v="60"/>
    <x v="0"/>
    <x v="0"/>
  </r>
  <r>
    <x v="36"/>
    <x v="0"/>
    <x v="0"/>
  </r>
  <r>
    <x v="61"/>
    <x v="0"/>
    <x v="0"/>
  </r>
  <r>
    <x v="62"/>
    <x v="0"/>
    <x v="1"/>
  </r>
  <r>
    <x v="30"/>
    <x v="0"/>
    <x v="0"/>
  </r>
  <r>
    <x v="13"/>
    <x v="0"/>
    <x v="0"/>
  </r>
  <r>
    <x v="63"/>
    <x v="0"/>
    <x v="0"/>
  </r>
  <r>
    <x v="1"/>
    <x v="0"/>
    <x v="1"/>
  </r>
  <r>
    <x v="9"/>
    <x v="0"/>
    <x v="0"/>
  </r>
  <r>
    <x v="64"/>
    <x v="0"/>
    <x v="0"/>
  </r>
  <r>
    <x v="64"/>
    <x v="0"/>
    <x v="0"/>
  </r>
  <r>
    <x v="65"/>
    <x v="0"/>
    <x v="0"/>
  </r>
  <r>
    <x v="38"/>
    <x v="0"/>
    <x v="0"/>
  </r>
  <r>
    <x v="66"/>
    <x v="0"/>
    <x v="0"/>
  </r>
  <r>
    <x v="67"/>
    <x v="0"/>
    <x v="0"/>
  </r>
  <r>
    <x v="23"/>
    <x v="1"/>
    <x v="0"/>
  </r>
  <r>
    <x v="18"/>
    <x v="0"/>
    <x v="0"/>
  </r>
  <r>
    <x v="4"/>
    <x v="1"/>
    <x v="0"/>
  </r>
  <r>
    <x v="31"/>
    <x v="1"/>
    <x v="0"/>
  </r>
  <r>
    <x v="68"/>
    <x v="0"/>
    <x v="0"/>
  </r>
  <r>
    <x v="23"/>
    <x v="0"/>
    <x v="0"/>
  </r>
  <r>
    <x v="69"/>
    <x v="0"/>
    <x v="0"/>
  </r>
  <r>
    <x v="70"/>
    <x v="0"/>
    <x v="0"/>
  </r>
  <r>
    <x v="23"/>
    <x v="1"/>
    <x v="0"/>
  </r>
  <r>
    <x v="54"/>
    <x v="0"/>
    <x v="0"/>
  </r>
  <r>
    <x v="3"/>
    <x v="1"/>
    <x v="0"/>
  </r>
  <r>
    <x v="71"/>
    <x v="0"/>
    <x v="0"/>
  </r>
  <r>
    <x v="0"/>
    <x v="1"/>
    <x v="0"/>
  </r>
  <r>
    <x v="72"/>
    <x v="1"/>
    <x v="1"/>
  </r>
  <r>
    <x v="36"/>
    <x v="1"/>
    <x v="0"/>
  </r>
  <r>
    <x v="13"/>
    <x v="0"/>
    <x v="0"/>
  </r>
  <r>
    <x v="73"/>
    <x v="0"/>
    <x v="1"/>
  </r>
  <r>
    <x v="74"/>
    <x v="1"/>
    <x v="1"/>
  </r>
  <r>
    <x v="75"/>
    <x v="0"/>
    <x v="0"/>
  </r>
  <r>
    <x v="36"/>
    <x v="0"/>
    <x v="0"/>
  </r>
  <r>
    <x v="76"/>
    <x v="1"/>
    <x v="0"/>
  </r>
  <r>
    <x v="29"/>
    <x v="1"/>
    <x v="0"/>
  </r>
  <r>
    <x v="19"/>
    <x v="0"/>
    <x v="0"/>
  </r>
  <r>
    <x v="28"/>
    <x v="0"/>
    <x v="0"/>
  </r>
  <r>
    <x v="27"/>
    <x v="0"/>
    <x v="0"/>
  </r>
  <r>
    <x v="1"/>
    <x v="1"/>
    <x v="1"/>
  </r>
  <r>
    <x v="9"/>
    <x v="1"/>
    <x v="0"/>
  </r>
  <r>
    <x v="35"/>
    <x v="0"/>
    <x v="0"/>
  </r>
  <r>
    <x v="77"/>
    <x v="0"/>
    <x v="0"/>
  </r>
  <r>
    <x v="3"/>
    <x v="0"/>
    <x v="0"/>
  </r>
  <r>
    <x v="78"/>
    <x v="0"/>
    <x v="0"/>
  </r>
  <r>
    <x v="79"/>
    <x v="0"/>
    <x v="0"/>
  </r>
  <r>
    <x v="80"/>
    <x v="0"/>
    <x v="1"/>
  </r>
  <r>
    <x v="81"/>
    <x v="0"/>
    <x v="0"/>
  </r>
  <r>
    <x v="0"/>
    <x v="1"/>
    <x v="0"/>
  </r>
  <r>
    <x v="82"/>
    <x v="1"/>
    <x v="0"/>
  </r>
  <r>
    <x v="13"/>
    <x v="0"/>
    <x v="0"/>
  </r>
  <r>
    <x v="15"/>
    <x v="1"/>
    <x v="0"/>
  </r>
  <r>
    <x v="9"/>
    <x v="0"/>
    <x v="0"/>
  </r>
  <r>
    <x v="0"/>
    <x v="0"/>
    <x v="0"/>
  </r>
  <r>
    <x v="33"/>
    <x v="1"/>
    <x v="0"/>
  </r>
  <r>
    <x v="83"/>
    <x v="1"/>
    <x v="1"/>
  </r>
  <r>
    <x v="23"/>
    <x v="0"/>
    <x v="0"/>
  </r>
  <r>
    <x v="9"/>
    <x v="0"/>
    <x v="0"/>
  </r>
  <r>
    <x v="18"/>
    <x v="0"/>
    <x v="0"/>
  </r>
  <r>
    <x v="74"/>
    <x v="1"/>
    <x v="1"/>
  </r>
  <r>
    <x v="52"/>
    <x v="0"/>
    <x v="0"/>
  </r>
  <r>
    <x v="83"/>
    <x v="0"/>
    <x v="1"/>
  </r>
  <r>
    <x v="84"/>
    <x v="0"/>
    <x v="0"/>
  </r>
  <r>
    <x v="85"/>
    <x v="0"/>
    <x v="0"/>
  </r>
  <r>
    <x v="38"/>
    <x v="0"/>
    <x v="0"/>
  </r>
  <r>
    <x v="27"/>
    <x v="0"/>
    <x v="0"/>
  </r>
  <r>
    <x v="86"/>
    <x v="0"/>
    <x v="1"/>
  </r>
  <r>
    <x v="20"/>
    <x v="1"/>
    <x v="1"/>
  </r>
  <r>
    <x v="6"/>
    <x v="1"/>
    <x v="0"/>
  </r>
  <r>
    <x v="46"/>
    <x v="0"/>
    <x v="0"/>
  </r>
  <r>
    <x v="87"/>
    <x v="0"/>
    <x v="0"/>
  </r>
  <r>
    <x v="66"/>
    <x v="0"/>
    <x v="0"/>
  </r>
  <r>
    <x v="88"/>
    <x v="0"/>
    <x v="1"/>
  </r>
  <r>
    <x v="76"/>
    <x v="0"/>
    <x v="0"/>
  </r>
  <r>
    <x v="89"/>
    <x v="0"/>
    <x v="1"/>
  </r>
  <r>
    <x v="3"/>
    <x v="0"/>
    <x v="0"/>
  </r>
  <r>
    <x v="90"/>
    <x v="0"/>
    <x v="1"/>
  </r>
  <r>
    <x v="91"/>
    <x v="0"/>
    <x v="0"/>
  </r>
  <r>
    <x v="80"/>
    <x v="0"/>
    <x v="1"/>
  </r>
  <r>
    <x v="23"/>
    <x v="1"/>
    <x v="0"/>
  </r>
  <r>
    <x v="15"/>
    <x v="0"/>
    <x v="0"/>
  </r>
  <r>
    <x v="0"/>
    <x v="1"/>
    <x v="0"/>
  </r>
  <r>
    <x v="74"/>
    <x v="1"/>
    <x v="1"/>
  </r>
  <r>
    <x v="1"/>
    <x v="0"/>
    <x v="1"/>
  </r>
  <r>
    <x v="50"/>
    <x v="1"/>
    <x v="1"/>
  </r>
  <r>
    <x v="92"/>
    <x v="0"/>
    <x v="0"/>
  </r>
  <r>
    <x v="93"/>
    <x v="0"/>
    <x v="1"/>
  </r>
  <r>
    <x v="6"/>
    <x v="0"/>
    <x v="0"/>
  </r>
  <r>
    <x v="86"/>
    <x v="1"/>
    <x v="1"/>
  </r>
  <r>
    <x v="94"/>
    <x v="1"/>
    <x v="1"/>
  </r>
  <r>
    <x v="59"/>
    <x v="1"/>
    <x v="0"/>
  </r>
  <r>
    <x v="38"/>
    <x v="1"/>
    <x v="0"/>
  </r>
  <r>
    <x v="95"/>
    <x v="0"/>
    <x v="1"/>
  </r>
  <r>
    <x v="19"/>
    <x v="1"/>
    <x v="0"/>
  </r>
  <r>
    <x v="18"/>
    <x v="0"/>
    <x v="0"/>
  </r>
  <r>
    <x v="74"/>
    <x v="1"/>
    <x v="1"/>
  </r>
  <r>
    <x v="14"/>
    <x v="1"/>
    <x v="1"/>
  </r>
  <r>
    <x v="96"/>
    <x v="0"/>
    <x v="0"/>
  </r>
  <r>
    <x v="3"/>
    <x v="1"/>
    <x v="0"/>
  </r>
  <r>
    <x v="3"/>
    <x v="1"/>
    <x v="0"/>
  </r>
  <r>
    <x v="63"/>
    <x v="0"/>
    <x v="0"/>
  </r>
  <r>
    <x v="97"/>
    <x v="0"/>
    <x v="0"/>
  </r>
  <r>
    <x v="98"/>
    <x v="0"/>
    <x v="0"/>
  </r>
  <r>
    <x v="98"/>
    <x v="0"/>
    <x v="0"/>
  </r>
  <r>
    <x v="99"/>
    <x v="1"/>
    <x v="0"/>
  </r>
  <r>
    <x v="38"/>
    <x v="1"/>
    <x v="0"/>
  </r>
  <r>
    <x v="75"/>
    <x v="0"/>
    <x v="0"/>
  </r>
  <r>
    <x v="41"/>
    <x v="0"/>
    <x v="0"/>
  </r>
  <r>
    <x v="31"/>
    <x v="0"/>
    <x v="0"/>
  </r>
  <r>
    <x v="100"/>
    <x v="0"/>
    <x v="0"/>
  </r>
  <r>
    <x v="101"/>
    <x v="0"/>
    <x v="0"/>
  </r>
  <r>
    <x v="102"/>
    <x v="0"/>
    <x v="0"/>
  </r>
  <r>
    <x v="90"/>
    <x v="0"/>
    <x v="1"/>
  </r>
  <r>
    <x v="103"/>
    <x v="0"/>
    <x v="0"/>
  </r>
  <r>
    <x v="104"/>
    <x v="0"/>
    <x v="0"/>
  </r>
  <r>
    <x v="105"/>
    <x v="0"/>
    <x v="0"/>
  </r>
  <r>
    <x v="6"/>
    <x v="0"/>
    <x v="0"/>
  </r>
  <r>
    <x v="23"/>
    <x v="1"/>
    <x v="0"/>
  </r>
  <r>
    <x v="1"/>
    <x v="1"/>
    <x v="1"/>
  </r>
  <r>
    <x v="106"/>
    <x v="1"/>
    <x v="1"/>
  </r>
  <r>
    <x v="107"/>
    <x v="0"/>
    <x v="0"/>
  </r>
  <r>
    <x v="108"/>
    <x v="0"/>
    <x v="0"/>
  </r>
  <r>
    <x v="109"/>
    <x v="0"/>
    <x v="0"/>
  </r>
  <r>
    <x v="77"/>
    <x v="0"/>
    <x v="0"/>
  </r>
  <r>
    <x v="110"/>
    <x v="0"/>
    <x v="0"/>
  </r>
  <r>
    <x v="36"/>
    <x v="1"/>
    <x v="0"/>
  </r>
  <r>
    <x v="1"/>
    <x v="1"/>
    <x v="1"/>
  </r>
  <r>
    <x v="24"/>
    <x v="1"/>
    <x v="0"/>
  </r>
  <r>
    <x v="0"/>
    <x v="1"/>
    <x v="0"/>
  </r>
  <r>
    <x v="3"/>
    <x v="0"/>
    <x v="0"/>
  </r>
  <r>
    <x v="111"/>
    <x v="0"/>
    <x v="0"/>
  </r>
  <r>
    <x v="112"/>
    <x v="1"/>
    <x v="0"/>
  </r>
  <r>
    <x v="71"/>
    <x v="0"/>
    <x v="0"/>
  </r>
  <r>
    <x v="108"/>
    <x v="0"/>
    <x v="0"/>
  </r>
  <r>
    <x v="100"/>
    <x v="0"/>
    <x v="0"/>
  </r>
  <r>
    <x v="65"/>
    <x v="1"/>
    <x v="0"/>
  </r>
  <r>
    <x v="90"/>
    <x v="1"/>
    <x v="1"/>
  </r>
  <r>
    <x v="113"/>
    <x v="1"/>
    <x v="0"/>
  </r>
  <r>
    <x v="80"/>
    <x v="0"/>
    <x v="1"/>
  </r>
  <r>
    <x v="49"/>
    <x v="1"/>
    <x v="1"/>
  </r>
  <r>
    <x v="114"/>
    <x v="0"/>
    <x v="0"/>
  </r>
  <r>
    <x v="4"/>
    <x v="1"/>
    <x v="0"/>
  </r>
  <r>
    <x v="0"/>
    <x v="1"/>
    <x v="0"/>
  </r>
  <r>
    <x v="40"/>
    <x v="0"/>
    <x v="0"/>
  </r>
  <r>
    <x v="114"/>
    <x v="0"/>
    <x v="0"/>
  </r>
  <r>
    <x v="103"/>
    <x v="0"/>
    <x v="0"/>
  </r>
  <r>
    <x v="34"/>
    <x v="0"/>
    <x v="0"/>
  </r>
  <r>
    <x v="27"/>
    <x v="1"/>
    <x v="0"/>
  </r>
  <r>
    <x v="111"/>
    <x v="1"/>
    <x v="0"/>
  </r>
  <r>
    <x v="31"/>
    <x v="0"/>
    <x v="0"/>
  </r>
  <r>
    <x v="31"/>
    <x v="0"/>
    <x v="0"/>
  </r>
  <r>
    <x v="15"/>
    <x v="0"/>
    <x v="0"/>
  </r>
  <r>
    <x v="87"/>
    <x v="0"/>
    <x v="0"/>
  </r>
  <r>
    <x v="112"/>
    <x v="0"/>
    <x v="0"/>
  </r>
  <r>
    <x v="77"/>
    <x v="1"/>
    <x v="0"/>
  </r>
  <r>
    <x v="15"/>
    <x v="0"/>
    <x v="0"/>
  </r>
  <r>
    <x v="115"/>
    <x v="0"/>
    <x v="0"/>
  </r>
  <r>
    <x v="9"/>
    <x v="1"/>
    <x v="0"/>
  </r>
  <r>
    <x v="99"/>
    <x v="0"/>
    <x v="0"/>
  </r>
  <r>
    <x v="73"/>
    <x v="1"/>
    <x v="1"/>
  </r>
  <r>
    <x v="116"/>
    <x v="1"/>
    <x v="0"/>
  </r>
  <r>
    <x v="117"/>
    <x v="0"/>
    <x v="1"/>
  </r>
  <r>
    <x v="3"/>
    <x v="0"/>
    <x v="0"/>
  </r>
  <r>
    <x v="94"/>
    <x v="1"/>
    <x v="1"/>
  </r>
  <r>
    <x v="42"/>
    <x v="1"/>
    <x v="1"/>
  </r>
  <r>
    <x v="86"/>
    <x v="0"/>
    <x v="1"/>
  </r>
  <r>
    <x v="59"/>
    <x v="0"/>
    <x v="0"/>
  </r>
  <r>
    <x v="50"/>
    <x v="0"/>
    <x v="1"/>
  </r>
  <r>
    <x v="19"/>
    <x v="0"/>
    <x v="0"/>
  </r>
  <r>
    <x v="97"/>
    <x v="0"/>
    <x v="0"/>
  </r>
  <r>
    <x v="118"/>
    <x v="0"/>
    <x v="0"/>
  </r>
  <r>
    <x v="97"/>
    <x v="0"/>
    <x v="0"/>
  </r>
  <r>
    <x v="92"/>
    <x v="1"/>
    <x v="0"/>
  </r>
  <r>
    <x v="56"/>
    <x v="1"/>
    <x v="1"/>
  </r>
  <r>
    <x v="119"/>
    <x v="0"/>
    <x v="1"/>
  </r>
  <r>
    <x v="120"/>
    <x v="1"/>
    <x v="1"/>
  </r>
  <r>
    <x v="89"/>
    <x v="1"/>
    <x v="1"/>
  </r>
  <r>
    <x v="49"/>
    <x v="1"/>
    <x v="1"/>
  </r>
  <r>
    <x v="36"/>
    <x v="0"/>
    <x v="0"/>
  </r>
  <r>
    <x v="82"/>
    <x v="0"/>
    <x v="0"/>
  </r>
  <r>
    <x v="83"/>
    <x v="1"/>
    <x v="1"/>
  </r>
  <r>
    <x v="121"/>
    <x v="1"/>
    <x v="1"/>
  </r>
  <r>
    <x v="106"/>
    <x v="1"/>
    <x v="1"/>
  </r>
  <r>
    <x v="30"/>
    <x v="0"/>
    <x v="0"/>
  </r>
  <r>
    <x v="53"/>
    <x v="0"/>
    <x v="1"/>
  </r>
  <r>
    <x v="122"/>
    <x v="0"/>
    <x v="0"/>
  </r>
  <r>
    <x v="123"/>
    <x v="0"/>
    <x v="1"/>
  </r>
  <r>
    <x v="86"/>
    <x v="1"/>
    <x v="1"/>
  </r>
  <r>
    <x v="124"/>
    <x v="0"/>
    <x v="1"/>
  </r>
  <r>
    <x v="86"/>
    <x v="0"/>
    <x v="1"/>
  </r>
  <r>
    <x v="106"/>
    <x v="0"/>
    <x v="1"/>
  </r>
  <r>
    <x v="55"/>
    <x v="0"/>
    <x v="1"/>
  </r>
  <r>
    <x v="49"/>
    <x v="0"/>
    <x v="1"/>
  </r>
  <r>
    <x v="82"/>
    <x v="0"/>
    <x v="0"/>
  </r>
  <r>
    <x v="56"/>
    <x v="0"/>
    <x v="1"/>
  </r>
  <r>
    <x v="15"/>
    <x v="0"/>
    <x v="0"/>
  </r>
  <r>
    <x v="65"/>
    <x v="1"/>
    <x v="0"/>
  </r>
  <r>
    <x v="125"/>
    <x v="0"/>
    <x v="1"/>
  </r>
  <r>
    <x v="86"/>
    <x v="1"/>
    <x v="1"/>
  </r>
  <r>
    <x v="76"/>
    <x v="0"/>
    <x v="0"/>
  </r>
  <r>
    <x v="29"/>
    <x v="1"/>
    <x v="0"/>
  </r>
  <r>
    <x v="74"/>
    <x v="0"/>
    <x v="1"/>
  </r>
  <r>
    <x v="63"/>
    <x v="0"/>
    <x v="0"/>
  </r>
  <r>
    <x v="49"/>
    <x v="0"/>
    <x v="1"/>
  </r>
  <r>
    <x v="126"/>
    <x v="0"/>
    <x v="1"/>
  </r>
  <r>
    <x v="93"/>
    <x v="0"/>
    <x v="1"/>
  </r>
  <r>
    <x v="4"/>
    <x v="1"/>
    <x v="0"/>
  </r>
  <r>
    <x v="19"/>
    <x v="0"/>
    <x v="0"/>
  </r>
  <r>
    <x v="127"/>
    <x v="0"/>
    <x v="0"/>
  </r>
  <r>
    <x v="72"/>
    <x v="0"/>
    <x v="1"/>
  </r>
  <r>
    <x v="27"/>
    <x v="0"/>
    <x v="0"/>
  </r>
  <r>
    <x v="128"/>
    <x v="1"/>
    <x v="1"/>
  </r>
  <r>
    <x v="19"/>
    <x v="0"/>
    <x v="0"/>
  </r>
  <r>
    <x v="39"/>
    <x v="1"/>
    <x v="0"/>
  </r>
  <r>
    <x v="129"/>
    <x v="1"/>
    <x v="1"/>
  </r>
  <r>
    <x v="130"/>
    <x v="0"/>
    <x v="1"/>
  </r>
  <r>
    <x v="131"/>
    <x v="1"/>
    <x v="1"/>
  </r>
  <r>
    <x v="116"/>
    <x v="0"/>
    <x v="0"/>
  </r>
  <r>
    <x v="132"/>
    <x v="0"/>
    <x v="1"/>
  </r>
  <r>
    <x v="80"/>
    <x v="1"/>
    <x v="1"/>
  </r>
  <r>
    <x v="133"/>
    <x v="1"/>
    <x v="1"/>
  </r>
  <r>
    <x v="15"/>
    <x v="1"/>
    <x v="0"/>
  </r>
  <r>
    <x v="59"/>
    <x v="1"/>
    <x v="0"/>
  </r>
  <r>
    <x v="14"/>
    <x v="1"/>
    <x v="1"/>
  </r>
  <r>
    <x v="134"/>
    <x v="1"/>
    <x v="1"/>
  </r>
  <r>
    <x v="76"/>
    <x v="1"/>
    <x v="0"/>
  </r>
  <r>
    <x v="3"/>
    <x v="0"/>
    <x v="0"/>
  </r>
  <r>
    <x v="90"/>
    <x v="0"/>
    <x v="1"/>
  </r>
  <r>
    <x v="59"/>
    <x v="0"/>
    <x v="0"/>
  </r>
  <r>
    <x v="36"/>
    <x v="0"/>
    <x v="0"/>
  </r>
  <r>
    <x v="135"/>
    <x v="1"/>
    <x v="1"/>
  </r>
  <r>
    <x v="114"/>
    <x v="1"/>
    <x v="0"/>
  </r>
  <r>
    <x v="46"/>
    <x v="0"/>
    <x v="0"/>
  </r>
  <r>
    <x v="9"/>
    <x v="0"/>
    <x v="0"/>
  </r>
  <r>
    <x v="8"/>
    <x v="0"/>
    <x v="0"/>
  </r>
  <r>
    <x v="77"/>
    <x v="0"/>
    <x v="0"/>
  </r>
  <r>
    <x v="96"/>
    <x v="0"/>
    <x v="0"/>
  </r>
  <r>
    <x v="6"/>
    <x v="1"/>
    <x v="0"/>
  </r>
  <r>
    <x v="23"/>
    <x v="1"/>
    <x v="0"/>
  </r>
  <r>
    <x v="23"/>
    <x v="0"/>
    <x v="0"/>
  </r>
  <r>
    <x v="127"/>
    <x v="1"/>
    <x v="0"/>
  </r>
  <r>
    <x v="54"/>
    <x v="1"/>
    <x v="0"/>
  </r>
  <r>
    <x v="63"/>
    <x v="1"/>
    <x v="0"/>
  </r>
  <r>
    <x v="30"/>
    <x v="1"/>
    <x v="0"/>
  </r>
  <r>
    <x v="115"/>
    <x v="0"/>
    <x v="0"/>
  </r>
  <r>
    <x v="13"/>
    <x v="1"/>
    <x v="0"/>
  </r>
  <r>
    <x v="73"/>
    <x v="0"/>
    <x v="1"/>
  </r>
  <r>
    <x v="23"/>
    <x v="1"/>
    <x v="0"/>
  </r>
  <r>
    <x v="13"/>
    <x v="1"/>
    <x v="0"/>
  </r>
  <r>
    <x v="59"/>
    <x v="1"/>
    <x v="0"/>
  </r>
  <r>
    <x v="13"/>
    <x v="0"/>
    <x v="0"/>
  </r>
  <r>
    <x v="18"/>
    <x v="0"/>
    <x v="0"/>
  </r>
  <r>
    <x v="99"/>
    <x v="0"/>
    <x v="0"/>
  </r>
  <r>
    <x v="112"/>
    <x v="0"/>
    <x v="0"/>
  </r>
  <r>
    <x v="29"/>
    <x v="0"/>
    <x v="0"/>
  </r>
  <r>
    <x v="136"/>
    <x v="0"/>
    <x v="0"/>
  </r>
  <r>
    <x v="81"/>
    <x v="1"/>
    <x v="0"/>
  </r>
  <r>
    <x v="137"/>
    <x v="1"/>
    <x v="0"/>
  </r>
  <r>
    <x v="113"/>
    <x v="1"/>
    <x v="0"/>
  </r>
  <r>
    <x v="26"/>
    <x v="1"/>
    <x v="0"/>
  </r>
  <r>
    <x v="15"/>
    <x v="1"/>
    <x v="0"/>
  </r>
  <r>
    <x v="138"/>
    <x v="0"/>
    <x v="0"/>
  </r>
  <r>
    <x v="108"/>
    <x v="1"/>
    <x v="0"/>
  </r>
  <r>
    <x v="31"/>
    <x v="0"/>
    <x v="0"/>
  </r>
  <r>
    <x v="13"/>
    <x v="0"/>
    <x v="0"/>
  </r>
  <r>
    <x v="105"/>
    <x v="0"/>
    <x v="0"/>
  </r>
  <r>
    <x v="19"/>
    <x v="1"/>
    <x v="0"/>
  </r>
  <r>
    <x v="28"/>
    <x v="1"/>
    <x v="0"/>
  </r>
  <r>
    <x v="69"/>
    <x v="0"/>
    <x v="0"/>
  </r>
  <r>
    <x v="41"/>
    <x v="0"/>
    <x v="0"/>
  </r>
  <r>
    <x v="29"/>
    <x v="0"/>
    <x v="0"/>
  </r>
  <r>
    <x v="71"/>
    <x v="0"/>
    <x v="0"/>
  </r>
  <r>
    <x v="77"/>
    <x v="1"/>
    <x v="0"/>
  </r>
  <r>
    <x v="87"/>
    <x v="1"/>
    <x v="0"/>
  </r>
  <r>
    <x v="19"/>
    <x v="1"/>
    <x v="0"/>
  </r>
  <r>
    <x v="23"/>
    <x v="1"/>
    <x v="0"/>
  </r>
  <r>
    <x v="134"/>
    <x v="1"/>
    <x v="1"/>
  </r>
  <r>
    <x v="24"/>
    <x v="1"/>
    <x v="0"/>
  </r>
  <r>
    <x v="83"/>
    <x v="0"/>
    <x v="1"/>
  </r>
  <r>
    <x v="71"/>
    <x v="1"/>
    <x v="0"/>
  </r>
  <r>
    <x v="10"/>
    <x v="1"/>
    <x v="0"/>
  </r>
  <r>
    <x v="24"/>
    <x v="1"/>
    <x v="0"/>
  </r>
  <r>
    <x v="76"/>
    <x v="1"/>
    <x v="0"/>
  </r>
  <r>
    <x v="13"/>
    <x v="1"/>
    <x v="0"/>
  </r>
  <r>
    <x v="36"/>
    <x v="1"/>
    <x v="0"/>
  </r>
  <r>
    <x v="69"/>
    <x v="1"/>
    <x v="0"/>
  </r>
  <r>
    <x v="100"/>
    <x v="0"/>
    <x v="0"/>
  </r>
  <r>
    <x v="49"/>
    <x v="1"/>
    <x v="1"/>
  </r>
  <r>
    <x v="96"/>
    <x v="1"/>
    <x v="0"/>
  </r>
  <r>
    <x v="9"/>
    <x v="0"/>
    <x v="0"/>
  </r>
  <r>
    <x v="116"/>
    <x v="1"/>
    <x v="0"/>
  </r>
  <r>
    <x v="13"/>
    <x v="1"/>
    <x v="0"/>
  </r>
  <r>
    <x v="15"/>
    <x v="1"/>
    <x v="0"/>
  </r>
  <r>
    <x v="41"/>
    <x v="0"/>
    <x v="0"/>
  </r>
  <r>
    <x v="15"/>
    <x v="0"/>
    <x v="0"/>
  </r>
  <r>
    <x v="92"/>
    <x v="0"/>
    <x v="0"/>
  </r>
  <r>
    <x v="10"/>
    <x v="1"/>
    <x v="0"/>
  </r>
  <r>
    <x v="59"/>
    <x v="0"/>
    <x v="0"/>
  </r>
  <r>
    <x v="9"/>
    <x v="1"/>
    <x v="0"/>
  </r>
  <r>
    <x v="75"/>
    <x v="0"/>
    <x v="0"/>
  </r>
  <r>
    <x v="9"/>
    <x v="1"/>
    <x v="0"/>
  </r>
  <r>
    <x v="20"/>
    <x v="1"/>
    <x v="1"/>
  </r>
  <r>
    <x v="89"/>
    <x v="1"/>
    <x v="1"/>
  </r>
  <r>
    <x v="14"/>
    <x v="0"/>
    <x v="1"/>
  </r>
  <r>
    <x v="36"/>
    <x v="0"/>
    <x v="0"/>
  </r>
  <r>
    <x v="33"/>
    <x v="1"/>
    <x v="0"/>
  </r>
  <r>
    <x v="28"/>
    <x v="1"/>
    <x v="0"/>
  </r>
  <r>
    <x v="38"/>
    <x v="1"/>
    <x v="0"/>
  </r>
  <r>
    <x v="19"/>
    <x v="0"/>
    <x v="0"/>
  </r>
  <r>
    <x v="39"/>
    <x v="0"/>
    <x v="0"/>
  </r>
  <r>
    <x v="96"/>
    <x v="0"/>
    <x v="0"/>
  </r>
  <r>
    <x v="139"/>
    <x v="0"/>
    <x v="1"/>
  </r>
  <r>
    <x v="6"/>
    <x v="0"/>
    <x v="0"/>
  </r>
  <r>
    <x v="17"/>
    <x v="0"/>
    <x v="0"/>
  </r>
  <r>
    <x v="15"/>
    <x v="0"/>
    <x v="0"/>
  </r>
  <r>
    <x v="10"/>
    <x v="0"/>
    <x v="0"/>
  </r>
  <r>
    <x v="116"/>
    <x v="0"/>
    <x v="0"/>
  </r>
  <r>
    <x v="40"/>
    <x v="0"/>
    <x v="0"/>
  </r>
  <r>
    <x v="4"/>
    <x v="0"/>
    <x v="0"/>
  </r>
  <r>
    <x v="33"/>
    <x v="0"/>
    <x v="0"/>
  </r>
  <r>
    <x v="27"/>
    <x v="0"/>
    <x v="0"/>
  </r>
  <r>
    <x v="98"/>
    <x v="1"/>
    <x v="0"/>
  </r>
  <r>
    <x v="27"/>
    <x v="1"/>
    <x v="0"/>
  </r>
  <r>
    <x v="39"/>
    <x v="0"/>
    <x v="0"/>
  </r>
  <r>
    <x v="19"/>
    <x v="1"/>
    <x v="0"/>
  </r>
  <r>
    <x v="58"/>
    <x v="0"/>
    <x v="0"/>
  </r>
  <r>
    <x v="23"/>
    <x v="1"/>
    <x v="0"/>
  </r>
  <r>
    <x v="56"/>
    <x v="1"/>
    <x v="1"/>
  </r>
  <r>
    <x v="82"/>
    <x v="0"/>
    <x v="0"/>
  </r>
  <r>
    <x v="140"/>
    <x v="0"/>
    <x v="0"/>
  </r>
  <r>
    <x v="67"/>
    <x v="1"/>
    <x v="0"/>
  </r>
  <r>
    <x v="63"/>
    <x v="0"/>
    <x v="0"/>
  </r>
  <r>
    <x v="114"/>
    <x v="1"/>
    <x v="0"/>
  </r>
  <r>
    <x v="3"/>
    <x v="1"/>
    <x v="0"/>
  </r>
  <r>
    <x v="3"/>
    <x v="0"/>
    <x v="0"/>
  </r>
  <r>
    <x v="14"/>
    <x v="0"/>
    <x v="1"/>
  </r>
  <r>
    <x v="80"/>
    <x v="0"/>
    <x v="1"/>
  </r>
  <r>
    <x v="95"/>
    <x v="1"/>
    <x v="1"/>
  </r>
  <r>
    <x v="81"/>
    <x v="0"/>
    <x v="0"/>
  </r>
  <r>
    <x v="141"/>
    <x v="0"/>
    <x v="0"/>
  </r>
  <r>
    <x v="94"/>
    <x v="1"/>
    <x v="1"/>
  </r>
  <r>
    <x v="33"/>
    <x v="1"/>
    <x v="0"/>
  </r>
  <r>
    <x v="142"/>
    <x v="0"/>
    <x v="1"/>
  </r>
  <r>
    <x v="70"/>
    <x v="1"/>
    <x v="0"/>
  </r>
  <r>
    <x v="24"/>
    <x v="0"/>
    <x v="0"/>
  </r>
  <r>
    <x v="92"/>
    <x v="0"/>
    <x v="0"/>
  </r>
  <r>
    <x v="5"/>
    <x v="0"/>
    <x v="0"/>
  </r>
  <r>
    <x v="101"/>
    <x v="1"/>
    <x v="0"/>
  </r>
  <r>
    <x v="13"/>
    <x v="0"/>
    <x v="0"/>
  </r>
  <r>
    <x v="28"/>
    <x v="1"/>
    <x v="0"/>
  </r>
  <r>
    <x v="134"/>
    <x v="1"/>
    <x v="1"/>
  </r>
  <r>
    <x v="127"/>
    <x v="0"/>
    <x v="0"/>
  </r>
  <r>
    <x v="31"/>
    <x v="0"/>
    <x v="0"/>
  </r>
  <r>
    <x v="40"/>
    <x v="0"/>
    <x v="0"/>
  </r>
  <r>
    <x v="87"/>
    <x v="1"/>
    <x v="0"/>
  </r>
  <r>
    <x v="0"/>
    <x v="1"/>
    <x v="0"/>
  </r>
  <r>
    <x v="6"/>
    <x v="1"/>
    <x v="0"/>
  </r>
  <r>
    <x v="74"/>
    <x v="1"/>
    <x v="1"/>
  </r>
  <r>
    <x v="36"/>
    <x v="1"/>
    <x v="0"/>
  </r>
  <r>
    <x v="35"/>
    <x v="1"/>
    <x v="0"/>
  </r>
  <r>
    <x v="23"/>
    <x v="1"/>
    <x v="0"/>
  </r>
  <r>
    <x v="14"/>
    <x v="0"/>
    <x v="1"/>
  </r>
  <r>
    <x v="59"/>
    <x v="0"/>
    <x v="0"/>
  </r>
  <r>
    <x v="3"/>
    <x v="1"/>
    <x v="0"/>
  </r>
  <r>
    <x v="101"/>
    <x v="1"/>
    <x v="0"/>
  </r>
  <r>
    <x v="90"/>
    <x v="1"/>
    <x v="1"/>
  </r>
  <r>
    <x v="3"/>
    <x v="1"/>
    <x v="0"/>
  </r>
  <r>
    <x v="4"/>
    <x v="1"/>
    <x v="0"/>
  </r>
  <r>
    <x v="1"/>
    <x v="1"/>
    <x v="1"/>
  </r>
  <r>
    <x v="105"/>
    <x v="0"/>
    <x v="0"/>
  </r>
  <r>
    <x v="7"/>
    <x v="0"/>
    <x v="0"/>
  </r>
  <r>
    <x v="114"/>
    <x v="0"/>
    <x v="0"/>
  </r>
  <r>
    <x v="74"/>
    <x v="1"/>
    <x v="1"/>
  </r>
  <r>
    <x v="98"/>
    <x v="1"/>
    <x v="0"/>
  </r>
  <r>
    <x v="40"/>
    <x v="0"/>
    <x v="0"/>
  </r>
  <r>
    <x v="19"/>
    <x v="0"/>
    <x v="0"/>
  </r>
  <r>
    <x v="90"/>
    <x v="1"/>
    <x v="1"/>
  </r>
  <r>
    <x v="9"/>
    <x v="1"/>
    <x v="0"/>
  </r>
  <r>
    <x v="103"/>
    <x v="1"/>
    <x v="0"/>
  </r>
  <r>
    <x v="80"/>
    <x v="0"/>
    <x v="1"/>
  </r>
  <r>
    <x v="17"/>
    <x v="0"/>
    <x v="0"/>
  </r>
  <r>
    <x v="40"/>
    <x v="0"/>
    <x v="0"/>
  </r>
  <r>
    <x v="15"/>
    <x v="0"/>
    <x v="0"/>
  </r>
  <r>
    <x v="76"/>
    <x v="0"/>
    <x v="0"/>
  </r>
  <r>
    <x v="22"/>
    <x v="0"/>
    <x v="0"/>
  </r>
  <r>
    <x v="105"/>
    <x v="0"/>
    <x v="0"/>
  </r>
  <r>
    <x v="80"/>
    <x v="0"/>
    <x v="1"/>
  </r>
  <r>
    <x v="73"/>
    <x v="0"/>
    <x v="1"/>
  </r>
  <r>
    <x v="112"/>
    <x v="0"/>
    <x v="0"/>
  </r>
  <r>
    <x v="59"/>
    <x v="0"/>
    <x v="0"/>
  </r>
  <r>
    <x v="22"/>
    <x v="0"/>
    <x v="0"/>
  </r>
  <r>
    <x v="104"/>
    <x v="0"/>
    <x v="0"/>
  </r>
  <r>
    <x v="116"/>
    <x v="0"/>
    <x v="0"/>
  </r>
  <r>
    <x v="76"/>
    <x v="1"/>
    <x v="0"/>
  </r>
  <r>
    <x v="38"/>
    <x v="0"/>
    <x v="0"/>
  </r>
  <r>
    <x v="143"/>
    <x v="0"/>
    <x v="0"/>
  </r>
  <r>
    <x v="65"/>
    <x v="0"/>
    <x v="0"/>
  </r>
  <r>
    <x v="79"/>
    <x v="0"/>
    <x v="0"/>
  </r>
  <r>
    <x v="66"/>
    <x v="1"/>
    <x v="0"/>
  </r>
  <r>
    <x v="142"/>
    <x v="0"/>
    <x v="1"/>
  </r>
  <r>
    <x v="144"/>
    <x v="0"/>
    <x v="0"/>
  </r>
  <r>
    <x v="101"/>
    <x v="0"/>
    <x v="0"/>
  </r>
  <r>
    <x v="49"/>
    <x v="1"/>
    <x v="1"/>
  </r>
  <r>
    <x v="83"/>
    <x v="0"/>
    <x v="1"/>
  </r>
  <r>
    <x v="41"/>
    <x v="1"/>
    <x v="0"/>
  </r>
  <r>
    <x v="81"/>
    <x v="0"/>
    <x v="0"/>
  </r>
  <r>
    <x v="71"/>
    <x v="0"/>
    <x v="0"/>
  </r>
  <r>
    <x v="145"/>
    <x v="0"/>
    <x v="1"/>
  </r>
  <r>
    <x v="93"/>
    <x v="0"/>
    <x v="1"/>
  </r>
  <r>
    <x v="65"/>
    <x v="1"/>
    <x v="0"/>
  </r>
  <r>
    <x v="70"/>
    <x v="0"/>
    <x v="0"/>
  </r>
  <r>
    <x v="3"/>
    <x v="1"/>
    <x v="0"/>
  </r>
  <r>
    <x v="8"/>
    <x v="0"/>
    <x v="0"/>
  </r>
  <r>
    <x v="99"/>
    <x v="0"/>
    <x v="0"/>
  </r>
  <r>
    <x v="29"/>
    <x v="1"/>
    <x v="0"/>
  </r>
  <r>
    <x v="135"/>
    <x v="0"/>
    <x v="1"/>
  </r>
  <r>
    <x v="56"/>
    <x v="1"/>
    <x v="1"/>
  </r>
  <r>
    <x v="18"/>
    <x v="0"/>
    <x v="0"/>
  </r>
  <r>
    <x v="20"/>
    <x v="1"/>
    <x v="1"/>
  </r>
  <r>
    <x v="99"/>
    <x v="0"/>
    <x v="0"/>
  </r>
  <r>
    <x v="87"/>
    <x v="0"/>
    <x v="0"/>
  </r>
  <r>
    <x v="18"/>
    <x v="0"/>
    <x v="0"/>
  </r>
  <r>
    <x v="96"/>
    <x v="0"/>
    <x v="0"/>
  </r>
  <r>
    <x v="24"/>
    <x v="0"/>
    <x v="0"/>
  </r>
  <r>
    <x v="13"/>
    <x v="1"/>
    <x v="0"/>
  </r>
  <r>
    <x v="96"/>
    <x v="0"/>
    <x v="0"/>
  </r>
  <r>
    <x v="69"/>
    <x v="0"/>
    <x v="0"/>
  </r>
  <r>
    <x v="146"/>
    <x v="0"/>
    <x v="0"/>
  </r>
  <r>
    <x v="147"/>
    <x v="0"/>
    <x v="0"/>
  </r>
  <r>
    <x v="69"/>
    <x v="0"/>
    <x v="0"/>
  </r>
  <r>
    <x v="98"/>
    <x v="0"/>
    <x v="0"/>
  </r>
  <r>
    <x v="9"/>
    <x v="0"/>
    <x v="0"/>
  </r>
  <r>
    <x v="148"/>
    <x v="0"/>
    <x v="0"/>
  </r>
  <r>
    <x v="89"/>
    <x v="0"/>
    <x v="1"/>
  </r>
  <r>
    <x v="147"/>
    <x v="0"/>
    <x v="0"/>
  </r>
  <r>
    <x v="101"/>
    <x v="0"/>
    <x v="0"/>
  </r>
  <r>
    <x v="129"/>
    <x v="1"/>
    <x v="1"/>
  </r>
  <r>
    <x v="46"/>
    <x v="0"/>
    <x v="0"/>
  </r>
  <r>
    <x v="23"/>
    <x v="1"/>
    <x v="0"/>
  </r>
  <r>
    <x v="50"/>
    <x v="0"/>
    <x v="1"/>
  </r>
  <r>
    <x v="137"/>
    <x v="1"/>
    <x v="0"/>
  </r>
  <r>
    <x v="52"/>
    <x v="0"/>
    <x v="0"/>
  </r>
  <r>
    <x v="49"/>
    <x v="0"/>
    <x v="1"/>
  </r>
  <r>
    <x v="104"/>
    <x v="0"/>
    <x v="0"/>
  </r>
  <r>
    <x v="41"/>
    <x v="0"/>
    <x v="0"/>
  </r>
  <r>
    <x v="36"/>
    <x v="1"/>
    <x v="0"/>
  </r>
  <r>
    <x v="9"/>
    <x v="1"/>
    <x v="0"/>
  </r>
  <r>
    <x v="73"/>
    <x v="0"/>
    <x v="1"/>
  </r>
  <r>
    <x v="21"/>
    <x v="1"/>
    <x v="0"/>
  </r>
  <r>
    <x v="108"/>
    <x v="0"/>
    <x v="0"/>
  </r>
  <r>
    <x v="70"/>
    <x v="0"/>
    <x v="0"/>
  </r>
  <r>
    <x v="129"/>
    <x v="0"/>
    <x v="1"/>
  </r>
  <r>
    <x v="23"/>
    <x v="0"/>
    <x v="0"/>
  </r>
  <r>
    <x v="90"/>
    <x v="1"/>
    <x v="1"/>
  </r>
  <r>
    <x v="40"/>
    <x v="1"/>
    <x v="0"/>
  </r>
  <r>
    <x v="49"/>
    <x v="0"/>
    <x v="1"/>
  </r>
  <r>
    <x v="8"/>
    <x v="0"/>
    <x v="0"/>
  </r>
  <r>
    <x v="20"/>
    <x v="0"/>
    <x v="1"/>
  </r>
  <r>
    <x v="24"/>
    <x v="0"/>
    <x v="0"/>
  </r>
  <r>
    <x v="27"/>
    <x v="0"/>
    <x v="0"/>
  </r>
  <r>
    <x v="126"/>
    <x v="0"/>
    <x v="1"/>
  </r>
  <r>
    <x v="149"/>
    <x v="0"/>
    <x v="1"/>
  </r>
  <r>
    <x v="50"/>
    <x v="0"/>
    <x v="1"/>
  </r>
  <r>
    <x v="83"/>
    <x v="1"/>
    <x v="1"/>
  </r>
  <r>
    <x v="80"/>
    <x v="1"/>
    <x v="1"/>
  </r>
  <r>
    <x v="70"/>
    <x v="0"/>
    <x v="0"/>
  </r>
  <r>
    <x v="73"/>
    <x v="0"/>
    <x v="1"/>
  </r>
  <r>
    <x v="150"/>
    <x v="0"/>
    <x v="1"/>
  </r>
  <r>
    <x v="28"/>
    <x v="0"/>
    <x v="0"/>
  </r>
  <r>
    <x v="14"/>
    <x v="0"/>
    <x v="1"/>
  </r>
  <r>
    <x v="120"/>
    <x v="1"/>
    <x v="1"/>
  </r>
  <r>
    <x v="101"/>
    <x v="0"/>
    <x v="0"/>
  </r>
  <r>
    <x v="74"/>
    <x v="1"/>
    <x v="1"/>
  </r>
  <r>
    <x v="126"/>
    <x v="1"/>
    <x v="1"/>
  </r>
  <r>
    <x v="131"/>
    <x v="0"/>
    <x v="1"/>
  </r>
  <r>
    <x v="90"/>
    <x v="0"/>
    <x v="1"/>
  </r>
  <r>
    <x v="129"/>
    <x v="0"/>
    <x v="1"/>
  </r>
  <r>
    <x v="13"/>
    <x v="1"/>
    <x v="0"/>
  </r>
  <r>
    <x v="123"/>
    <x v="0"/>
    <x v="1"/>
  </r>
  <r>
    <x v="106"/>
    <x v="1"/>
    <x v="1"/>
  </r>
  <r>
    <x v="151"/>
    <x v="0"/>
    <x v="1"/>
  </r>
  <r>
    <x v="20"/>
    <x v="0"/>
    <x v="1"/>
  </r>
  <r>
    <x v="150"/>
    <x v="0"/>
    <x v="1"/>
  </r>
  <r>
    <x v="36"/>
    <x v="0"/>
    <x v="0"/>
  </r>
  <r>
    <x v="145"/>
    <x v="1"/>
    <x v="1"/>
  </r>
  <r>
    <x v="134"/>
    <x v="0"/>
    <x v="1"/>
  </r>
  <r>
    <x v="85"/>
    <x v="0"/>
    <x v="0"/>
  </r>
  <r>
    <x v="62"/>
    <x v="1"/>
    <x v="1"/>
  </r>
  <r>
    <x v="130"/>
    <x v="0"/>
    <x v="1"/>
  </r>
  <r>
    <x v="94"/>
    <x v="0"/>
    <x v="1"/>
  </r>
  <r>
    <x v="80"/>
    <x v="1"/>
    <x v="1"/>
  </r>
  <r>
    <x v="9"/>
    <x v="1"/>
    <x v="0"/>
  </r>
  <r>
    <x v="0"/>
    <x v="0"/>
    <x v="0"/>
  </r>
  <r>
    <x v="94"/>
    <x v="0"/>
    <x v="1"/>
  </r>
  <r>
    <x v="142"/>
    <x v="0"/>
    <x v="1"/>
  </r>
  <r>
    <x v="134"/>
    <x v="1"/>
    <x v="1"/>
  </r>
  <r>
    <x v="29"/>
    <x v="1"/>
    <x v="0"/>
  </r>
  <r>
    <x v="139"/>
    <x v="1"/>
    <x v="1"/>
  </r>
  <r>
    <x v="94"/>
    <x v="0"/>
    <x v="1"/>
  </r>
  <r>
    <x v="49"/>
    <x v="0"/>
    <x v="1"/>
  </r>
  <r>
    <x v="92"/>
    <x v="1"/>
    <x v="0"/>
  </r>
  <r>
    <x v="28"/>
    <x v="0"/>
    <x v="0"/>
  </r>
  <r>
    <x v="13"/>
    <x v="0"/>
    <x v="0"/>
  </r>
  <r>
    <x v="71"/>
    <x v="1"/>
    <x v="0"/>
  </r>
  <r>
    <x v="33"/>
    <x v="1"/>
    <x v="0"/>
  </r>
  <r>
    <x v="86"/>
    <x v="1"/>
    <x v="1"/>
  </r>
  <r>
    <x v="106"/>
    <x v="1"/>
    <x v="1"/>
  </r>
  <r>
    <x v="19"/>
    <x v="0"/>
    <x v="0"/>
  </r>
  <r>
    <x v="90"/>
    <x v="1"/>
    <x v="1"/>
  </r>
  <r>
    <x v="61"/>
    <x v="0"/>
    <x v="0"/>
  </r>
  <r>
    <x v="130"/>
    <x v="1"/>
    <x v="1"/>
  </r>
  <r>
    <x v="19"/>
    <x v="1"/>
    <x v="0"/>
  </r>
  <r>
    <x v="50"/>
    <x v="0"/>
    <x v="1"/>
  </r>
  <r>
    <x v="0"/>
    <x v="1"/>
    <x v="0"/>
  </r>
  <r>
    <x v="50"/>
    <x v="1"/>
    <x v="1"/>
  </r>
  <r>
    <x v="27"/>
    <x v="1"/>
    <x v="0"/>
  </r>
  <r>
    <x v="33"/>
    <x v="1"/>
    <x v="0"/>
  </r>
  <r>
    <x v="142"/>
    <x v="0"/>
    <x v="1"/>
  </r>
  <r>
    <x v="50"/>
    <x v="1"/>
    <x v="1"/>
  </r>
  <r>
    <x v="33"/>
    <x v="1"/>
    <x v="0"/>
  </r>
  <r>
    <x v="49"/>
    <x v="1"/>
    <x v="1"/>
  </r>
  <r>
    <x v="121"/>
    <x v="1"/>
    <x v="1"/>
  </r>
  <r>
    <x v="19"/>
    <x v="0"/>
    <x v="0"/>
  </r>
  <r>
    <x v="63"/>
    <x v="1"/>
    <x v="0"/>
  </r>
  <r>
    <x v="90"/>
    <x v="1"/>
    <x v="1"/>
  </r>
  <r>
    <x v="135"/>
    <x v="1"/>
    <x v="1"/>
  </r>
  <r>
    <x v="99"/>
    <x v="0"/>
    <x v="0"/>
  </r>
  <r>
    <x v="4"/>
    <x v="1"/>
    <x v="0"/>
  </r>
  <r>
    <x v="94"/>
    <x v="1"/>
    <x v="1"/>
  </r>
  <r>
    <x v="95"/>
    <x v="1"/>
    <x v="1"/>
  </r>
  <r>
    <x v="46"/>
    <x v="1"/>
    <x v="0"/>
  </r>
  <r>
    <x v="3"/>
    <x v="1"/>
    <x v="0"/>
  </r>
  <r>
    <x v="50"/>
    <x v="1"/>
    <x v="1"/>
  </r>
  <r>
    <x v="99"/>
    <x v="0"/>
    <x v="0"/>
  </r>
  <r>
    <x v="77"/>
    <x v="1"/>
    <x v="0"/>
  </r>
  <r>
    <x v="23"/>
    <x v="0"/>
    <x v="0"/>
  </r>
  <r>
    <x v="9"/>
    <x v="0"/>
    <x v="0"/>
  </r>
  <r>
    <x v="1"/>
    <x v="1"/>
    <x v="1"/>
  </r>
  <r>
    <x v="13"/>
    <x v="1"/>
    <x v="0"/>
  </r>
  <r>
    <x v="30"/>
    <x v="1"/>
    <x v="0"/>
  </r>
  <r>
    <x v="117"/>
    <x v="1"/>
    <x v="1"/>
  </r>
  <r>
    <x v="90"/>
    <x v="1"/>
    <x v="1"/>
  </r>
  <r>
    <x v="91"/>
    <x v="0"/>
    <x v="0"/>
  </r>
  <r>
    <x v="95"/>
    <x v="1"/>
    <x v="1"/>
  </r>
  <r>
    <x v="129"/>
    <x v="1"/>
    <x v="1"/>
  </r>
  <r>
    <x v="1"/>
    <x v="1"/>
    <x v="1"/>
  </r>
  <r>
    <x v="99"/>
    <x v="0"/>
    <x v="0"/>
  </r>
  <r>
    <x v="42"/>
    <x v="1"/>
    <x v="1"/>
  </r>
  <r>
    <x v="82"/>
    <x v="1"/>
    <x v="0"/>
  </r>
  <r>
    <x v="114"/>
    <x v="1"/>
    <x v="0"/>
  </r>
  <r>
    <x v="126"/>
    <x v="1"/>
    <x v="1"/>
  </r>
  <r>
    <x v="40"/>
    <x v="0"/>
    <x v="0"/>
  </r>
  <r>
    <x v="0"/>
    <x v="1"/>
    <x v="0"/>
  </r>
  <r>
    <x v="24"/>
    <x v="1"/>
    <x v="0"/>
  </r>
  <r>
    <x v="134"/>
    <x v="1"/>
    <x v="1"/>
  </r>
  <r>
    <x v="135"/>
    <x v="1"/>
    <x v="1"/>
  </r>
  <r>
    <x v="9"/>
    <x v="1"/>
    <x v="0"/>
  </r>
  <r>
    <x v="24"/>
    <x v="1"/>
    <x v="0"/>
  </r>
  <r>
    <x v="94"/>
    <x v="1"/>
    <x v="1"/>
  </r>
  <r>
    <x v="1"/>
    <x v="1"/>
    <x v="1"/>
  </r>
  <r>
    <x v="56"/>
    <x v="1"/>
    <x v="1"/>
  </r>
  <r>
    <x v="30"/>
    <x v="0"/>
    <x v="0"/>
  </r>
  <r>
    <x v="13"/>
    <x v="0"/>
    <x v="0"/>
  </r>
  <r>
    <x v="114"/>
    <x v="1"/>
    <x v="0"/>
  </r>
  <r>
    <x v="42"/>
    <x v="1"/>
    <x v="1"/>
  </r>
  <r>
    <x v="101"/>
    <x v="1"/>
    <x v="0"/>
  </r>
  <r>
    <x v="46"/>
    <x v="1"/>
    <x v="0"/>
  </r>
  <r>
    <x v="8"/>
    <x v="1"/>
    <x v="0"/>
  </r>
  <r>
    <x v="46"/>
    <x v="1"/>
    <x v="0"/>
  </r>
  <r>
    <x v="142"/>
    <x v="1"/>
    <x v="1"/>
  </r>
  <r>
    <x v="76"/>
    <x v="0"/>
    <x v="0"/>
  </r>
  <r>
    <x v="38"/>
    <x v="1"/>
    <x v="0"/>
  </r>
  <r>
    <x v="106"/>
    <x v="0"/>
    <x v="1"/>
  </r>
  <r>
    <x v="74"/>
    <x v="1"/>
    <x v="1"/>
  </r>
  <r>
    <x v="55"/>
    <x v="1"/>
    <x v="1"/>
  </r>
  <r>
    <x v="50"/>
    <x v="0"/>
    <x v="1"/>
  </r>
  <r>
    <x v="3"/>
    <x v="0"/>
    <x v="0"/>
  </r>
  <r>
    <x v="121"/>
    <x v="1"/>
    <x v="1"/>
  </r>
  <r>
    <x v="114"/>
    <x v="1"/>
    <x v="0"/>
  </r>
  <r>
    <x v="65"/>
    <x v="1"/>
    <x v="0"/>
  </r>
  <r>
    <x v="114"/>
    <x v="0"/>
    <x v="0"/>
  </r>
  <r>
    <x v="56"/>
    <x v="0"/>
    <x v="1"/>
  </r>
  <r>
    <x v="126"/>
    <x v="0"/>
    <x v="1"/>
  </r>
  <r>
    <x v="23"/>
    <x v="0"/>
    <x v="0"/>
  </r>
  <r>
    <x v="109"/>
    <x v="0"/>
    <x v="0"/>
  </r>
  <r>
    <x v="35"/>
    <x v="1"/>
    <x v="0"/>
  </r>
  <r>
    <x v="49"/>
    <x v="1"/>
    <x v="1"/>
  </r>
  <r>
    <x v="50"/>
    <x v="1"/>
    <x v="1"/>
  </r>
  <r>
    <x v="9"/>
    <x v="1"/>
    <x v="0"/>
  </r>
  <r>
    <x v="8"/>
    <x v="1"/>
    <x v="0"/>
  </r>
  <r>
    <x v="104"/>
    <x v="1"/>
    <x v="0"/>
  </r>
  <r>
    <x v="9"/>
    <x v="0"/>
    <x v="0"/>
  </r>
  <r>
    <x v="93"/>
    <x v="0"/>
    <x v="1"/>
  </r>
  <r>
    <x v="13"/>
    <x v="1"/>
    <x v="0"/>
  </r>
  <r>
    <x v="74"/>
    <x v="1"/>
    <x v="1"/>
  </r>
  <r>
    <x v="4"/>
    <x v="1"/>
    <x v="0"/>
  </r>
  <r>
    <x v="35"/>
    <x v="1"/>
    <x v="0"/>
  </r>
  <r>
    <x v="42"/>
    <x v="1"/>
    <x v="1"/>
  </r>
  <r>
    <x v="95"/>
    <x v="0"/>
    <x v="1"/>
  </r>
  <r>
    <x v="63"/>
    <x v="1"/>
    <x v="0"/>
  </r>
  <r>
    <x v="65"/>
    <x v="1"/>
    <x v="0"/>
  </r>
  <r>
    <x v="82"/>
    <x v="1"/>
    <x v="0"/>
  </r>
  <r>
    <x v="42"/>
    <x v="1"/>
    <x v="1"/>
  </r>
  <r>
    <x v="93"/>
    <x v="1"/>
    <x v="1"/>
  </r>
  <r>
    <x v="38"/>
    <x v="1"/>
    <x v="0"/>
  </r>
  <r>
    <x v="27"/>
    <x v="1"/>
    <x v="0"/>
  </r>
  <r>
    <x v="30"/>
    <x v="1"/>
    <x v="0"/>
  </r>
  <r>
    <x v="95"/>
    <x v="0"/>
    <x v="1"/>
  </r>
  <r>
    <x v="75"/>
    <x v="1"/>
    <x v="0"/>
  </r>
  <r>
    <x v="86"/>
    <x v="1"/>
    <x v="1"/>
  </r>
  <r>
    <x v="74"/>
    <x v="1"/>
    <x v="1"/>
  </r>
  <r>
    <x v="114"/>
    <x v="1"/>
    <x v="0"/>
  </r>
  <r>
    <x v="50"/>
    <x v="1"/>
    <x v="1"/>
  </r>
  <r>
    <x v="93"/>
    <x v="0"/>
    <x v="1"/>
  </r>
  <r>
    <x v="24"/>
    <x v="1"/>
    <x v="0"/>
  </r>
  <r>
    <x v="152"/>
    <x v="1"/>
    <x v="1"/>
  </r>
  <r>
    <x v="74"/>
    <x v="1"/>
    <x v="1"/>
  </r>
  <r>
    <x v="116"/>
    <x v="1"/>
    <x v="0"/>
  </r>
  <r>
    <x v="65"/>
    <x v="1"/>
    <x v="0"/>
  </r>
  <r>
    <x v="90"/>
    <x v="1"/>
    <x v="1"/>
  </r>
  <r>
    <x v="30"/>
    <x v="1"/>
    <x v="0"/>
  </r>
  <r>
    <x v="20"/>
    <x v="1"/>
    <x v="1"/>
  </r>
  <r>
    <x v="80"/>
    <x v="1"/>
    <x v="1"/>
  </r>
  <r>
    <x v="50"/>
    <x v="1"/>
    <x v="1"/>
  </r>
  <r>
    <x v="27"/>
    <x v="1"/>
    <x v="0"/>
  </r>
  <r>
    <x v="56"/>
    <x v="1"/>
    <x v="1"/>
  </r>
  <r>
    <x v="1"/>
    <x v="1"/>
    <x v="1"/>
  </r>
  <r>
    <x v="28"/>
    <x v="1"/>
    <x v="0"/>
  </r>
  <r>
    <x v="150"/>
    <x v="1"/>
    <x v="1"/>
  </r>
  <r>
    <x v="135"/>
    <x v="1"/>
    <x v="1"/>
  </r>
  <r>
    <x v="98"/>
    <x v="1"/>
    <x v="0"/>
  </r>
  <r>
    <x v="20"/>
    <x v="1"/>
    <x v="1"/>
  </r>
  <r>
    <x v="77"/>
    <x v="1"/>
    <x v="0"/>
  </r>
  <r>
    <x v="130"/>
    <x v="1"/>
    <x v="1"/>
  </r>
  <r>
    <x v="134"/>
    <x v="1"/>
    <x v="1"/>
  </r>
  <r>
    <x v="88"/>
    <x v="1"/>
    <x v="1"/>
  </r>
  <r>
    <x v="38"/>
    <x v="1"/>
    <x v="0"/>
  </r>
  <r>
    <x v="95"/>
    <x v="0"/>
    <x v="1"/>
  </r>
  <r>
    <x v="88"/>
    <x v="1"/>
    <x v="1"/>
  </r>
  <r>
    <x v="42"/>
    <x v="1"/>
    <x v="1"/>
  </r>
  <r>
    <x v="9"/>
    <x v="1"/>
    <x v="0"/>
  </r>
  <r>
    <x v="93"/>
    <x v="1"/>
    <x v="1"/>
  </r>
  <r>
    <x v="69"/>
    <x v="1"/>
    <x v="0"/>
  </r>
  <r>
    <x v="82"/>
    <x v="1"/>
    <x v="0"/>
  </r>
  <r>
    <x v="135"/>
    <x v="1"/>
    <x v="1"/>
  </r>
  <r>
    <x v="20"/>
    <x v="1"/>
    <x v="1"/>
  </r>
  <r>
    <x v="56"/>
    <x v="1"/>
    <x v="1"/>
  </r>
  <r>
    <x v="116"/>
    <x v="1"/>
    <x v="0"/>
  </r>
  <r>
    <x v="82"/>
    <x v="1"/>
    <x v="0"/>
  </r>
  <r>
    <x v="19"/>
    <x v="1"/>
    <x v="0"/>
  </r>
  <r>
    <x v="56"/>
    <x v="1"/>
    <x v="1"/>
  </r>
  <r>
    <x v="94"/>
    <x v="1"/>
    <x v="1"/>
  </r>
  <r>
    <x v="142"/>
    <x v="1"/>
    <x v="1"/>
  </r>
  <r>
    <x v="42"/>
    <x v="1"/>
    <x v="1"/>
  </r>
  <r>
    <x v="101"/>
    <x v="1"/>
    <x v="0"/>
  </r>
  <r>
    <x v="24"/>
    <x v="1"/>
    <x v="0"/>
  </r>
  <r>
    <x v="56"/>
    <x v="1"/>
    <x v="1"/>
  </r>
  <r>
    <x v="59"/>
    <x v="1"/>
    <x v="0"/>
  </r>
  <r>
    <x v="28"/>
    <x v="1"/>
    <x v="0"/>
  </r>
  <r>
    <x v="3"/>
    <x v="1"/>
    <x v="0"/>
  </r>
  <r>
    <x v="94"/>
    <x v="0"/>
    <x v="1"/>
  </r>
  <r>
    <x v="13"/>
    <x v="1"/>
    <x v="0"/>
  </r>
  <r>
    <x v="83"/>
    <x v="0"/>
    <x v="1"/>
  </r>
  <r>
    <x v="83"/>
    <x v="1"/>
    <x v="1"/>
  </r>
  <r>
    <x v="20"/>
    <x v="1"/>
    <x v="1"/>
  </r>
  <r>
    <x v="8"/>
    <x v="1"/>
    <x v="0"/>
  </r>
  <r>
    <x v="38"/>
    <x v="1"/>
    <x v="0"/>
  </r>
  <r>
    <x v="4"/>
    <x v="1"/>
    <x v="0"/>
  </r>
  <r>
    <x v="90"/>
    <x v="1"/>
    <x v="1"/>
  </r>
  <r>
    <x v="114"/>
    <x v="1"/>
    <x v="0"/>
  </r>
  <r>
    <x v="30"/>
    <x v="1"/>
    <x v="0"/>
  </r>
  <r>
    <x v="126"/>
    <x v="1"/>
    <x v="1"/>
  </r>
  <r>
    <x v="132"/>
    <x v="1"/>
    <x v="1"/>
  </r>
  <r>
    <x v="20"/>
    <x v="1"/>
    <x v="1"/>
  </r>
  <r>
    <x v="93"/>
    <x v="1"/>
    <x v="1"/>
  </r>
  <r>
    <x v="95"/>
    <x v="1"/>
    <x v="1"/>
  </r>
  <r>
    <x v="20"/>
    <x v="1"/>
    <x v="1"/>
  </r>
  <r>
    <x v="30"/>
    <x v="1"/>
    <x v="0"/>
  </r>
  <r>
    <x v="135"/>
    <x v="1"/>
    <x v="1"/>
  </r>
  <r>
    <x v="83"/>
    <x v="1"/>
    <x v="1"/>
  </r>
  <r>
    <x v="33"/>
    <x v="1"/>
    <x v="0"/>
  </r>
  <r>
    <x v="81"/>
    <x v="1"/>
    <x v="0"/>
  </r>
  <r>
    <x v="3"/>
    <x v="1"/>
    <x v="0"/>
  </r>
  <r>
    <x v="126"/>
    <x v="1"/>
    <x v="1"/>
  </r>
  <r>
    <x v="75"/>
    <x v="1"/>
    <x v="0"/>
  </r>
  <r>
    <x v="83"/>
    <x v="1"/>
    <x v="1"/>
  </r>
  <r>
    <x v="90"/>
    <x v="1"/>
    <x v="1"/>
  </r>
  <r>
    <x v="46"/>
    <x v="1"/>
    <x v="0"/>
  </r>
  <r>
    <x v="142"/>
    <x v="0"/>
    <x v="1"/>
  </r>
  <r>
    <x v="74"/>
    <x v="1"/>
    <x v="1"/>
  </r>
  <r>
    <x v="4"/>
    <x v="0"/>
    <x v="0"/>
  </r>
  <r>
    <x v="74"/>
    <x v="1"/>
    <x v="1"/>
  </r>
  <r>
    <x v="142"/>
    <x v="1"/>
    <x v="1"/>
  </r>
  <r>
    <x v="8"/>
    <x v="1"/>
    <x v="0"/>
  </r>
  <r>
    <x v="95"/>
    <x v="1"/>
    <x v="1"/>
  </r>
  <r>
    <x v="42"/>
    <x v="1"/>
    <x v="1"/>
  </r>
  <r>
    <x v="145"/>
    <x v="1"/>
    <x v="1"/>
  </r>
  <r>
    <x v="28"/>
    <x v="1"/>
    <x v="0"/>
  </r>
  <r>
    <x v="15"/>
    <x v="1"/>
    <x v="0"/>
  </r>
  <r>
    <x v="120"/>
    <x v="1"/>
    <x v="1"/>
  </r>
  <r>
    <x v="134"/>
    <x v="1"/>
    <x v="1"/>
  </r>
  <r>
    <x v="93"/>
    <x v="1"/>
    <x v="1"/>
  </r>
  <r>
    <x v="153"/>
    <x v="1"/>
    <x v="1"/>
  </r>
  <r>
    <x v="153"/>
    <x v="1"/>
    <x v="1"/>
  </r>
  <r>
    <x v="134"/>
    <x v="1"/>
    <x v="1"/>
  </r>
  <r>
    <x v="80"/>
    <x v="1"/>
    <x v="1"/>
  </r>
  <r>
    <x v="154"/>
    <x v="1"/>
    <x v="1"/>
  </r>
  <r>
    <x v="131"/>
    <x v="1"/>
    <x v="1"/>
  </r>
  <r>
    <x v="80"/>
    <x v="1"/>
    <x v="1"/>
  </r>
  <r>
    <x v="131"/>
    <x v="0"/>
    <x v="1"/>
  </r>
  <r>
    <x v="151"/>
    <x v="1"/>
    <x v="1"/>
  </r>
  <r>
    <x v="151"/>
    <x v="1"/>
    <x v="1"/>
  </r>
  <r>
    <x v="152"/>
    <x v="1"/>
    <x v="1"/>
  </r>
  <r>
    <x v="128"/>
    <x v="1"/>
    <x v="1"/>
  </r>
  <r>
    <x v="128"/>
    <x v="1"/>
    <x v="1"/>
  </r>
  <r>
    <x v="150"/>
    <x v="1"/>
    <x v="1"/>
  </r>
  <r>
    <x v="153"/>
    <x v="1"/>
    <x v="1"/>
  </r>
  <r>
    <x v="53"/>
    <x v="0"/>
    <x v="1"/>
  </r>
  <r>
    <x v="89"/>
    <x v="1"/>
    <x v="1"/>
  </r>
  <r>
    <x v="152"/>
    <x v="1"/>
    <x v="1"/>
  </r>
  <r>
    <x v="62"/>
    <x v="1"/>
    <x v="1"/>
  </r>
  <r>
    <x v="145"/>
    <x v="1"/>
    <x v="1"/>
  </r>
  <r>
    <x v="62"/>
    <x v="1"/>
    <x v="1"/>
  </r>
  <r>
    <x v="72"/>
    <x v="1"/>
    <x v="1"/>
  </r>
  <r>
    <x v="139"/>
    <x v="1"/>
    <x v="1"/>
  </r>
  <r>
    <x v="139"/>
    <x v="1"/>
    <x v="1"/>
  </r>
  <r>
    <x v="154"/>
    <x v="1"/>
    <x v="1"/>
  </r>
  <r>
    <x v="72"/>
    <x v="1"/>
    <x v="1"/>
  </r>
  <r>
    <x v="1"/>
    <x v="1"/>
    <x v="1"/>
  </r>
  <r>
    <x v="155"/>
    <x v="1"/>
    <x v="1"/>
  </r>
  <r>
    <x v="56"/>
    <x v="1"/>
    <x v="1"/>
  </r>
  <r>
    <x v="62"/>
    <x v="1"/>
    <x v="1"/>
  </r>
  <r>
    <x v="88"/>
    <x v="1"/>
    <x v="1"/>
  </r>
  <r>
    <x v="119"/>
    <x v="1"/>
    <x v="1"/>
  </r>
  <r>
    <x v="132"/>
    <x v="1"/>
    <x v="1"/>
  </r>
  <r>
    <x v="156"/>
    <x v="1"/>
    <x v="1"/>
  </r>
  <r>
    <x v="72"/>
    <x v="1"/>
    <x v="1"/>
  </r>
  <r>
    <x v="152"/>
    <x v="0"/>
    <x v="1"/>
  </r>
  <r>
    <x v="126"/>
    <x v="1"/>
    <x v="1"/>
  </r>
  <r>
    <x v="151"/>
    <x v="1"/>
    <x v="1"/>
  </r>
  <r>
    <x v="50"/>
    <x v="1"/>
    <x v="1"/>
  </r>
  <r>
    <x v="62"/>
    <x v="1"/>
    <x v="1"/>
  </r>
  <r>
    <x v="123"/>
    <x v="1"/>
    <x v="1"/>
  </r>
  <r>
    <x v="121"/>
    <x v="1"/>
    <x v="1"/>
  </r>
  <r>
    <x v="155"/>
    <x v="1"/>
    <x v="1"/>
  </r>
  <r>
    <x v="132"/>
    <x v="0"/>
    <x v="1"/>
  </r>
  <r>
    <x v="157"/>
    <x v="1"/>
    <x v="1"/>
  </r>
  <r>
    <x v="139"/>
    <x v="1"/>
    <x v="1"/>
  </r>
  <r>
    <x v="152"/>
    <x v="1"/>
    <x v="1"/>
  </r>
  <r>
    <x v="158"/>
    <x v="0"/>
    <x v="1"/>
  </r>
  <r>
    <x v="89"/>
    <x v="1"/>
    <x v="1"/>
  </r>
  <r>
    <x v="50"/>
    <x v="1"/>
    <x v="1"/>
  </r>
  <r>
    <x v="130"/>
    <x v="1"/>
    <x v="1"/>
  </r>
  <r>
    <x v="156"/>
    <x v="0"/>
    <x v="1"/>
  </r>
  <r>
    <x v="145"/>
    <x v="1"/>
    <x v="1"/>
  </r>
  <r>
    <x v="132"/>
    <x v="0"/>
    <x v="1"/>
  </r>
  <r>
    <x v="48"/>
    <x v="1"/>
    <x v="1"/>
  </r>
  <r>
    <x v="65"/>
    <x v="1"/>
    <x v="0"/>
  </r>
  <r>
    <x v="139"/>
    <x v="1"/>
    <x v="1"/>
  </r>
  <r>
    <x v="139"/>
    <x v="1"/>
    <x v="1"/>
  </r>
  <r>
    <x v="129"/>
    <x v="1"/>
    <x v="1"/>
  </r>
  <r>
    <x v="159"/>
    <x v="1"/>
    <x v="1"/>
  </r>
  <r>
    <x v="106"/>
    <x v="1"/>
    <x v="1"/>
  </r>
  <r>
    <x v="114"/>
    <x v="1"/>
    <x v="0"/>
  </r>
  <r>
    <x v="128"/>
    <x v="1"/>
    <x v="1"/>
  </r>
  <r>
    <x v="56"/>
    <x v="1"/>
    <x v="1"/>
  </r>
  <r>
    <x v="62"/>
    <x v="0"/>
    <x v="1"/>
  </r>
  <r>
    <x v="153"/>
    <x v="1"/>
    <x v="1"/>
  </r>
  <r>
    <x v="42"/>
    <x v="1"/>
    <x v="1"/>
  </r>
  <r>
    <x v="74"/>
    <x v="0"/>
    <x v="1"/>
  </r>
  <r>
    <x v="46"/>
    <x v="1"/>
    <x v="0"/>
  </r>
  <r>
    <x v="119"/>
    <x v="1"/>
    <x v="1"/>
  </r>
  <r>
    <x v="160"/>
    <x v="1"/>
    <x v="1"/>
  </r>
  <r>
    <x v="150"/>
    <x v="1"/>
    <x v="1"/>
  </r>
  <r>
    <x v="132"/>
    <x v="1"/>
    <x v="1"/>
  </r>
  <r>
    <x v="47"/>
    <x v="0"/>
    <x v="1"/>
  </r>
  <r>
    <x v="157"/>
    <x v="1"/>
    <x v="1"/>
  </r>
  <r>
    <x v="121"/>
    <x v="1"/>
    <x v="1"/>
  </r>
  <r>
    <x v="129"/>
    <x v="1"/>
    <x v="1"/>
  </r>
  <r>
    <x v="145"/>
    <x v="1"/>
    <x v="1"/>
  </r>
  <r>
    <x v="139"/>
    <x v="1"/>
    <x v="1"/>
  </r>
  <r>
    <x v="139"/>
    <x v="0"/>
    <x v="1"/>
  </r>
  <r>
    <x v="128"/>
    <x v="1"/>
    <x v="1"/>
  </r>
  <r>
    <x v="50"/>
    <x v="1"/>
    <x v="1"/>
  </r>
  <r>
    <x v="47"/>
    <x v="1"/>
    <x v="1"/>
  </r>
  <r>
    <x v="158"/>
    <x v="1"/>
    <x v="1"/>
  </r>
  <r>
    <x v="42"/>
    <x v="0"/>
    <x v="1"/>
  </r>
  <r>
    <x v="126"/>
    <x v="1"/>
    <x v="1"/>
  </r>
  <r>
    <x v="89"/>
    <x v="0"/>
    <x v="1"/>
  </r>
  <r>
    <x v="50"/>
    <x v="1"/>
    <x v="1"/>
  </r>
  <r>
    <x v="80"/>
    <x v="1"/>
    <x v="1"/>
  </r>
  <r>
    <x v="114"/>
    <x v="1"/>
    <x v="0"/>
  </r>
  <r>
    <x v="139"/>
    <x v="1"/>
    <x v="1"/>
  </r>
  <r>
    <x v="72"/>
    <x v="0"/>
    <x v="1"/>
  </r>
  <r>
    <x v="88"/>
    <x v="1"/>
    <x v="1"/>
  </r>
  <r>
    <x v="36"/>
    <x v="1"/>
    <x v="0"/>
  </r>
  <r>
    <x v="74"/>
    <x v="1"/>
    <x v="1"/>
  </r>
  <r>
    <x v="53"/>
    <x v="1"/>
    <x v="1"/>
  </r>
  <r>
    <x v="55"/>
    <x v="1"/>
    <x v="1"/>
  </r>
  <r>
    <x v="131"/>
    <x v="1"/>
    <x v="1"/>
  </r>
  <r>
    <x v="106"/>
    <x v="1"/>
    <x v="1"/>
  </r>
  <r>
    <x v="95"/>
    <x v="0"/>
    <x v="1"/>
  </r>
  <r>
    <x v="86"/>
    <x v="1"/>
    <x v="1"/>
  </r>
  <r>
    <x v="20"/>
    <x v="1"/>
    <x v="1"/>
  </r>
  <r>
    <x v="161"/>
    <x v="0"/>
    <x v="1"/>
  </r>
  <r>
    <x v="90"/>
    <x v="1"/>
    <x v="1"/>
  </r>
  <r>
    <x v="150"/>
    <x v="0"/>
    <x v="1"/>
  </r>
  <r>
    <x v="117"/>
    <x v="0"/>
    <x v="1"/>
  </r>
  <r>
    <x v="126"/>
    <x v="0"/>
    <x v="1"/>
  </r>
  <r>
    <x v="47"/>
    <x v="0"/>
    <x v="1"/>
  </r>
  <r>
    <x v="132"/>
    <x v="0"/>
    <x v="1"/>
  </r>
  <r>
    <x v="129"/>
    <x v="0"/>
    <x v="1"/>
  </r>
  <r>
    <x v="162"/>
    <x v="0"/>
    <x v="1"/>
  </r>
  <r>
    <x v="163"/>
    <x v="0"/>
    <x v="1"/>
  </r>
  <r>
    <x v="162"/>
    <x v="0"/>
    <x v="1"/>
  </r>
  <r>
    <x v="90"/>
    <x v="1"/>
    <x v="1"/>
  </r>
  <r>
    <x v="132"/>
    <x v="0"/>
    <x v="1"/>
  </r>
  <r>
    <x v="50"/>
    <x v="0"/>
    <x v="1"/>
  </r>
  <r>
    <x v="95"/>
    <x v="1"/>
    <x v="1"/>
  </r>
  <r>
    <x v="126"/>
    <x v="0"/>
    <x v="1"/>
  </r>
  <r>
    <x v="62"/>
    <x v="0"/>
    <x v="1"/>
  </r>
  <r>
    <x v="49"/>
    <x v="0"/>
    <x v="1"/>
  </r>
  <r>
    <x v="129"/>
    <x v="0"/>
    <x v="1"/>
  </r>
  <r>
    <x v="134"/>
    <x v="0"/>
    <x v="1"/>
  </r>
  <r>
    <x v="124"/>
    <x v="0"/>
    <x v="1"/>
  </r>
  <r>
    <x v="93"/>
    <x v="0"/>
    <x v="1"/>
  </r>
  <r>
    <x v="117"/>
    <x v="0"/>
    <x v="1"/>
  </r>
  <r>
    <x v="88"/>
    <x v="0"/>
    <x v="1"/>
  </r>
  <r>
    <x v="119"/>
    <x v="1"/>
    <x v="1"/>
  </r>
  <r>
    <x v="130"/>
    <x v="1"/>
    <x v="1"/>
  </r>
  <r>
    <x v="83"/>
    <x v="0"/>
    <x v="1"/>
  </r>
  <r>
    <x v="82"/>
    <x v="0"/>
    <x v="0"/>
  </r>
  <r>
    <x v="162"/>
    <x v="0"/>
    <x v="1"/>
  </r>
  <r>
    <x v="159"/>
    <x v="0"/>
    <x v="1"/>
  </r>
  <r>
    <x v="20"/>
    <x v="0"/>
    <x v="1"/>
  </r>
  <r>
    <x v="47"/>
    <x v="1"/>
    <x v="1"/>
  </r>
  <r>
    <x v="48"/>
    <x v="0"/>
    <x v="1"/>
  </r>
  <r>
    <x v="156"/>
    <x v="0"/>
    <x v="1"/>
  </r>
  <r>
    <x v="51"/>
    <x v="0"/>
    <x v="1"/>
  </r>
  <r>
    <x v="152"/>
    <x v="0"/>
    <x v="1"/>
  </r>
  <r>
    <x v="89"/>
    <x v="1"/>
    <x v="1"/>
  </r>
  <r>
    <x v="151"/>
    <x v="0"/>
    <x v="1"/>
  </r>
  <r>
    <x v="133"/>
    <x v="0"/>
    <x v="1"/>
  </r>
  <r>
    <x v="89"/>
    <x v="0"/>
    <x v="1"/>
  </r>
  <r>
    <x v="83"/>
    <x v="0"/>
    <x v="1"/>
  </r>
  <r>
    <x v="133"/>
    <x v="0"/>
    <x v="1"/>
  </r>
  <r>
    <x v="117"/>
    <x v="1"/>
    <x v="1"/>
  </r>
  <r>
    <x v="158"/>
    <x v="0"/>
    <x v="1"/>
  </r>
  <r>
    <x v="106"/>
    <x v="1"/>
    <x v="1"/>
  </r>
  <r>
    <x v="128"/>
    <x v="0"/>
    <x v="1"/>
  </r>
  <r>
    <x v="93"/>
    <x v="0"/>
    <x v="1"/>
  </r>
  <r>
    <x v="159"/>
    <x v="0"/>
    <x v="1"/>
  </r>
  <r>
    <x v="86"/>
    <x v="0"/>
    <x v="1"/>
  </r>
  <r>
    <x v="142"/>
    <x v="0"/>
    <x v="1"/>
  </r>
  <r>
    <x v="3"/>
    <x v="0"/>
    <x v="0"/>
  </r>
  <r>
    <x v="151"/>
    <x v="0"/>
    <x v="1"/>
  </r>
  <r>
    <x v="73"/>
    <x v="0"/>
    <x v="1"/>
  </r>
  <r>
    <x v="161"/>
    <x v="1"/>
    <x v="1"/>
  </r>
  <r>
    <x v="145"/>
    <x v="1"/>
    <x v="1"/>
  </r>
  <r>
    <x v="53"/>
    <x v="1"/>
    <x v="1"/>
  </r>
  <r>
    <x v="160"/>
    <x v="0"/>
    <x v="1"/>
  </r>
  <r>
    <x v="126"/>
    <x v="1"/>
    <x v="1"/>
  </r>
  <r>
    <x v="154"/>
    <x v="1"/>
    <x v="1"/>
  </r>
  <r>
    <x v="65"/>
    <x v="1"/>
    <x v="0"/>
  </r>
  <r>
    <x v="153"/>
    <x v="0"/>
    <x v="1"/>
  </r>
  <r>
    <x v="129"/>
    <x v="0"/>
    <x v="1"/>
  </r>
  <r>
    <x v="164"/>
    <x v="1"/>
    <x v="1"/>
  </r>
  <r>
    <x v="131"/>
    <x v="0"/>
    <x v="1"/>
  </r>
  <r>
    <x v="165"/>
    <x v="0"/>
    <x v="1"/>
  </r>
  <r>
    <x v="164"/>
    <x v="0"/>
    <x v="1"/>
  </r>
  <r>
    <x v="116"/>
    <x v="0"/>
    <x v="0"/>
  </r>
  <r>
    <x v="128"/>
    <x v="0"/>
    <x v="1"/>
  </r>
  <r>
    <x v="93"/>
    <x v="1"/>
    <x v="1"/>
  </r>
  <r>
    <x v="162"/>
    <x v="0"/>
    <x v="1"/>
  </r>
  <r>
    <x v="88"/>
    <x v="0"/>
    <x v="1"/>
  </r>
  <r>
    <x v="152"/>
    <x v="0"/>
    <x v="1"/>
  </r>
  <r>
    <x v="126"/>
    <x v="0"/>
    <x v="1"/>
  </r>
  <r>
    <x v="51"/>
    <x v="1"/>
    <x v="1"/>
  </r>
  <r>
    <x v="106"/>
    <x v="1"/>
    <x v="1"/>
  </r>
  <r>
    <x v="62"/>
    <x v="1"/>
    <x v="1"/>
  </r>
  <r>
    <x v="42"/>
    <x v="0"/>
    <x v="1"/>
  </r>
  <r>
    <x v="129"/>
    <x v="0"/>
    <x v="1"/>
  </r>
  <r>
    <x v="120"/>
    <x v="0"/>
    <x v="1"/>
  </r>
  <r>
    <x v="126"/>
    <x v="0"/>
    <x v="1"/>
  </r>
  <r>
    <x v="83"/>
    <x v="1"/>
    <x v="1"/>
  </r>
  <r>
    <x v="145"/>
    <x v="1"/>
    <x v="1"/>
  </r>
  <r>
    <x v="129"/>
    <x v="0"/>
    <x v="1"/>
  </r>
  <r>
    <x v="83"/>
    <x v="1"/>
    <x v="1"/>
  </r>
  <r>
    <x v="15"/>
    <x v="1"/>
    <x v="0"/>
  </r>
  <r>
    <x v="90"/>
    <x v="0"/>
    <x v="1"/>
  </r>
  <r>
    <x v="166"/>
    <x v="0"/>
    <x v="1"/>
  </r>
  <r>
    <x v="128"/>
    <x v="0"/>
    <x v="1"/>
  </r>
  <r>
    <x v="153"/>
    <x v="0"/>
    <x v="1"/>
  </r>
  <r>
    <x v="154"/>
    <x v="0"/>
    <x v="1"/>
  </r>
  <r>
    <x v="159"/>
    <x v="0"/>
    <x v="1"/>
  </r>
  <r>
    <x v="53"/>
    <x v="1"/>
    <x v="1"/>
  </r>
  <r>
    <x v="95"/>
    <x v="0"/>
    <x v="1"/>
  </r>
  <r>
    <x v="165"/>
    <x v="0"/>
    <x v="1"/>
  </r>
  <r>
    <x v="167"/>
    <x v="0"/>
    <x v="1"/>
  </r>
  <r>
    <x v="74"/>
    <x v="0"/>
    <x v="1"/>
  </r>
  <r>
    <x v="50"/>
    <x v="0"/>
    <x v="1"/>
  </r>
  <r>
    <x v="161"/>
    <x v="0"/>
    <x v="1"/>
  </r>
  <r>
    <x v="161"/>
    <x v="1"/>
    <x v="1"/>
  </r>
  <r>
    <x v="142"/>
    <x v="0"/>
    <x v="1"/>
  </r>
  <r>
    <x v="119"/>
    <x v="0"/>
    <x v="1"/>
  </r>
  <r>
    <x v="18"/>
    <x v="1"/>
    <x v="0"/>
  </r>
  <r>
    <x v="4"/>
    <x v="1"/>
    <x v="0"/>
  </r>
  <r>
    <x v="82"/>
    <x v="1"/>
    <x v="0"/>
  </r>
  <r>
    <x v="83"/>
    <x v="0"/>
    <x v="1"/>
  </r>
  <r>
    <x v="74"/>
    <x v="1"/>
    <x v="1"/>
  </r>
  <r>
    <x v="0"/>
    <x v="1"/>
    <x v="0"/>
  </r>
  <r>
    <x v="97"/>
    <x v="0"/>
    <x v="0"/>
  </r>
  <r>
    <x v="107"/>
    <x v="0"/>
    <x v="0"/>
  </r>
  <r>
    <x v="126"/>
    <x v="1"/>
    <x v="1"/>
  </r>
  <r>
    <x v="35"/>
    <x v="1"/>
    <x v="0"/>
  </r>
  <r>
    <x v="101"/>
    <x v="1"/>
    <x v="0"/>
  </r>
  <r>
    <x v="14"/>
    <x v="0"/>
    <x v="1"/>
  </r>
  <r>
    <x v="3"/>
    <x v="1"/>
    <x v="0"/>
  </r>
  <r>
    <x v="96"/>
    <x v="0"/>
    <x v="0"/>
  </r>
  <r>
    <x v="75"/>
    <x v="1"/>
    <x v="0"/>
  </r>
  <r>
    <x v="0"/>
    <x v="1"/>
    <x v="0"/>
  </r>
  <r>
    <x v="94"/>
    <x v="1"/>
    <x v="1"/>
  </r>
  <r>
    <x v="65"/>
    <x v="0"/>
    <x v="0"/>
  </r>
  <r>
    <x v="10"/>
    <x v="0"/>
    <x v="0"/>
  </r>
  <r>
    <x v="90"/>
    <x v="1"/>
    <x v="1"/>
  </r>
  <r>
    <x v="90"/>
    <x v="0"/>
    <x v="1"/>
  </r>
  <r>
    <x v="31"/>
    <x v="1"/>
    <x v="0"/>
  </r>
  <r>
    <x v="41"/>
    <x v="1"/>
    <x v="0"/>
  </r>
  <r>
    <x v="15"/>
    <x v="0"/>
    <x v="0"/>
  </r>
  <r>
    <x v="103"/>
    <x v="0"/>
    <x v="0"/>
  </r>
  <r>
    <x v="9"/>
    <x v="1"/>
    <x v="0"/>
  </r>
  <r>
    <x v="168"/>
    <x v="0"/>
    <x v="0"/>
  </r>
  <r>
    <x v="59"/>
    <x v="0"/>
    <x v="0"/>
  </r>
  <r>
    <x v="14"/>
    <x v="0"/>
    <x v="1"/>
  </r>
  <r>
    <x v="29"/>
    <x v="0"/>
    <x v="0"/>
  </r>
  <r>
    <x v="90"/>
    <x v="1"/>
    <x v="1"/>
  </r>
  <r>
    <x v="8"/>
    <x v="0"/>
    <x v="0"/>
  </r>
  <r>
    <x v="74"/>
    <x v="0"/>
    <x v="1"/>
  </r>
  <r>
    <x v="71"/>
    <x v="0"/>
    <x v="0"/>
  </r>
  <r>
    <x v="83"/>
    <x v="0"/>
    <x v="1"/>
  </r>
  <r>
    <x v="19"/>
    <x v="1"/>
    <x v="0"/>
  </r>
  <r>
    <x v="19"/>
    <x v="0"/>
    <x v="0"/>
  </r>
  <r>
    <x v="65"/>
    <x v="0"/>
    <x v="0"/>
  </r>
  <r>
    <x v="87"/>
    <x v="0"/>
    <x v="0"/>
  </r>
  <r>
    <x v="134"/>
    <x v="1"/>
    <x v="1"/>
  </r>
  <r>
    <x v="34"/>
    <x v="1"/>
    <x v="0"/>
  </r>
  <r>
    <x v="90"/>
    <x v="1"/>
    <x v="1"/>
  </r>
  <r>
    <x v="73"/>
    <x v="1"/>
    <x v="1"/>
  </r>
  <r>
    <x v="59"/>
    <x v="0"/>
    <x v="0"/>
  </r>
  <r>
    <x v="15"/>
    <x v="1"/>
    <x v="0"/>
  </r>
  <r>
    <x v="28"/>
    <x v="1"/>
    <x v="0"/>
  </r>
  <r>
    <x v="86"/>
    <x v="1"/>
    <x v="1"/>
  </r>
  <r>
    <x v="116"/>
    <x v="0"/>
    <x v="0"/>
  </r>
  <r>
    <x v="24"/>
    <x v="0"/>
    <x v="0"/>
  </r>
  <r>
    <x v="27"/>
    <x v="1"/>
    <x v="0"/>
  </r>
  <r>
    <x v="46"/>
    <x v="1"/>
    <x v="0"/>
  </r>
  <r>
    <x v="114"/>
    <x v="1"/>
    <x v="0"/>
  </r>
  <r>
    <x v="80"/>
    <x v="1"/>
    <x v="1"/>
  </r>
  <r>
    <x v="38"/>
    <x v="1"/>
    <x v="0"/>
  </r>
  <r>
    <x v="49"/>
    <x v="0"/>
    <x v="1"/>
  </r>
  <r>
    <x v="7"/>
    <x v="0"/>
    <x v="0"/>
  </r>
  <r>
    <x v="36"/>
    <x v="1"/>
    <x v="0"/>
  </r>
  <r>
    <x v="38"/>
    <x v="1"/>
    <x v="0"/>
  </r>
  <r>
    <x v="10"/>
    <x v="0"/>
    <x v="0"/>
  </r>
  <r>
    <x v="4"/>
    <x v="1"/>
    <x v="0"/>
  </r>
  <r>
    <x v="105"/>
    <x v="0"/>
    <x v="0"/>
  </r>
  <r>
    <x v="169"/>
    <x v="0"/>
    <x v="0"/>
  </r>
  <r>
    <x v="59"/>
    <x v="1"/>
    <x v="0"/>
  </r>
  <r>
    <x v="96"/>
    <x v="1"/>
    <x v="0"/>
  </r>
  <r>
    <x v="30"/>
    <x v="0"/>
    <x v="0"/>
  </r>
  <r>
    <x v="108"/>
    <x v="0"/>
    <x v="0"/>
  </r>
  <r>
    <x v="17"/>
    <x v="0"/>
    <x v="0"/>
  </r>
  <r>
    <x v="100"/>
    <x v="0"/>
    <x v="0"/>
  </r>
  <r>
    <x v="36"/>
    <x v="1"/>
    <x v="0"/>
  </r>
  <r>
    <x v="101"/>
    <x v="1"/>
    <x v="0"/>
  </r>
  <r>
    <x v="49"/>
    <x v="1"/>
    <x v="1"/>
  </r>
  <r>
    <x v="4"/>
    <x v="1"/>
    <x v="0"/>
  </r>
  <r>
    <x v="0"/>
    <x v="0"/>
    <x v="0"/>
  </r>
  <r>
    <x v="94"/>
    <x v="1"/>
    <x v="1"/>
  </r>
  <r>
    <x v="170"/>
    <x v="1"/>
    <x v="0"/>
  </r>
  <r>
    <x v="36"/>
    <x v="0"/>
    <x v="0"/>
  </r>
  <r>
    <x v="77"/>
    <x v="0"/>
    <x v="0"/>
  </r>
  <r>
    <x v="108"/>
    <x v="0"/>
    <x v="0"/>
  </r>
  <r>
    <x v="82"/>
    <x v="1"/>
    <x v="0"/>
  </r>
  <r>
    <x v="4"/>
    <x v="1"/>
    <x v="0"/>
  </r>
  <r>
    <x v="148"/>
    <x v="0"/>
    <x v="0"/>
  </r>
  <r>
    <x v="74"/>
    <x v="0"/>
    <x v="1"/>
  </r>
  <r>
    <x v="75"/>
    <x v="0"/>
    <x v="0"/>
  </r>
  <r>
    <x v="171"/>
    <x v="0"/>
    <x v="0"/>
  </r>
  <r>
    <x v="75"/>
    <x v="1"/>
    <x v="0"/>
  </r>
  <r>
    <x v="135"/>
    <x v="1"/>
    <x v="1"/>
  </r>
  <r>
    <x v="76"/>
    <x v="1"/>
    <x v="0"/>
  </r>
  <r>
    <x v="99"/>
    <x v="0"/>
    <x v="0"/>
  </r>
  <r>
    <x v="46"/>
    <x v="0"/>
    <x v="0"/>
  </r>
  <r>
    <x v="40"/>
    <x v="0"/>
    <x v="0"/>
  </r>
  <r>
    <x v="24"/>
    <x v="1"/>
    <x v="0"/>
  </r>
  <r>
    <x v="4"/>
    <x v="1"/>
    <x v="0"/>
  </r>
  <r>
    <x v="46"/>
    <x v="1"/>
    <x v="0"/>
  </r>
  <r>
    <x v="88"/>
    <x v="1"/>
    <x v="1"/>
  </r>
  <r>
    <x v="77"/>
    <x v="0"/>
    <x v="0"/>
  </r>
  <r>
    <x v="38"/>
    <x v="0"/>
    <x v="0"/>
  </r>
  <r>
    <x v="130"/>
    <x v="1"/>
    <x v="1"/>
  </r>
  <r>
    <x v="61"/>
    <x v="0"/>
    <x v="0"/>
  </r>
  <r>
    <x v="63"/>
    <x v="0"/>
    <x v="0"/>
  </r>
  <r>
    <x v="3"/>
    <x v="0"/>
    <x v="0"/>
  </r>
  <r>
    <x v="10"/>
    <x v="1"/>
    <x v="0"/>
  </r>
  <r>
    <x v="49"/>
    <x v="0"/>
    <x v="1"/>
  </r>
  <r>
    <x v="81"/>
    <x v="0"/>
    <x v="0"/>
  </r>
  <r>
    <x v="142"/>
    <x v="0"/>
    <x v="1"/>
  </r>
  <r>
    <x v="71"/>
    <x v="0"/>
    <x v="0"/>
  </r>
  <r>
    <x v="83"/>
    <x v="1"/>
    <x v="1"/>
  </r>
  <r>
    <x v="106"/>
    <x v="1"/>
    <x v="1"/>
  </r>
  <r>
    <x v="95"/>
    <x v="1"/>
    <x v="1"/>
  </r>
  <r>
    <x v="130"/>
    <x v="1"/>
    <x v="1"/>
  </r>
  <r>
    <x v="46"/>
    <x v="1"/>
    <x v="0"/>
  </r>
  <r>
    <x v="33"/>
    <x v="1"/>
    <x v="0"/>
  </r>
  <r>
    <x v="36"/>
    <x v="0"/>
    <x v="0"/>
  </r>
  <r>
    <x v="105"/>
    <x v="1"/>
    <x v="0"/>
  </r>
  <r>
    <x v="30"/>
    <x v="0"/>
    <x v="0"/>
  </r>
  <r>
    <x v="9"/>
    <x v="0"/>
    <x v="0"/>
  </r>
  <r>
    <x v="94"/>
    <x v="1"/>
    <x v="1"/>
  </r>
  <r>
    <x v="100"/>
    <x v="0"/>
    <x v="0"/>
  </r>
  <r>
    <x v="73"/>
    <x v="1"/>
    <x v="1"/>
  </r>
  <r>
    <x v="29"/>
    <x v="0"/>
    <x v="0"/>
  </r>
  <r>
    <x v="19"/>
    <x v="0"/>
    <x v="0"/>
  </r>
  <r>
    <x v="139"/>
    <x v="1"/>
    <x v="1"/>
  </r>
  <r>
    <x v="28"/>
    <x v="1"/>
    <x v="0"/>
  </r>
  <r>
    <x v="8"/>
    <x v="0"/>
    <x v="0"/>
  </r>
  <r>
    <x v="130"/>
    <x v="1"/>
    <x v="1"/>
  </r>
  <r>
    <x v="40"/>
    <x v="1"/>
    <x v="0"/>
  </r>
  <r>
    <x v="46"/>
    <x v="0"/>
    <x v="0"/>
  </r>
  <r>
    <x v="106"/>
    <x v="0"/>
    <x v="1"/>
  </r>
  <r>
    <x v="28"/>
    <x v="0"/>
    <x v="0"/>
  </r>
  <r>
    <x v="106"/>
    <x v="0"/>
    <x v="1"/>
  </r>
  <r>
    <x v="95"/>
    <x v="1"/>
    <x v="1"/>
  </r>
  <r>
    <x v="3"/>
    <x v="1"/>
    <x v="0"/>
  </r>
  <r>
    <x v="29"/>
    <x v="0"/>
    <x v="0"/>
  </r>
  <r>
    <x v="56"/>
    <x v="0"/>
    <x v="1"/>
  </r>
  <r>
    <x v="3"/>
    <x v="0"/>
    <x v="0"/>
  </r>
  <r>
    <x v="144"/>
    <x v="0"/>
    <x v="0"/>
  </r>
  <r>
    <x v="92"/>
    <x v="0"/>
    <x v="0"/>
  </r>
  <r>
    <x v="59"/>
    <x v="1"/>
    <x v="0"/>
  </r>
  <r>
    <x v="0"/>
    <x v="0"/>
    <x v="0"/>
  </r>
  <r>
    <x v="140"/>
    <x v="0"/>
    <x v="0"/>
  </r>
  <r>
    <x v="142"/>
    <x v="0"/>
    <x v="1"/>
  </r>
  <r>
    <x v="99"/>
    <x v="1"/>
    <x v="0"/>
  </r>
  <r>
    <x v="75"/>
    <x v="0"/>
    <x v="0"/>
  </r>
  <r>
    <x v="82"/>
    <x v="0"/>
    <x v="0"/>
  </r>
  <r>
    <x v="69"/>
    <x v="1"/>
    <x v="0"/>
  </r>
  <r>
    <x v="9"/>
    <x v="0"/>
    <x v="0"/>
  </r>
  <r>
    <x v="83"/>
    <x v="0"/>
    <x v="1"/>
  </r>
  <r>
    <x v="49"/>
    <x v="1"/>
    <x v="1"/>
  </r>
  <r>
    <x v="82"/>
    <x v="0"/>
    <x v="0"/>
  </r>
  <r>
    <x v="56"/>
    <x v="1"/>
    <x v="1"/>
  </r>
  <r>
    <x v="95"/>
    <x v="1"/>
    <x v="1"/>
  </r>
  <r>
    <x v="56"/>
    <x v="0"/>
    <x v="1"/>
  </r>
  <r>
    <x v="137"/>
    <x v="0"/>
    <x v="0"/>
  </r>
  <r>
    <x v="95"/>
    <x v="1"/>
    <x v="1"/>
  </r>
  <r>
    <x v="32"/>
    <x v="0"/>
    <x v="0"/>
  </r>
  <r>
    <x v="114"/>
    <x v="1"/>
    <x v="0"/>
  </r>
  <r>
    <x v="108"/>
    <x v="0"/>
    <x v="0"/>
  </r>
  <r>
    <x v="40"/>
    <x v="1"/>
    <x v="0"/>
  </r>
  <r>
    <x v="114"/>
    <x v="1"/>
    <x v="0"/>
  </r>
  <r>
    <x v="131"/>
    <x v="0"/>
    <x v="1"/>
  </r>
  <r>
    <x v="3"/>
    <x v="0"/>
    <x v="0"/>
  </r>
  <r>
    <x v="77"/>
    <x v="0"/>
    <x v="0"/>
  </r>
  <r>
    <x v="82"/>
    <x v="0"/>
    <x v="0"/>
  </r>
  <r>
    <x v="46"/>
    <x v="1"/>
    <x v="0"/>
  </r>
  <r>
    <x v="69"/>
    <x v="1"/>
    <x v="0"/>
  </r>
  <r>
    <x v="108"/>
    <x v="1"/>
    <x v="0"/>
  </r>
  <r>
    <x v="4"/>
    <x v="1"/>
    <x v="0"/>
  </r>
  <r>
    <x v="147"/>
    <x v="1"/>
    <x v="0"/>
  </r>
  <r>
    <x v="81"/>
    <x v="1"/>
    <x v="0"/>
  </r>
  <r>
    <x v="82"/>
    <x v="1"/>
    <x v="0"/>
  </r>
  <r>
    <x v="94"/>
    <x v="0"/>
    <x v="1"/>
  </r>
  <r>
    <x v="73"/>
    <x v="1"/>
    <x v="1"/>
  </r>
  <r>
    <x v="108"/>
    <x v="1"/>
    <x v="0"/>
  </r>
  <r>
    <x v="0"/>
    <x v="1"/>
    <x v="0"/>
  </r>
  <r>
    <x v="63"/>
    <x v="0"/>
    <x v="0"/>
  </r>
  <r>
    <x v="22"/>
    <x v="0"/>
    <x v="0"/>
  </r>
  <r>
    <x v="42"/>
    <x v="1"/>
    <x v="1"/>
  </r>
  <r>
    <x v="4"/>
    <x v="1"/>
    <x v="0"/>
  </r>
  <r>
    <x v="33"/>
    <x v="1"/>
    <x v="0"/>
  </r>
  <r>
    <x v="1"/>
    <x v="0"/>
    <x v="1"/>
  </r>
  <r>
    <x v="122"/>
    <x v="0"/>
    <x v="0"/>
  </r>
  <r>
    <x v="0"/>
    <x v="1"/>
    <x v="0"/>
  </r>
  <r>
    <x v="142"/>
    <x v="0"/>
    <x v="1"/>
  </r>
  <r>
    <x v="137"/>
    <x v="0"/>
    <x v="0"/>
  </r>
  <r>
    <x v="33"/>
    <x v="0"/>
    <x v="0"/>
  </r>
  <r>
    <x v="56"/>
    <x v="0"/>
    <x v="1"/>
  </r>
  <r>
    <x v="73"/>
    <x v="1"/>
    <x v="1"/>
  </r>
  <r>
    <x v="1"/>
    <x v="0"/>
    <x v="1"/>
  </r>
  <r>
    <x v="50"/>
    <x v="1"/>
    <x v="1"/>
  </r>
  <r>
    <x v="4"/>
    <x v="1"/>
    <x v="0"/>
  </r>
  <r>
    <x v="4"/>
    <x v="1"/>
    <x v="0"/>
  </r>
  <r>
    <x v="4"/>
    <x v="0"/>
    <x v="0"/>
  </r>
  <r>
    <x v="106"/>
    <x v="1"/>
    <x v="1"/>
  </r>
  <r>
    <x v="72"/>
    <x v="1"/>
    <x v="1"/>
  </r>
  <r>
    <x v="82"/>
    <x v="1"/>
    <x v="0"/>
  </r>
  <r>
    <x v="30"/>
    <x v="1"/>
    <x v="0"/>
  </r>
  <r>
    <x v="101"/>
    <x v="1"/>
    <x v="0"/>
  </r>
  <r>
    <x v="106"/>
    <x v="1"/>
    <x v="1"/>
  </r>
  <r>
    <x v="76"/>
    <x v="1"/>
    <x v="0"/>
  </r>
  <r>
    <x v="1"/>
    <x v="1"/>
    <x v="1"/>
  </r>
  <r>
    <x v="24"/>
    <x v="0"/>
    <x v="0"/>
  </r>
  <r>
    <x v="86"/>
    <x v="1"/>
    <x v="1"/>
  </r>
  <r>
    <x v="23"/>
    <x v="0"/>
    <x v="0"/>
  </r>
  <r>
    <x v="86"/>
    <x v="0"/>
    <x v="1"/>
  </r>
  <r>
    <x v="83"/>
    <x v="0"/>
    <x v="1"/>
  </r>
  <r>
    <x v="0"/>
    <x v="0"/>
    <x v="0"/>
  </r>
  <r>
    <x v="38"/>
    <x v="0"/>
    <x v="0"/>
  </r>
  <r>
    <x v="119"/>
    <x v="0"/>
    <x v="1"/>
  </r>
  <r>
    <x v="1"/>
    <x v="0"/>
    <x v="1"/>
  </r>
  <r>
    <x v="56"/>
    <x v="0"/>
    <x v="1"/>
  </r>
  <r>
    <x v="99"/>
    <x v="0"/>
    <x v="0"/>
  </r>
  <r>
    <x v="129"/>
    <x v="0"/>
    <x v="1"/>
  </r>
  <r>
    <x v="95"/>
    <x v="1"/>
    <x v="1"/>
  </r>
  <r>
    <x v="130"/>
    <x v="0"/>
    <x v="1"/>
  </r>
  <r>
    <x v="121"/>
    <x v="0"/>
    <x v="1"/>
  </r>
  <r>
    <x v="73"/>
    <x v="1"/>
    <x v="1"/>
  </r>
  <r>
    <x v="94"/>
    <x v="0"/>
    <x v="1"/>
  </r>
  <r>
    <x v="65"/>
    <x v="0"/>
    <x v="0"/>
  </r>
  <r>
    <x v="93"/>
    <x v="0"/>
    <x v="1"/>
  </r>
  <r>
    <x v="139"/>
    <x v="0"/>
    <x v="1"/>
  </r>
  <r>
    <x v="116"/>
    <x v="0"/>
    <x v="0"/>
  </r>
  <r>
    <x v="49"/>
    <x v="1"/>
    <x v="1"/>
  </r>
  <r>
    <x v="33"/>
    <x v="0"/>
    <x v="0"/>
  </r>
  <r>
    <x v="38"/>
    <x v="0"/>
    <x v="0"/>
  </r>
  <r>
    <x v="35"/>
    <x v="0"/>
    <x v="0"/>
  </r>
  <r>
    <x v="54"/>
    <x v="0"/>
    <x v="0"/>
  </r>
  <r>
    <x v="95"/>
    <x v="1"/>
    <x v="1"/>
  </r>
  <r>
    <x v="8"/>
    <x v="1"/>
    <x v="0"/>
  </r>
  <r>
    <x v="15"/>
    <x v="1"/>
    <x v="0"/>
  </r>
  <r>
    <x v="55"/>
    <x v="1"/>
    <x v="1"/>
  </r>
  <r>
    <x v="4"/>
    <x v="1"/>
    <x v="0"/>
  </r>
  <r>
    <x v="49"/>
    <x v="0"/>
    <x v="1"/>
  </r>
  <r>
    <x v="23"/>
    <x v="1"/>
    <x v="0"/>
  </r>
  <r>
    <x v="73"/>
    <x v="0"/>
    <x v="1"/>
  </r>
  <r>
    <x v="94"/>
    <x v="1"/>
    <x v="1"/>
  </r>
  <r>
    <x v="53"/>
    <x v="1"/>
    <x v="1"/>
  </r>
  <r>
    <x v="83"/>
    <x v="1"/>
    <x v="1"/>
  </r>
  <r>
    <x v="9"/>
    <x v="1"/>
    <x v="0"/>
  </r>
  <r>
    <x v="65"/>
    <x v="1"/>
    <x v="0"/>
  </r>
  <r>
    <x v="30"/>
    <x v="1"/>
    <x v="0"/>
  </r>
  <r>
    <x v="108"/>
    <x v="1"/>
    <x v="0"/>
  </r>
  <r>
    <x v="127"/>
    <x v="0"/>
    <x v="0"/>
  </r>
  <r>
    <x v="94"/>
    <x v="1"/>
    <x v="1"/>
  </r>
  <r>
    <x v="59"/>
    <x v="1"/>
    <x v="0"/>
  </r>
  <r>
    <x v="19"/>
    <x v="1"/>
    <x v="0"/>
  </r>
  <r>
    <x v="87"/>
    <x v="1"/>
    <x v="0"/>
  </r>
  <r>
    <x v="27"/>
    <x v="0"/>
    <x v="0"/>
  </r>
  <r>
    <x v="9"/>
    <x v="1"/>
    <x v="0"/>
  </r>
  <r>
    <x v="19"/>
    <x v="1"/>
    <x v="0"/>
  </r>
  <r>
    <x v="36"/>
    <x v="1"/>
    <x v="0"/>
  </r>
  <r>
    <x v="13"/>
    <x v="1"/>
    <x v="0"/>
  </r>
  <r>
    <x v="95"/>
    <x v="1"/>
    <x v="1"/>
  </r>
  <r>
    <x v="23"/>
    <x v="1"/>
    <x v="0"/>
  </r>
  <r>
    <x v="19"/>
    <x v="1"/>
    <x v="0"/>
  </r>
  <r>
    <x v="30"/>
    <x v="1"/>
    <x v="0"/>
  </r>
  <r>
    <x v="61"/>
    <x v="1"/>
    <x v="0"/>
  </r>
  <r>
    <x v="92"/>
    <x v="0"/>
    <x v="0"/>
  </r>
  <r>
    <x v="31"/>
    <x v="1"/>
    <x v="0"/>
  </r>
  <r>
    <x v="142"/>
    <x v="0"/>
    <x v="1"/>
  </r>
  <r>
    <x v="87"/>
    <x v="0"/>
    <x v="0"/>
  </r>
  <r>
    <x v="82"/>
    <x v="1"/>
    <x v="0"/>
  </r>
  <r>
    <x v="95"/>
    <x v="1"/>
    <x v="1"/>
  </r>
  <r>
    <x v="30"/>
    <x v="0"/>
    <x v="0"/>
  </r>
  <r>
    <x v="36"/>
    <x v="1"/>
    <x v="0"/>
  </r>
  <r>
    <x v="31"/>
    <x v="1"/>
    <x v="0"/>
  </r>
  <r>
    <x v="81"/>
    <x v="1"/>
    <x v="0"/>
  </r>
  <r>
    <x v="76"/>
    <x v="0"/>
    <x v="0"/>
  </r>
  <r>
    <x v="80"/>
    <x v="1"/>
    <x v="1"/>
  </r>
  <r>
    <x v="33"/>
    <x v="1"/>
    <x v="0"/>
  </r>
  <r>
    <x v="15"/>
    <x v="1"/>
    <x v="0"/>
  </r>
  <r>
    <x v="73"/>
    <x v="0"/>
    <x v="1"/>
  </r>
  <r>
    <x v="30"/>
    <x v="1"/>
    <x v="0"/>
  </r>
  <r>
    <x v="15"/>
    <x v="0"/>
    <x v="0"/>
  </r>
  <r>
    <x v="99"/>
    <x v="1"/>
    <x v="0"/>
  </r>
  <r>
    <x v="98"/>
    <x v="1"/>
    <x v="0"/>
  </r>
  <r>
    <x v="15"/>
    <x v="0"/>
    <x v="0"/>
  </r>
  <r>
    <x v="70"/>
    <x v="0"/>
    <x v="0"/>
  </r>
  <r>
    <x v="40"/>
    <x v="1"/>
    <x v="0"/>
  </r>
  <r>
    <x v="10"/>
    <x v="1"/>
    <x v="0"/>
  </r>
  <r>
    <x v="99"/>
    <x v="1"/>
    <x v="0"/>
  </r>
  <r>
    <x v="4"/>
    <x v="1"/>
    <x v="0"/>
  </r>
  <r>
    <x v="95"/>
    <x v="0"/>
    <x v="1"/>
  </r>
  <r>
    <x v="31"/>
    <x v="1"/>
    <x v="0"/>
  </r>
  <r>
    <x v="101"/>
    <x v="1"/>
    <x v="0"/>
  </r>
  <r>
    <x v="14"/>
    <x v="1"/>
    <x v="1"/>
  </r>
  <r>
    <x v="77"/>
    <x v="1"/>
    <x v="0"/>
  </r>
  <r>
    <x v="86"/>
    <x v="1"/>
    <x v="1"/>
  </r>
  <r>
    <x v="107"/>
    <x v="0"/>
    <x v="0"/>
  </r>
  <r>
    <x v="52"/>
    <x v="0"/>
    <x v="0"/>
  </r>
  <r>
    <x v="15"/>
    <x v="1"/>
    <x v="0"/>
  </r>
  <r>
    <x v="75"/>
    <x v="0"/>
    <x v="0"/>
  </r>
  <r>
    <x v="27"/>
    <x v="1"/>
    <x v="0"/>
  </r>
  <r>
    <x v="63"/>
    <x v="1"/>
    <x v="0"/>
  </r>
  <r>
    <x v="108"/>
    <x v="1"/>
    <x v="0"/>
  </r>
  <r>
    <x v="33"/>
    <x v="1"/>
    <x v="0"/>
  </r>
  <r>
    <x v="33"/>
    <x v="1"/>
    <x v="0"/>
  </r>
  <r>
    <x v="81"/>
    <x v="1"/>
    <x v="0"/>
  </r>
  <r>
    <x v="3"/>
    <x v="1"/>
    <x v="0"/>
  </r>
  <r>
    <x v="18"/>
    <x v="1"/>
    <x v="0"/>
  </r>
  <r>
    <x v="172"/>
    <x v="1"/>
    <x v="0"/>
  </r>
  <r>
    <x v="137"/>
    <x v="1"/>
    <x v="0"/>
  </r>
  <r>
    <x v="28"/>
    <x v="1"/>
    <x v="0"/>
  </r>
  <r>
    <x v="1"/>
    <x v="1"/>
    <x v="1"/>
  </r>
  <r>
    <x v="65"/>
    <x v="1"/>
    <x v="0"/>
  </r>
  <r>
    <x v="96"/>
    <x v="1"/>
    <x v="0"/>
  </r>
  <r>
    <x v="113"/>
    <x v="0"/>
    <x v="0"/>
  </r>
  <r>
    <x v="40"/>
    <x v="1"/>
    <x v="0"/>
  </r>
  <r>
    <x v="31"/>
    <x v="1"/>
    <x v="0"/>
  </r>
  <r>
    <x v="116"/>
    <x v="1"/>
    <x v="0"/>
  </r>
  <r>
    <x v="94"/>
    <x v="1"/>
    <x v="1"/>
  </r>
  <r>
    <x v="54"/>
    <x v="1"/>
    <x v="0"/>
  </r>
  <r>
    <x v="85"/>
    <x v="1"/>
    <x v="0"/>
  </r>
  <r>
    <x v="41"/>
    <x v="1"/>
    <x v="0"/>
  </r>
  <r>
    <x v="99"/>
    <x v="1"/>
    <x v="0"/>
  </r>
  <r>
    <x v="77"/>
    <x v="1"/>
    <x v="0"/>
  </r>
  <r>
    <x v="63"/>
    <x v="1"/>
    <x v="0"/>
  </r>
  <r>
    <x v="22"/>
    <x v="0"/>
    <x v="0"/>
  </r>
  <r>
    <x v="40"/>
    <x v="1"/>
    <x v="0"/>
  </r>
  <r>
    <x v="59"/>
    <x v="1"/>
    <x v="0"/>
  </r>
  <r>
    <x v="36"/>
    <x v="1"/>
    <x v="0"/>
  </r>
  <r>
    <x v="135"/>
    <x v="0"/>
    <x v="1"/>
  </r>
  <r>
    <x v="173"/>
    <x v="1"/>
    <x v="0"/>
  </r>
  <r>
    <x v="76"/>
    <x v="1"/>
    <x v="0"/>
  </r>
  <r>
    <x v="20"/>
    <x v="1"/>
    <x v="1"/>
  </r>
  <r>
    <x v="74"/>
    <x v="1"/>
    <x v="1"/>
  </r>
  <r>
    <x v="156"/>
    <x v="0"/>
    <x v="1"/>
  </r>
  <r>
    <x v="69"/>
    <x v="0"/>
    <x v="0"/>
  </r>
  <r>
    <x v="49"/>
    <x v="1"/>
    <x v="1"/>
  </r>
  <r>
    <x v="150"/>
    <x v="0"/>
    <x v="1"/>
  </r>
  <r>
    <x v="121"/>
    <x v="1"/>
    <x v="1"/>
  </r>
  <r>
    <x v="153"/>
    <x v="1"/>
    <x v="1"/>
  </r>
  <r>
    <x v="50"/>
    <x v="0"/>
    <x v="1"/>
  </r>
  <r>
    <x v="62"/>
    <x v="1"/>
    <x v="1"/>
  </r>
  <r>
    <x v="135"/>
    <x v="0"/>
    <x v="1"/>
  </r>
  <r>
    <x v="154"/>
    <x v="1"/>
    <x v="1"/>
  </r>
  <r>
    <x v="42"/>
    <x v="1"/>
    <x v="1"/>
  </r>
  <r>
    <x v="88"/>
    <x v="1"/>
    <x v="1"/>
  </r>
  <r>
    <x v="135"/>
    <x v="0"/>
    <x v="1"/>
  </r>
  <r>
    <x v="128"/>
    <x v="0"/>
    <x v="1"/>
  </r>
  <r>
    <x v="121"/>
    <x v="1"/>
    <x v="1"/>
  </r>
  <r>
    <x v="106"/>
    <x v="1"/>
    <x v="1"/>
  </r>
  <r>
    <x v="145"/>
    <x v="1"/>
    <x v="1"/>
  </r>
  <r>
    <x v="156"/>
    <x v="1"/>
    <x v="1"/>
  </r>
  <r>
    <x v="117"/>
    <x v="1"/>
    <x v="1"/>
  </r>
  <r>
    <x v="72"/>
    <x v="1"/>
    <x v="1"/>
  </r>
  <r>
    <x v="88"/>
    <x v="1"/>
    <x v="1"/>
  </r>
  <r>
    <x v="121"/>
    <x v="1"/>
    <x v="1"/>
  </r>
  <r>
    <x v="93"/>
    <x v="1"/>
    <x v="1"/>
  </r>
  <r>
    <x v="155"/>
    <x v="1"/>
    <x v="1"/>
  </r>
  <r>
    <x v="134"/>
    <x v="1"/>
    <x v="1"/>
  </r>
  <r>
    <x v="121"/>
    <x v="1"/>
    <x v="1"/>
  </r>
  <r>
    <x v="145"/>
    <x v="0"/>
    <x v="1"/>
  </r>
  <r>
    <x v="20"/>
    <x v="1"/>
    <x v="1"/>
  </r>
  <r>
    <x v="14"/>
    <x v="1"/>
    <x v="1"/>
  </r>
  <r>
    <x v="153"/>
    <x v="1"/>
    <x v="1"/>
  </r>
  <r>
    <x v="24"/>
    <x v="1"/>
    <x v="0"/>
  </r>
  <r>
    <x v="139"/>
    <x v="1"/>
    <x v="1"/>
  </r>
  <r>
    <x v="160"/>
    <x v="0"/>
    <x v="1"/>
  </r>
  <r>
    <x v="30"/>
    <x v="1"/>
    <x v="0"/>
  </r>
  <r>
    <x v="152"/>
    <x v="1"/>
    <x v="1"/>
  </r>
  <r>
    <x v="139"/>
    <x v="0"/>
    <x v="1"/>
  </r>
  <r>
    <x v="139"/>
    <x v="1"/>
    <x v="1"/>
  </r>
  <r>
    <x v="93"/>
    <x v="1"/>
    <x v="1"/>
  </r>
  <r>
    <x v="160"/>
    <x v="1"/>
    <x v="1"/>
  </r>
  <r>
    <x v="93"/>
    <x v="1"/>
    <x v="1"/>
  </r>
  <r>
    <x v="117"/>
    <x v="1"/>
    <x v="1"/>
  </r>
  <r>
    <x v="82"/>
    <x v="0"/>
    <x v="0"/>
  </r>
  <r>
    <x v="131"/>
    <x v="1"/>
    <x v="1"/>
  </r>
  <r>
    <x v="156"/>
    <x v="1"/>
    <x v="1"/>
  </r>
  <r>
    <x v="131"/>
    <x v="1"/>
    <x v="1"/>
  </r>
  <r>
    <x v="4"/>
    <x v="1"/>
    <x v="0"/>
  </r>
  <r>
    <x v="129"/>
    <x v="1"/>
    <x v="1"/>
  </r>
  <r>
    <x v="142"/>
    <x v="1"/>
    <x v="1"/>
  </r>
  <r>
    <x v="117"/>
    <x v="1"/>
    <x v="1"/>
  </r>
  <r>
    <x v="128"/>
    <x v="1"/>
    <x v="1"/>
  </r>
  <r>
    <x v="83"/>
    <x v="1"/>
    <x v="1"/>
  </r>
  <r>
    <x v="132"/>
    <x v="1"/>
    <x v="1"/>
  </r>
  <r>
    <x v="120"/>
    <x v="1"/>
    <x v="1"/>
  </r>
  <r>
    <x v="89"/>
    <x v="1"/>
    <x v="1"/>
  </r>
  <r>
    <x v="53"/>
    <x v="1"/>
    <x v="1"/>
  </r>
  <r>
    <x v="135"/>
    <x v="0"/>
    <x v="1"/>
  </r>
  <r>
    <x v="72"/>
    <x v="1"/>
    <x v="1"/>
  </r>
  <r>
    <x v="119"/>
    <x v="0"/>
    <x v="1"/>
  </r>
  <r>
    <x v="120"/>
    <x v="1"/>
    <x v="1"/>
  </r>
  <r>
    <x v="14"/>
    <x v="1"/>
    <x v="1"/>
  </r>
  <r>
    <x v="156"/>
    <x v="1"/>
    <x v="1"/>
  </r>
  <r>
    <x v="128"/>
    <x v="1"/>
    <x v="1"/>
  </r>
  <r>
    <x v="145"/>
    <x v="1"/>
    <x v="1"/>
  </r>
  <r>
    <x v="126"/>
    <x v="1"/>
    <x v="1"/>
  </r>
  <r>
    <x v="152"/>
    <x v="1"/>
    <x v="1"/>
  </r>
  <r>
    <x v="165"/>
    <x v="1"/>
    <x v="1"/>
  </r>
  <r>
    <x v="83"/>
    <x v="1"/>
    <x v="1"/>
  </r>
  <r>
    <x v="119"/>
    <x v="1"/>
    <x v="1"/>
  </r>
  <r>
    <x v="55"/>
    <x v="1"/>
    <x v="1"/>
  </r>
  <r>
    <x v="42"/>
    <x v="1"/>
    <x v="1"/>
  </r>
  <r>
    <x v="145"/>
    <x v="1"/>
    <x v="1"/>
  </r>
  <r>
    <x v="121"/>
    <x v="1"/>
    <x v="1"/>
  </r>
  <r>
    <x v="161"/>
    <x v="0"/>
    <x v="1"/>
  </r>
  <r>
    <x v="151"/>
    <x v="1"/>
    <x v="1"/>
  </r>
  <r>
    <x v="132"/>
    <x v="1"/>
    <x v="1"/>
  </r>
  <r>
    <x v="47"/>
    <x v="1"/>
    <x v="1"/>
  </r>
  <r>
    <x v="155"/>
    <x v="1"/>
    <x v="1"/>
  </r>
  <r>
    <x v="55"/>
    <x v="1"/>
    <x v="1"/>
  </r>
  <r>
    <x v="119"/>
    <x v="1"/>
    <x v="1"/>
  </r>
  <r>
    <x v="139"/>
    <x v="1"/>
    <x v="1"/>
  </r>
  <r>
    <x v="47"/>
    <x v="1"/>
    <x v="1"/>
  </r>
  <r>
    <x v="124"/>
    <x v="1"/>
    <x v="1"/>
  </r>
  <r>
    <x v="74"/>
    <x v="1"/>
    <x v="1"/>
  </r>
  <r>
    <x v="55"/>
    <x v="1"/>
    <x v="1"/>
  </r>
  <r>
    <x v="157"/>
    <x v="1"/>
    <x v="1"/>
  </r>
  <r>
    <x v="70"/>
    <x v="0"/>
    <x v="0"/>
  </r>
  <r>
    <x v="15"/>
    <x v="1"/>
    <x v="0"/>
  </r>
  <r>
    <x v="103"/>
    <x v="1"/>
    <x v="0"/>
  </r>
  <r>
    <x v="100"/>
    <x v="0"/>
    <x v="0"/>
  </r>
  <r>
    <x v="174"/>
    <x v="1"/>
    <x v="0"/>
  </r>
  <r>
    <x v="175"/>
    <x v="0"/>
    <x v="0"/>
  </r>
  <r>
    <x v="28"/>
    <x v="1"/>
    <x v="0"/>
  </r>
  <r>
    <x v="137"/>
    <x v="0"/>
    <x v="0"/>
  </r>
  <r>
    <x v="108"/>
    <x v="1"/>
    <x v="0"/>
  </r>
  <r>
    <x v="85"/>
    <x v="0"/>
    <x v="0"/>
  </r>
  <r>
    <x v="176"/>
    <x v="0"/>
    <x v="0"/>
  </r>
  <r>
    <x v="92"/>
    <x v="0"/>
    <x v="0"/>
  </r>
  <r>
    <x v="109"/>
    <x v="1"/>
    <x v="0"/>
  </r>
  <r>
    <x v="177"/>
    <x v="0"/>
    <x v="0"/>
  </r>
  <r>
    <x v="79"/>
    <x v="1"/>
    <x v="0"/>
  </r>
  <r>
    <x v="113"/>
    <x v="1"/>
    <x v="0"/>
  </r>
  <r>
    <x v="0"/>
    <x v="1"/>
    <x v="0"/>
  </r>
  <r>
    <x v="54"/>
    <x v="0"/>
    <x v="0"/>
  </r>
  <r>
    <x v="8"/>
    <x v="0"/>
    <x v="0"/>
  </r>
  <r>
    <x v="15"/>
    <x v="1"/>
    <x v="0"/>
  </r>
  <r>
    <x v="100"/>
    <x v="0"/>
    <x v="0"/>
  </r>
  <r>
    <x v="13"/>
    <x v="1"/>
    <x v="0"/>
  </r>
  <r>
    <x v="28"/>
    <x v="1"/>
    <x v="0"/>
  </r>
  <r>
    <x v="19"/>
    <x v="0"/>
    <x v="0"/>
  </r>
  <r>
    <x v="40"/>
    <x v="0"/>
    <x v="0"/>
  </r>
  <r>
    <x v="140"/>
    <x v="0"/>
    <x v="0"/>
  </r>
  <r>
    <x v="178"/>
    <x v="0"/>
    <x v="0"/>
  </r>
  <r>
    <x v="107"/>
    <x v="1"/>
    <x v="0"/>
  </r>
  <r>
    <x v="59"/>
    <x v="1"/>
    <x v="0"/>
  </r>
  <r>
    <x v="10"/>
    <x v="0"/>
    <x v="0"/>
  </r>
  <r>
    <x v="9"/>
    <x v="0"/>
    <x v="0"/>
  </r>
  <r>
    <x v="168"/>
    <x v="0"/>
    <x v="0"/>
  </r>
  <r>
    <x v="112"/>
    <x v="1"/>
    <x v="0"/>
  </r>
  <r>
    <x v="135"/>
    <x v="0"/>
    <x v="1"/>
  </r>
  <r>
    <x v="28"/>
    <x v="0"/>
    <x v="0"/>
  </r>
  <r>
    <x v="36"/>
    <x v="0"/>
    <x v="0"/>
  </r>
  <r>
    <x v="33"/>
    <x v="0"/>
    <x v="0"/>
  </r>
  <r>
    <x v="46"/>
    <x v="0"/>
    <x v="0"/>
  </r>
  <r>
    <x v="127"/>
    <x v="1"/>
    <x v="0"/>
  </r>
  <r>
    <x v="101"/>
    <x v="0"/>
    <x v="0"/>
  </r>
  <r>
    <x v="30"/>
    <x v="1"/>
    <x v="0"/>
  </r>
  <r>
    <x v="179"/>
    <x v="0"/>
    <x v="0"/>
  </r>
  <r>
    <x v="1"/>
    <x v="1"/>
    <x v="1"/>
  </r>
  <r>
    <x v="100"/>
    <x v="0"/>
    <x v="0"/>
  </r>
  <r>
    <x v="50"/>
    <x v="0"/>
    <x v="1"/>
  </r>
  <r>
    <x v="99"/>
    <x v="1"/>
    <x v="0"/>
  </r>
  <r>
    <x v="36"/>
    <x v="1"/>
    <x v="0"/>
  </r>
  <r>
    <x v="6"/>
    <x v="1"/>
    <x v="0"/>
  </r>
  <r>
    <x v="33"/>
    <x v="0"/>
    <x v="0"/>
  </r>
  <r>
    <x v="24"/>
    <x v="0"/>
    <x v="0"/>
  </r>
  <r>
    <x v="69"/>
    <x v="0"/>
    <x v="0"/>
  </r>
  <r>
    <x v="170"/>
    <x v="1"/>
    <x v="0"/>
  </r>
  <r>
    <x v="26"/>
    <x v="0"/>
    <x v="0"/>
  </r>
  <r>
    <x v="40"/>
    <x v="0"/>
    <x v="0"/>
  </r>
  <r>
    <x v="98"/>
    <x v="0"/>
    <x v="0"/>
  </r>
  <r>
    <x v="112"/>
    <x v="0"/>
    <x v="0"/>
  </r>
  <r>
    <x v="76"/>
    <x v="1"/>
    <x v="0"/>
  </r>
  <r>
    <x v="80"/>
    <x v="1"/>
    <x v="1"/>
  </r>
  <r>
    <x v="29"/>
    <x v="1"/>
    <x v="0"/>
  </r>
  <r>
    <x v="180"/>
    <x v="0"/>
    <x v="0"/>
  </r>
  <r>
    <x v="50"/>
    <x v="0"/>
    <x v="1"/>
  </r>
  <r>
    <x v="54"/>
    <x v="1"/>
    <x v="0"/>
  </r>
  <r>
    <x v="181"/>
    <x v="0"/>
    <x v="0"/>
  </r>
  <r>
    <x v="6"/>
    <x v="1"/>
    <x v="0"/>
  </r>
  <r>
    <x v="139"/>
    <x v="1"/>
    <x v="1"/>
  </r>
  <r>
    <x v="19"/>
    <x v="0"/>
    <x v="0"/>
  </r>
  <r>
    <x v="182"/>
    <x v="0"/>
    <x v="0"/>
  </r>
  <r>
    <x v="170"/>
    <x v="0"/>
    <x v="0"/>
  </r>
  <r>
    <x v="23"/>
    <x v="1"/>
    <x v="0"/>
  </r>
  <r>
    <x v="108"/>
    <x v="1"/>
    <x v="0"/>
  </r>
  <r>
    <x v="101"/>
    <x v="1"/>
    <x v="0"/>
  </r>
  <r>
    <x v="96"/>
    <x v="1"/>
    <x v="0"/>
  </r>
  <r>
    <x v="63"/>
    <x v="1"/>
    <x v="0"/>
  </r>
  <r>
    <x v="41"/>
    <x v="0"/>
    <x v="0"/>
  </r>
  <r>
    <x v="114"/>
    <x v="0"/>
    <x v="0"/>
  </r>
  <r>
    <x v="183"/>
    <x v="0"/>
    <x v="0"/>
  </r>
  <r>
    <x v="13"/>
    <x v="1"/>
    <x v="0"/>
  </r>
  <r>
    <x v="18"/>
    <x v="0"/>
    <x v="0"/>
  </r>
  <r>
    <x v="19"/>
    <x v="0"/>
    <x v="0"/>
  </r>
  <r>
    <x v="7"/>
    <x v="0"/>
    <x v="0"/>
  </r>
  <r>
    <x v="106"/>
    <x v="0"/>
    <x v="1"/>
  </r>
  <r>
    <x v="68"/>
    <x v="0"/>
    <x v="0"/>
  </r>
  <r>
    <x v="9"/>
    <x v="0"/>
    <x v="0"/>
  </r>
  <r>
    <x v="145"/>
    <x v="0"/>
    <x v="1"/>
  </r>
  <r>
    <x v="88"/>
    <x v="0"/>
    <x v="1"/>
  </r>
  <r>
    <x v="38"/>
    <x v="0"/>
    <x v="0"/>
  </r>
  <r>
    <x v="34"/>
    <x v="1"/>
    <x v="0"/>
  </r>
  <r>
    <x v="142"/>
    <x v="1"/>
    <x v="1"/>
  </r>
  <r>
    <x v="80"/>
    <x v="1"/>
    <x v="1"/>
  </r>
  <r>
    <x v="29"/>
    <x v="1"/>
    <x v="0"/>
  </r>
  <r>
    <x v="128"/>
    <x v="1"/>
    <x v="1"/>
  </r>
  <r>
    <x v="145"/>
    <x v="0"/>
    <x v="1"/>
  </r>
  <r>
    <x v="1"/>
    <x v="1"/>
    <x v="1"/>
  </r>
  <r>
    <x v="13"/>
    <x v="1"/>
    <x v="0"/>
  </r>
  <r>
    <x v="55"/>
    <x v="0"/>
    <x v="1"/>
  </r>
  <r>
    <x v="132"/>
    <x v="0"/>
    <x v="1"/>
  </r>
  <r>
    <x v="10"/>
    <x v="1"/>
    <x v="0"/>
  </r>
  <r>
    <x v="56"/>
    <x v="1"/>
    <x v="1"/>
  </r>
  <r>
    <x v="8"/>
    <x v="1"/>
    <x v="0"/>
  </r>
  <r>
    <x v="19"/>
    <x v="1"/>
    <x v="0"/>
  </r>
  <r>
    <x v="49"/>
    <x v="1"/>
    <x v="1"/>
  </r>
  <r>
    <x v="101"/>
    <x v="0"/>
    <x v="0"/>
  </r>
  <r>
    <x v="62"/>
    <x v="1"/>
    <x v="1"/>
  </r>
  <r>
    <x v="130"/>
    <x v="1"/>
    <x v="1"/>
  </r>
  <r>
    <x v="117"/>
    <x v="1"/>
    <x v="1"/>
  </r>
  <r>
    <x v="94"/>
    <x v="1"/>
    <x v="1"/>
  </r>
  <r>
    <x v="129"/>
    <x v="1"/>
    <x v="1"/>
  </r>
  <r>
    <x v="121"/>
    <x v="0"/>
    <x v="1"/>
  </r>
  <r>
    <x v="106"/>
    <x v="1"/>
    <x v="1"/>
  </r>
  <r>
    <x v="103"/>
    <x v="1"/>
    <x v="0"/>
  </r>
  <r>
    <x v="9"/>
    <x v="1"/>
    <x v="0"/>
  </r>
  <r>
    <x v="31"/>
    <x v="1"/>
    <x v="0"/>
  </r>
  <r>
    <x v="106"/>
    <x v="0"/>
    <x v="1"/>
  </r>
  <r>
    <x v="90"/>
    <x v="1"/>
    <x v="1"/>
  </r>
  <r>
    <x v="82"/>
    <x v="1"/>
    <x v="0"/>
  </r>
  <r>
    <x v="15"/>
    <x v="1"/>
    <x v="0"/>
  </r>
  <r>
    <x v="27"/>
    <x v="0"/>
    <x v="0"/>
  </r>
  <r>
    <x v="73"/>
    <x v="1"/>
    <x v="1"/>
  </r>
  <r>
    <x v="94"/>
    <x v="1"/>
    <x v="1"/>
  </r>
  <r>
    <x v="56"/>
    <x v="0"/>
    <x v="1"/>
  </r>
  <r>
    <x v="90"/>
    <x v="1"/>
    <x v="1"/>
  </r>
  <r>
    <x v="117"/>
    <x v="0"/>
    <x v="1"/>
  </r>
  <r>
    <x v="129"/>
    <x v="0"/>
    <x v="1"/>
  </r>
  <r>
    <x v="135"/>
    <x v="1"/>
    <x v="1"/>
  </r>
  <r>
    <x v="100"/>
    <x v="0"/>
    <x v="0"/>
  </r>
  <r>
    <x v="55"/>
    <x v="1"/>
    <x v="1"/>
  </r>
  <r>
    <x v="56"/>
    <x v="0"/>
    <x v="1"/>
  </r>
  <r>
    <x v="3"/>
    <x v="1"/>
    <x v="0"/>
  </r>
  <r>
    <x v="34"/>
    <x v="0"/>
    <x v="0"/>
  </r>
  <r>
    <x v="0"/>
    <x v="1"/>
    <x v="0"/>
  </r>
  <r>
    <x v="134"/>
    <x v="1"/>
    <x v="1"/>
  </r>
  <r>
    <x v="3"/>
    <x v="1"/>
    <x v="0"/>
  </r>
  <r>
    <x v="114"/>
    <x v="0"/>
    <x v="0"/>
  </r>
  <r>
    <x v="135"/>
    <x v="1"/>
    <x v="1"/>
  </r>
  <r>
    <x v="38"/>
    <x v="1"/>
    <x v="0"/>
  </r>
  <r>
    <x v="83"/>
    <x v="1"/>
    <x v="1"/>
  </r>
  <r>
    <x v="95"/>
    <x v="1"/>
    <x v="1"/>
  </r>
  <r>
    <x v="126"/>
    <x v="1"/>
    <x v="1"/>
  </r>
  <r>
    <x v="76"/>
    <x v="1"/>
    <x v="0"/>
  </r>
  <r>
    <x v="117"/>
    <x v="1"/>
    <x v="1"/>
  </r>
  <r>
    <x v="132"/>
    <x v="0"/>
    <x v="1"/>
  </r>
  <r>
    <x v="65"/>
    <x v="1"/>
    <x v="0"/>
  </r>
  <r>
    <x v="65"/>
    <x v="0"/>
    <x v="0"/>
  </r>
  <r>
    <x v="29"/>
    <x v="0"/>
    <x v="0"/>
  </r>
  <r>
    <x v="23"/>
    <x v="1"/>
    <x v="0"/>
  </r>
  <r>
    <x v="73"/>
    <x v="1"/>
    <x v="1"/>
  </r>
  <r>
    <x v="119"/>
    <x v="0"/>
    <x v="1"/>
  </r>
  <r>
    <x v="27"/>
    <x v="1"/>
    <x v="0"/>
  </r>
  <r>
    <x v="108"/>
    <x v="0"/>
    <x v="0"/>
  </r>
  <r>
    <x v="49"/>
    <x v="0"/>
    <x v="1"/>
  </r>
  <r>
    <x v="86"/>
    <x v="1"/>
    <x v="1"/>
  </r>
  <r>
    <x v="13"/>
    <x v="1"/>
    <x v="0"/>
  </r>
  <r>
    <x v="92"/>
    <x v="1"/>
    <x v="0"/>
  </r>
  <r>
    <x v="38"/>
    <x v="1"/>
    <x v="0"/>
  </r>
  <r>
    <x v="94"/>
    <x v="1"/>
    <x v="1"/>
  </r>
  <r>
    <x v="73"/>
    <x v="0"/>
    <x v="1"/>
  </r>
  <r>
    <x v="14"/>
    <x v="0"/>
    <x v="1"/>
  </r>
  <r>
    <x v="47"/>
    <x v="0"/>
    <x v="1"/>
  </r>
  <r>
    <x v="100"/>
    <x v="1"/>
    <x v="0"/>
  </r>
  <r>
    <x v="18"/>
    <x v="1"/>
    <x v="0"/>
  </r>
  <r>
    <x v="72"/>
    <x v="1"/>
    <x v="1"/>
  </r>
  <r>
    <x v="130"/>
    <x v="1"/>
    <x v="1"/>
  </r>
  <r>
    <x v="95"/>
    <x v="0"/>
    <x v="1"/>
  </r>
  <r>
    <x v="142"/>
    <x v="1"/>
    <x v="1"/>
  </r>
  <r>
    <x v="126"/>
    <x v="1"/>
    <x v="1"/>
  </r>
  <r>
    <x v="76"/>
    <x v="1"/>
    <x v="0"/>
  </r>
  <r>
    <x v="103"/>
    <x v="0"/>
    <x v="0"/>
  </r>
  <r>
    <x v="160"/>
    <x v="1"/>
    <x v="1"/>
  </r>
  <r>
    <x v="74"/>
    <x v="1"/>
    <x v="1"/>
  </r>
  <r>
    <x v="8"/>
    <x v="1"/>
    <x v="0"/>
  </r>
  <r>
    <x v="116"/>
    <x v="1"/>
    <x v="0"/>
  </r>
  <r>
    <x v="41"/>
    <x v="0"/>
    <x v="0"/>
  </r>
  <r>
    <x v="28"/>
    <x v="0"/>
    <x v="0"/>
  </r>
  <r>
    <x v="132"/>
    <x v="1"/>
    <x v="1"/>
  </r>
  <r>
    <x v="59"/>
    <x v="0"/>
    <x v="0"/>
  </r>
  <r>
    <x v="50"/>
    <x v="1"/>
    <x v="1"/>
  </r>
  <r>
    <x v="3"/>
    <x v="0"/>
    <x v="0"/>
  </r>
  <r>
    <x v="135"/>
    <x v="1"/>
    <x v="1"/>
  </r>
  <r>
    <x v="42"/>
    <x v="0"/>
    <x v="1"/>
  </r>
  <r>
    <x v="135"/>
    <x v="0"/>
    <x v="1"/>
  </r>
  <r>
    <x v="128"/>
    <x v="1"/>
    <x v="1"/>
  </r>
  <r>
    <x v="90"/>
    <x v="1"/>
    <x v="1"/>
  </r>
  <r>
    <x v="82"/>
    <x v="0"/>
    <x v="0"/>
  </r>
  <r>
    <x v="129"/>
    <x v="1"/>
    <x v="1"/>
  </r>
  <r>
    <x v="10"/>
    <x v="1"/>
    <x v="0"/>
  </r>
  <r>
    <x v="127"/>
    <x v="1"/>
    <x v="0"/>
  </r>
  <r>
    <x v="134"/>
    <x v="1"/>
    <x v="1"/>
  </r>
  <r>
    <x v="15"/>
    <x v="1"/>
    <x v="0"/>
  </r>
  <r>
    <x v="27"/>
    <x v="0"/>
    <x v="0"/>
  </r>
  <r>
    <x v="50"/>
    <x v="1"/>
    <x v="1"/>
  </r>
  <r>
    <x v="8"/>
    <x v="1"/>
    <x v="0"/>
  </r>
  <r>
    <x v="108"/>
    <x v="1"/>
    <x v="0"/>
  </r>
  <r>
    <x v="76"/>
    <x v="1"/>
    <x v="0"/>
  </r>
  <r>
    <x v="56"/>
    <x v="1"/>
    <x v="1"/>
  </r>
  <r>
    <x v="88"/>
    <x v="1"/>
    <x v="1"/>
  </r>
  <r>
    <x v="13"/>
    <x v="1"/>
    <x v="0"/>
  </r>
  <r>
    <x v="96"/>
    <x v="1"/>
    <x v="0"/>
  </r>
  <r>
    <x v="142"/>
    <x v="0"/>
    <x v="1"/>
  </r>
  <r>
    <x v="184"/>
    <x v="0"/>
    <x v="0"/>
  </r>
  <r>
    <x v="110"/>
    <x v="0"/>
    <x v="0"/>
  </r>
  <r>
    <x v="117"/>
    <x v="0"/>
    <x v="1"/>
  </r>
  <r>
    <x v="151"/>
    <x v="1"/>
    <x v="1"/>
  </r>
  <r>
    <x v="51"/>
    <x v="1"/>
    <x v="1"/>
  </r>
  <r>
    <x v="132"/>
    <x v="0"/>
    <x v="1"/>
  </r>
  <r>
    <x v="88"/>
    <x v="0"/>
    <x v="1"/>
  </r>
  <r>
    <x v="62"/>
    <x v="0"/>
    <x v="1"/>
  </r>
  <r>
    <x v="154"/>
    <x v="0"/>
    <x v="1"/>
  </r>
  <r>
    <x v="124"/>
    <x v="1"/>
    <x v="1"/>
  </r>
  <r>
    <x v="151"/>
    <x v="0"/>
    <x v="1"/>
  </r>
  <r>
    <x v="150"/>
    <x v="0"/>
    <x v="1"/>
  </r>
  <r>
    <x v="161"/>
    <x v="0"/>
    <x v="1"/>
  </r>
  <r>
    <x v="95"/>
    <x v="1"/>
    <x v="1"/>
  </r>
  <r>
    <x v="56"/>
    <x v="0"/>
    <x v="1"/>
  </r>
  <r>
    <x v="185"/>
    <x v="0"/>
    <x v="1"/>
  </r>
  <r>
    <x v="147"/>
    <x v="0"/>
    <x v="0"/>
  </r>
  <r>
    <x v="156"/>
    <x v="0"/>
    <x v="1"/>
  </r>
  <r>
    <x v="73"/>
    <x v="0"/>
    <x v="1"/>
  </r>
  <r>
    <x v="128"/>
    <x v="0"/>
    <x v="1"/>
  </r>
  <r>
    <x v="80"/>
    <x v="0"/>
    <x v="1"/>
  </r>
  <r>
    <x v="151"/>
    <x v="0"/>
    <x v="1"/>
  </r>
  <r>
    <x v="35"/>
    <x v="0"/>
    <x v="0"/>
  </r>
  <r>
    <x v="121"/>
    <x v="0"/>
    <x v="1"/>
  </r>
  <r>
    <x v="117"/>
    <x v="0"/>
    <x v="1"/>
  </r>
  <r>
    <x v="54"/>
    <x v="0"/>
    <x v="0"/>
  </r>
  <r>
    <x v="186"/>
    <x v="0"/>
    <x v="1"/>
  </r>
  <r>
    <x v="139"/>
    <x v="0"/>
    <x v="1"/>
  </r>
  <r>
    <x v="151"/>
    <x v="0"/>
    <x v="1"/>
  </r>
  <r>
    <x v="71"/>
    <x v="1"/>
    <x v="0"/>
  </r>
  <r>
    <x v="116"/>
    <x v="0"/>
    <x v="0"/>
  </r>
  <r>
    <x v="119"/>
    <x v="1"/>
    <x v="1"/>
  </r>
  <r>
    <x v="50"/>
    <x v="1"/>
    <x v="1"/>
  </r>
  <r>
    <x v="80"/>
    <x v="0"/>
    <x v="1"/>
  </r>
  <r>
    <x v="56"/>
    <x v="0"/>
    <x v="1"/>
  </r>
  <r>
    <x v="134"/>
    <x v="0"/>
    <x v="1"/>
  </r>
  <r>
    <x v="117"/>
    <x v="0"/>
    <x v="1"/>
  </r>
  <r>
    <x v="187"/>
    <x v="0"/>
    <x v="1"/>
  </r>
  <r>
    <x v="27"/>
    <x v="0"/>
    <x v="0"/>
  </r>
  <r>
    <x v="116"/>
    <x v="1"/>
    <x v="0"/>
  </r>
  <r>
    <x v="133"/>
    <x v="1"/>
    <x v="1"/>
  </r>
  <r>
    <x v="90"/>
    <x v="0"/>
    <x v="1"/>
  </r>
  <r>
    <x v="69"/>
    <x v="0"/>
    <x v="0"/>
  </r>
  <r>
    <x v="59"/>
    <x v="0"/>
    <x v="0"/>
  </r>
  <r>
    <x v="165"/>
    <x v="0"/>
    <x v="1"/>
  </r>
  <r>
    <x v="95"/>
    <x v="0"/>
    <x v="1"/>
  </r>
  <r>
    <x v="155"/>
    <x v="1"/>
    <x v="1"/>
  </r>
  <r>
    <x v="188"/>
    <x v="0"/>
    <x v="1"/>
  </r>
  <r>
    <x v="132"/>
    <x v="0"/>
    <x v="1"/>
  </r>
  <r>
    <x v="161"/>
    <x v="0"/>
    <x v="1"/>
  </r>
  <r>
    <x v="186"/>
    <x v="1"/>
    <x v="1"/>
  </r>
  <r>
    <x v="154"/>
    <x v="0"/>
    <x v="1"/>
  </r>
  <r>
    <x v="157"/>
    <x v="1"/>
    <x v="1"/>
  </r>
  <r>
    <x v="53"/>
    <x v="0"/>
    <x v="1"/>
  </r>
  <r>
    <x v="120"/>
    <x v="1"/>
    <x v="1"/>
  </r>
  <r>
    <x v="42"/>
    <x v="1"/>
    <x v="1"/>
  </r>
  <r>
    <x v="125"/>
    <x v="1"/>
    <x v="1"/>
  </r>
  <r>
    <x v="128"/>
    <x v="0"/>
    <x v="1"/>
  </r>
  <r>
    <x v="50"/>
    <x v="0"/>
    <x v="1"/>
  </r>
  <r>
    <x v="189"/>
    <x v="0"/>
    <x v="1"/>
  </r>
  <r>
    <x v="166"/>
    <x v="1"/>
    <x v="1"/>
  </r>
  <r>
    <x v="151"/>
    <x v="1"/>
    <x v="1"/>
  </r>
  <r>
    <x v="190"/>
    <x v="1"/>
    <x v="1"/>
  </r>
  <r>
    <x v="189"/>
    <x v="0"/>
    <x v="1"/>
  </r>
  <r>
    <x v="156"/>
    <x v="1"/>
    <x v="1"/>
  </r>
  <r>
    <x v="150"/>
    <x v="1"/>
    <x v="1"/>
  </r>
  <r>
    <x v="72"/>
    <x v="1"/>
    <x v="1"/>
  </r>
  <r>
    <x v="62"/>
    <x v="0"/>
    <x v="1"/>
  </r>
  <r>
    <x v="187"/>
    <x v="1"/>
    <x v="1"/>
  </r>
  <r>
    <x v="189"/>
    <x v="1"/>
    <x v="1"/>
  </r>
  <r>
    <x v="154"/>
    <x v="0"/>
    <x v="1"/>
  </r>
  <r>
    <x v="125"/>
    <x v="1"/>
    <x v="1"/>
  </r>
  <r>
    <x v="160"/>
    <x v="1"/>
    <x v="1"/>
  </r>
  <r>
    <x v="130"/>
    <x v="1"/>
    <x v="1"/>
  </r>
  <r>
    <x v="150"/>
    <x v="1"/>
    <x v="1"/>
  </r>
  <r>
    <x v="51"/>
    <x v="1"/>
    <x v="1"/>
  </r>
  <r>
    <x v="135"/>
    <x v="1"/>
    <x v="1"/>
  </r>
  <r>
    <x v="154"/>
    <x v="0"/>
    <x v="1"/>
  </r>
  <r>
    <x v="139"/>
    <x v="1"/>
    <x v="1"/>
  </r>
  <r>
    <x v="88"/>
    <x v="0"/>
    <x v="1"/>
  </r>
  <r>
    <x v="117"/>
    <x v="0"/>
    <x v="1"/>
  </r>
  <r>
    <x v="132"/>
    <x v="1"/>
    <x v="1"/>
  </r>
  <r>
    <x v="106"/>
    <x v="1"/>
    <x v="1"/>
  </r>
  <r>
    <x v="128"/>
    <x v="0"/>
    <x v="1"/>
  </r>
  <r>
    <x v="157"/>
    <x v="0"/>
    <x v="1"/>
  </r>
  <r>
    <x v="156"/>
    <x v="0"/>
    <x v="1"/>
  </r>
  <r>
    <x v="159"/>
    <x v="0"/>
    <x v="1"/>
  </r>
  <r>
    <x v="157"/>
    <x v="0"/>
    <x v="1"/>
  </r>
  <r>
    <x v="88"/>
    <x v="1"/>
    <x v="1"/>
  </r>
  <r>
    <x v="161"/>
    <x v="0"/>
    <x v="1"/>
  </r>
  <r>
    <x v="156"/>
    <x v="0"/>
    <x v="1"/>
  </r>
  <r>
    <x v="132"/>
    <x v="0"/>
    <x v="1"/>
  </r>
  <r>
    <x v="156"/>
    <x v="1"/>
    <x v="1"/>
  </r>
  <r>
    <x v="162"/>
    <x v="1"/>
    <x v="1"/>
  </r>
  <r>
    <x v="134"/>
    <x v="1"/>
    <x v="1"/>
  </r>
  <r>
    <x v="133"/>
    <x v="1"/>
    <x v="1"/>
  </r>
  <r>
    <x v="164"/>
    <x v="1"/>
    <x v="1"/>
  </r>
  <r>
    <x v="158"/>
    <x v="0"/>
    <x v="1"/>
  </r>
  <r>
    <x v="53"/>
    <x v="0"/>
    <x v="1"/>
  </r>
  <r>
    <x v="188"/>
    <x v="1"/>
    <x v="1"/>
  </r>
  <r>
    <x v="47"/>
    <x v="0"/>
    <x v="1"/>
  </r>
  <r>
    <x v="128"/>
    <x v="1"/>
    <x v="1"/>
  </r>
  <r>
    <x v="128"/>
    <x v="1"/>
    <x v="1"/>
  </r>
  <r>
    <x v="155"/>
    <x v="0"/>
    <x v="1"/>
  </r>
  <r>
    <x v="62"/>
    <x v="1"/>
    <x v="1"/>
  </r>
  <r>
    <x v="160"/>
    <x v="1"/>
    <x v="1"/>
  </r>
  <r>
    <x v="190"/>
    <x v="0"/>
    <x v="1"/>
  </r>
  <r>
    <x v="132"/>
    <x v="0"/>
    <x v="1"/>
  </r>
  <r>
    <x v="150"/>
    <x v="0"/>
    <x v="1"/>
  </r>
  <r>
    <x v="132"/>
    <x v="0"/>
    <x v="1"/>
  </r>
  <r>
    <x v="72"/>
    <x v="1"/>
    <x v="1"/>
  </r>
  <r>
    <x v="188"/>
    <x v="1"/>
    <x v="1"/>
  </r>
  <r>
    <x v="189"/>
    <x v="0"/>
    <x v="1"/>
  </r>
  <r>
    <x v="188"/>
    <x v="1"/>
    <x v="1"/>
  </r>
  <r>
    <x v="161"/>
    <x v="1"/>
    <x v="1"/>
  </r>
  <r>
    <x v="55"/>
    <x v="1"/>
    <x v="1"/>
  </r>
  <r>
    <x v="128"/>
    <x v="0"/>
    <x v="1"/>
  </r>
  <r>
    <x v="153"/>
    <x v="0"/>
    <x v="1"/>
  </r>
  <r>
    <x v="114"/>
    <x v="0"/>
    <x v="0"/>
  </r>
  <r>
    <x v="47"/>
    <x v="0"/>
    <x v="1"/>
  </r>
  <r>
    <x v="119"/>
    <x v="1"/>
    <x v="1"/>
  </r>
  <r>
    <x v="119"/>
    <x v="0"/>
    <x v="1"/>
  </r>
  <r>
    <x v="164"/>
    <x v="0"/>
    <x v="1"/>
  </r>
  <r>
    <x v="164"/>
    <x v="1"/>
    <x v="1"/>
  </r>
  <r>
    <x v="131"/>
    <x v="1"/>
    <x v="1"/>
  </r>
  <r>
    <x v="117"/>
    <x v="1"/>
    <x v="1"/>
  </r>
  <r>
    <x v="162"/>
    <x v="1"/>
    <x v="1"/>
  </r>
  <r>
    <x v="120"/>
    <x v="1"/>
    <x v="1"/>
  </r>
  <r>
    <x v="157"/>
    <x v="0"/>
    <x v="1"/>
  </r>
  <r>
    <x v="164"/>
    <x v="1"/>
    <x v="1"/>
  </r>
  <r>
    <x v="157"/>
    <x v="1"/>
    <x v="1"/>
  </r>
  <r>
    <x v="89"/>
    <x v="1"/>
    <x v="1"/>
  </r>
  <r>
    <x v="156"/>
    <x v="1"/>
    <x v="1"/>
  </r>
  <r>
    <x v="42"/>
    <x v="1"/>
    <x v="1"/>
  </r>
  <r>
    <x v="156"/>
    <x v="1"/>
    <x v="1"/>
  </r>
  <r>
    <x v="163"/>
    <x v="0"/>
    <x v="1"/>
  </r>
  <r>
    <x v="161"/>
    <x v="1"/>
    <x v="1"/>
  </r>
  <r>
    <x v="191"/>
    <x v="0"/>
    <x v="1"/>
  </r>
  <r>
    <x v="154"/>
    <x v="1"/>
    <x v="1"/>
  </r>
  <r>
    <x v="164"/>
    <x v="1"/>
    <x v="1"/>
  </r>
  <r>
    <x v="149"/>
    <x v="0"/>
    <x v="1"/>
  </r>
  <r>
    <x v="147"/>
    <x v="0"/>
    <x v="0"/>
  </r>
  <r>
    <x v="163"/>
    <x v="0"/>
    <x v="1"/>
  </r>
  <r>
    <x v="163"/>
    <x v="1"/>
    <x v="1"/>
  </r>
  <r>
    <x v="53"/>
    <x v="0"/>
    <x v="1"/>
  </r>
  <r>
    <x v="131"/>
    <x v="0"/>
    <x v="1"/>
  </r>
  <r>
    <x v="47"/>
    <x v="0"/>
    <x v="1"/>
  </r>
  <r>
    <x v="124"/>
    <x v="1"/>
    <x v="1"/>
  </r>
  <r>
    <x v="137"/>
    <x v="0"/>
    <x v="0"/>
  </r>
  <r>
    <x v="127"/>
    <x v="1"/>
    <x v="0"/>
  </r>
  <r>
    <x v="33"/>
    <x v="0"/>
    <x v="0"/>
  </r>
  <r>
    <x v="42"/>
    <x v="1"/>
    <x v="1"/>
  </r>
  <r>
    <x v="137"/>
    <x v="0"/>
    <x v="0"/>
  </r>
  <r>
    <x v="131"/>
    <x v="0"/>
    <x v="1"/>
  </r>
  <r>
    <x v="30"/>
    <x v="1"/>
    <x v="0"/>
  </r>
  <r>
    <x v="87"/>
    <x v="1"/>
    <x v="0"/>
  </r>
  <r>
    <x v="71"/>
    <x v="0"/>
    <x v="0"/>
  </r>
  <r>
    <x v="11"/>
    <x v="0"/>
    <x v="0"/>
  </r>
  <r>
    <x v="138"/>
    <x v="0"/>
    <x v="0"/>
  </r>
  <r>
    <x v="110"/>
    <x v="0"/>
    <x v="0"/>
  </r>
  <r>
    <x v="76"/>
    <x v="0"/>
    <x v="0"/>
  </r>
  <r>
    <x v="40"/>
    <x v="0"/>
    <x v="0"/>
  </r>
  <r>
    <x v="10"/>
    <x v="1"/>
    <x v="0"/>
  </r>
  <r>
    <x v="69"/>
    <x v="0"/>
    <x v="0"/>
  </r>
  <r>
    <x v="70"/>
    <x v="0"/>
    <x v="0"/>
  </r>
  <r>
    <x v="93"/>
    <x v="0"/>
    <x v="1"/>
  </r>
  <r>
    <x v="129"/>
    <x v="1"/>
    <x v="1"/>
  </r>
  <r>
    <x v="94"/>
    <x v="1"/>
    <x v="1"/>
  </r>
  <r>
    <x v="83"/>
    <x v="0"/>
    <x v="1"/>
  </r>
  <r>
    <x v="145"/>
    <x v="1"/>
    <x v="1"/>
  </r>
  <r>
    <x v="86"/>
    <x v="1"/>
    <x v="1"/>
  </r>
  <r>
    <x v="55"/>
    <x v="0"/>
    <x v="1"/>
  </r>
  <r>
    <x v="126"/>
    <x v="1"/>
    <x v="1"/>
  </r>
  <r>
    <x v="142"/>
    <x v="1"/>
    <x v="1"/>
  </r>
  <r>
    <x v="129"/>
    <x v="1"/>
    <x v="1"/>
  </r>
  <r>
    <x v="52"/>
    <x v="1"/>
    <x v="0"/>
  </r>
  <r>
    <x v="142"/>
    <x v="1"/>
    <x v="1"/>
  </r>
  <r>
    <x v="33"/>
    <x v="0"/>
    <x v="0"/>
  </r>
  <r>
    <x v="29"/>
    <x v="1"/>
    <x v="0"/>
  </r>
  <r>
    <x v="23"/>
    <x v="0"/>
    <x v="0"/>
  </r>
  <r>
    <x v="41"/>
    <x v="0"/>
    <x v="0"/>
  </r>
  <r>
    <x v="104"/>
    <x v="1"/>
    <x v="0"/>
  </r>
  <r>
    <x v="82"/>
    <x v="0"/>
    <x v="0"/>
  </r>
  <r>
    <x v="59"/>
    <x v="1"/>
    <x v="0"/>
  </r>
  <r>
    <x v="86"/>
    <x v="1"/>
    <x v="1"/>
  </r>
  <r>
    <x v="13"/>
    <x v="0"/>
    <x v="0"/>
  </r>
  <r>
    <x v="1"/>
    <x v="1"/>
    <x v="1"/>
  </r>
  <r>
    <x v="9"/>
    <x v="1"/>
    <x v="0"/>
  </r>
  <r>
    <x v="56"/>
    <x v="1"/>
    <x v="1"/>
  </r>
  <r>
    <x v="38"/>
    <x v="0"/>
    <x v="0"/>
  </r>
  <r>
    <x v="77"/>
    <x v="1"/>
    <x v="0"/>
  </r>
  <r>
    <x v="69"/>
    <x v="1"/>
    <x v="0"/>
  </r>
  <r>
    <x v="134"/>
    <x v="1"/>
    <x v="1"/>
  </r>
  <r>
    <x v="116"/>
    <x v="1"/>
    <x v="0"/>
  </r>
  <r>
    <x v="24"/>
    <x v="1"/>
    <x v="0"/>
  </r>
  <r>
    <x v="15"/>
    <x v="1"/>
    <x v="0"/>
  </r>
  <r>
    <x v="36"/>
    <x v="0"/>
    <x v="0"/>
  </r>
  <r>
    <x v="119"/>
    <x v="0"/>
    <x v="1"/>
  </r>
  <r>
    <x v="0"/>
    <x v="0"/>
    <x v="0"/>
  </r>
  <r>
    <x v="175"/>
    <x v="0"/>
    <x v="0"/>
  </r>
  <r>
    <x v="76"/>
    <x v="0"/>
    <x v="0"/>
  </r>
  <r>
    <x v="10"/>
    <x v="0"/>
    <x v="0"/>
  </r>
  <r>
    <x v="55"/>
    <x v="0"/>
    <x v="1"/>
  </r>
  <r>
    <x v="75"/>
    <x v="0"/>
    <x v="0"/>
  </r>
  <r>
    <x v="129"/>
    <x v="1"/>
    <x v="1"/>
  </r>
  <r>
    <x v="19"/>
    <x v="0"/>
    <x v="0"/>
  </r>
  <r>
    <x v="166"/>
    <x v="0"/>
    <x v="1"/>
  </r>
  <r>
    <x v="134"/>
    <x v="0"/>
    <x v="1"/>
  </r>
  <r>
    <x v="108"/>
    <x v="0"/>
    <x v="0"/>
  </r>
  <r>
    <x v="86"/>
    <x v="1"/>
    <x v="1"/>
  </r>
  <r>
    <x v="20"/>
    <x v="0"/>
    <x v="1"/>
  </r>
  <r>
    <x v="156"/>
    <x v="0"/>
    <x v="1"/>
  </r>
  <r>
    <x v="39"/>
    <x v="0"/>
    <x v="0"/>
  </r>
  <r>
    <x v="141"/>
    <x v="0"/>
    <x v="0"/>
  </r>
  <r>
    <x v="50"/>
    <x v="0"/>
    <x v="1"/>
  </r>
  <r>
    <x v="103"/>
    <x v="0"/>
    <x v="0"/>
  </r>
  <r>
    <x v="145"/>
    <x v="0"/>
    <x v="1"/>
  </r>
  <r>
    <x v="34"/>
    <x v="0"/>
    <x v="0"/>
  </r>
  <r>
    <x v="19"/>
    <x v="0"/>
    <x v="0"/>
  </r>
  <r>
    <x v="82"/>
    <x v="0"/>
    <x v="0"/>
  </r>
  <r>
    <x v="82"/>
    <x v="0"/>
    <x v="0"/>
  </r>
  <r>
    <x v="130"/>
    <x v="0"/>
    <x v="1"/>
  </r>
  <r>
    <x v="9"/>
    <x v="0"/>
    <x v="0"/>
  </r>
  <r>
    <x v="90"/>
    <x v="0"/>
    <x v="1"/>
  </r>
  <r>
    <x v="20"/>
    <x v="0"/>
    <x v="1"/>
  </r>
  <r>
    <x v="63"/>
    <x v="0"/>
    <x v="0"/>
  </r>
  <r>
    <x v="18"/>
    <x v="0"/>
    <x v="0"/>
  </r>
  <r>
    <x v="48"/>
    <x v="0"/>
    <x v="1"/>
  </r>
  <r>
    <x v="96"/>
    <x v="0"/>
    <x v="0"/>
  </r>
  <r>
    <x v="130"/>
    <x v="0"/>
    <x v="1"/>
  </r>
  <r>
    <x v="82"/>
    <x v="0"/>
    <x v="0"/>
  </r>
  <r>
    <x v="97"/>
    <x v="1"/>
    <x v="0"/>
  </r>
  <r>
    <x v="30"/>
    <x v="0"/>
    <x v="0"/>
  </r>
  <r>
    <x v="116"/>
    <x v="0"/>
    <x v="0"/>
  </r>
  <r>
    <x v="20"/>
    <x v="0"/>
    <x v="1"/>
  </r>
  <r>
    <x v="30"/>
    <x v="0"/>
    <x v="0"/>
  </r>
  <r>
    <x v="50"/>
    <x v="0"/>
    <x v="1"/>
  </r>
  <r>
    <x v="14"/>
    <x v="0"/>
    <x v="1"/>
  </r>
  <r>
    <x v="83"/>
    <x v="0"/>
    <x v="1"/>
  </r>
  <r>
    <x v="49"/>
    <x v="0"/>
    <x v="1"/>
  </r>
  <r>
    <x v="94"/>
    <x v="0"/>
    <x v="1"/>
  </r>
  <r>
    <x v="76"/>
    <x v="0"/>
    <x v="0"/>
  </r>
  <r>
    <x v="65"/>
    <x v="0"/>
    <x v="0"/>
  </r>
  <r>
    <x v="95"/>
    <x v="0"/>
    <x v="1"/>
  </r>
  <r>
    <x v="9"/>
    <x v="0"/>
    <x v="0"/>
  </r>
  <r>
    <x v="38"/>
    <x v="0"/>
    <x v="0"/>
  </r>
  <r>
    <x v="59"/>
    <x v="0"/>
    <x v="0"/>
  </r>
  <r>
    <x v="49"/>
    <x v="0"/>
    <x v="1"/>
  </r>
  <r>
    <x v="10"/>
    <x v="0"/>
    <x v="0"/>
  </r>
  <r>
    <x v="19"/>
    <x v="0"/>
    <x v="0"/>
  </r>
  <r>
    <x v="65"/>
    <x v="0"/>
    <x v="0"/>
  </r>
  <r>
    <x v="69"/>
    <x v="0"/>
    <x v="0"/>
  </r>
  <r>
    <x v="23"/>
    <x v="1"/>
    <x v="0"/>
  </r>
  <r>
    <x v="3"/>
    <x v="0"/>
    <x v="0"/>
  </r>
  <r>
    <x v="50"/>
    <x v="0"/>
    <x v="1"/>
  </r>
  <r>
    <x v="132"/>
    <x v="0"/>
    <x v="1"/>
  </r>
  <r>
    <x v="4"/>
    <x v="1"/>
    <x v="0"/>
  </r>
  <r>
    <x v="8"/>
    <x v="0"/>
    <x v="0"/>
  </r>
  <r>
    <x v="130"/>
    <x v="0"/>
    <x v="1"/>
  </r>
  <r>
    <x v="1"/>
    <x v="1"/>
    <x v="1"/>
  </r>
  <r>
    <x v="0"/>
    <x v="1"/>
    <x v="0"/>
  </r>
  <r>
    <x v="135"/>
    <x v="0"/>
    <x v="1"/>
  </r>
  <r>
    <x v="73"/>
    <x v="0"/>
    <x v="1"/>
  </r>
  <r>
    <x v="130"/>
    <x v="1"/>
    <x v="1"/>
  </r>
  <r>
    <x v="20"/>
    <x v="0"/>
    <x v="1"/>
  </r>
  <r>
    <x v="15"/>
    <x v="0"/>
    <x v="0"/>
  </r>
  <r>
    <x v="19"/>
    <x v="0"/>
    <x v="0"/>
  </r>
  <r>
    <x v="14"/>
    <x v="0"/>
    <x v="1"/>
  </r>
  <r>
    <x v="90"/>
    <x v="0"/>
    <x v="1"/>
  </r>
  <r>
    <x v="77"/>
    <x v="1"/>
    <x v="0"/>
  </r>
  <r>
    <x v="0"/>
    <x v="0"/>
    <x v="0"/>
  </r>
  <r>
    <x v="83"/>
    <x v="0"/>
    <x v="1"/>
  </r>
  <r>
    <x v="9"/>
    <x v="1"/>
    <x v="0"/>
  </r>
  <r>
    <x v="23"/>
    <x v="0"/>
    <x v="0"/>
  </r>
  <r>
    <x v="134"/>
    <x v="0"/>
    <x v="1"/>
  </r>
  <r>
    <x v="135"/>
    <x v="0"/>
    <x v="1"/>
  </r>
  <r>
    <x v="101"/>
    <x v="0"/>
    <x v="0"/>
  </r>
  <r>
    <x v="130"/>
    <x v="1"/>
    <x v="1"/>
  </r>
  <r>
    <x v="42"/>
    <x v="0"/>
    <x v="1"/>
  </r>
  <r>
    <x v="116"/>
    <x v="0"/>
    <x v="0"/>
  </r>
  <r>
    <x v="130"/>
    <x v="0"/>
    <x v="1"/>
  </r>
  <r>
    <x v="75"/>
    <x v="0"/>
    <x v="0"/>
  </r>
  <r>
    <x v="83"/>
    <x v="1"/>
    <x v="1"/>
  </r>
  <r>
    <x v="86"/>
    <x v="1"/>
    <x v="1"/>
  </r>
  <r>
    <x v="59"/>
    <x v="0"/>
    <x v="0"/>
  </r>
  <r>
    <x v="80"/>
    <x v="0"/>
    <x v="1"/>
  </r>
  <r>
    <x v="76"/>
    <x v="0"/>
    <x v="0"/>
  </r>
  <r>
    <x v="1"/>
    <x v="0"/>
    <x v="1"/>
  </r>
  <r>
    <x v="0"/>
    <x v="1"/>
    <x v="0"/>
  </r>
  <r>
    <x v="135"/>
    <x v="0"/>
    <x v="1"/>
  </r>
  <r>
    <x v="83"/>
    <x v="1"/>
    <x v="1"/>
  </r>
  <r>
    <x v="9"/>
    <x v="1"/>
    <x v="0"/>
  </r>
  <r>
    <x v="15"/>
    <x v="1"/>
    <x v="0"/>
  </r>
  <r>
    <x v="101"/>
    <x v="0"/>
    <x v="0"/>
  </r>
  <r>
    <x v="2"/>
    <x v="0"/>
    <x v="0"/>
  </r>
  <r>
    <x v="33"/>
    <x v="1"/>
    <x v="0"/>
  </r>
  <r>
    <x v="83"/>
    <x v="1"/>
    <x v="1"/>
  </r>
  <r>
    <x v="75"/>
    <x v="1"/>
    <x v="0"/>
  </r>
  <r>
    <x v="144"/>
    <x v="0"/>
    <x v="0"/>
  </r>
  <r>
    <x v="98"/>
    <x v="0"/>
    <x v="0"/>
  </r>
  <r>
    <x v="34"/>
    <x v="1"/>
    <x v="0"/>
  </r>
  <r>
    <x v="95"/>
    <x v="1"/>
    <x v="1"/>
  </r>
  <r>
    <x v="107"/>
    <x v="0"/>
    <x v="0"/>
  </r>
  <r>
    <x v="82"/>
    <x v="1"/>
    <x v="0"/>
  </r>
  <r>
    <x v="108"/>
    <x v="1"/>
    <x v="0"/>
  </r>
  <r>
    <x v="59"/>
    <x v="0"/>
    <x v="0"/>
  </r>
  <r>
    <x v="29"/>
    <x v="0"/>
    <x v="0"/>
  </r>
  <r>
    <x v="6"/>
    <x v="1"/>
    <x v="0"/>
  </r>
  <r>
    <x v="116"/>
    <x v="1"/>
    <x v="0"/>
  </r>
  <r>
    <x v="15"/>
    <x v="0"/>
    <x v="0"/>
  </r>
  <r>
    <x v="36"/>
    <x v="1"/>
    <x v="0"/>
  </r>
  <r>
    <x v="103"/>
    <x v="0"/>
    <x v="0"/>
  </r>
  <r>
    <x v="7"/>
    <x v="1"/>
    <x v="0"/>
  </r>
  <r>
    <x v="100"/>
    <x v="1"/>
    <x v="0"/>
  </r>
  <r>
    <x v="15"/>
    <x v="0"/>
    <x v="0"/>
  </r>
  <r>
    <x v="34"/>
    <x v="0"/>
    <x v="0"/>
  </r>
  <r>
    <x v="100"/>
    <x v="0"/>
    <x v="0"/>
  </r>
  <r>
    <x v="80"/>
    <x v="0"/>
    <x v="1"/>
  </r>
  <r>
    <x v="130"/>
    <x v="1"/>
    <x v="1"/>
  </r>
  <r>
    <x v="81"/>
    <x v="1"/>
    <x v="0"/>
  </r>
  <r>
    <x v="73"/>
    <x v="1"/>
    <x v="1"/>
  </r>
  <r>
    <x v="70"/>
    <x v="1"/>
    <x v="0"/>
  </r>
  <r>
    <x v="90"/>
    <x v="0"/>
    <x v="1"/>
  </r>
  <r>
    <x v="138"/>
    <x v="1"/>
    <x v="0"/>
  </r>
  <r>
    <x v="76"/>
    <x v="1"/>
    <x v="0"/>
  </r>
  <r>
    <x v="35"/>
    <x v="0"/>
    <x v="0"/>
  </r>
  <r>
    <x v="18"/>
    <x v="1"/>
    <x v="0"/>
  </r>
  <r>
    <x v="108"/>
    <x v="0"/>
    <x v="0"/>
  </r>
  <r>
    <x v="41"/>
    <x v="0"/>
    <x v="0"/>
  </r>
  <r>
    <x v="3"/>
    <x v="0"/>
    <x v="0"/>
  </r>
  <r>
    <x v="137"/>
    <x v="0"/>
    <x v="0"/>
  </r>
  <r>
    <x v="38"/>
    <x v="1"/>
    <x v="0"/>
  </r>
  <r>
    <x v="67"/>
    <x v="0"/>
    <x v="0"/>
  </r>
  <r>
    <x v="70"/>
    <x v="0"/>
    <x v="0"/>
  </r>
  <r>
    <x v="20"/>
    <x v="0"/>
    <x v="1"/>
  </r>
  <r>
    <x v="134"/>
    <x v="1"/>
    <x v="1"/>
  </r>
  <r>
    <x v="113"/>
    <x v="0"/>
    <x v="0"/>
  </r>
  <r>
    <x v="54"/>
    <x v="0"/>
    <x v="0"/>
  </r>
  <r>
    <x v="103"/>
    <x v="0"/>
    <x v="0"/>
  </r>
  <r>
    <x v="24"/>
    <x v="1"/>
    <x v="0"/>
  </r>
  <r>
    <x v="74"/>
    <x v="0"/>
    <x v="1"/>
  </r>
  <r>
    <x v="8"/>
    <x v="0"/>
    <x v="0"/>
  </r>
  <r>
    <x v="107"/>
    <x v="0"/>
    <x v="0"/>
  </r>
  <r>
    <x v="40"/>
    <x v="1"/>
    <x v="0"/>
  </r>
  <r>
    <x v="54"/>
    <x v="0"/>
    <x v="0"/>
  </r>
  <r>
    <x v="29"/>
    <x v="1"/>
    <x v="0"/>
  </r>
  <r>
    <x v="41"/>
    <x v="0"/>
    <x v="0"/>
  </r>
  <r>
    <x v="20"/>
    <x v="1"/>
    <x v="1"/>
  </r>
  <r>
    <x v="20"/>
    <x v="1"/>
    <x v="1"/>
  </r>
  <r>
    <x v="171"/>
    <x v="1"/>
    <x v="0"/>
  </r>
  <r>
    <x v="8"/>
    <x v="1"/>
    <x v="0"/>
  </r>
  <r>
    <x v="77"/>
    <x v="0"/>
    <x v="0"/>
  </r>
  <r>
    <x v="101"/>
    <x v="0"/>
    <x v="0"/>
  </r>
  <r>
    <x v="114"/>
    <x v="1"/>
    <x v="0"/>
  </r>
  <r>
    <x v="137"/>
    <x v="1"/>
    <x v="0"/>
  </r>
  <r>
    <x v="8"/>
    <x v="1"/>
    <x v="0"/>
  </r>
  <r>
    <x v="168"/>
    <x v="0"/>
    <x v="0"/>
  </r>
  <r>
    <x v="107"/>
    <x v="0"/>
    <x v="0"/>
  </r>
  <r>
    <x v="130"/>
    <x v="0"/>
    <x v="1"/>
  </r>
  <r>
    <x v="19"/>
    <x v="0"/>
    <x v="0"/>
  </r>
  <r>
    <x v="28"/>
    <x v="0"/>
    <x v="0"/>
  </r>
  <r>
    <x v="24"/>
    <x v="1"/>
    <x v="0"/>
  </r>
  <r>
    <x v="103"/>
    <x v="0"/>
    <x v="0"/>
  </r>
  <r>
    <x v="137"/>
    <x v="1"/>
    <x v="0"/>
  </r>
  <r>
    <x v="98"/>
    <x v="0"/>
    <x v="0"/>
  </r>
  <r>
    <x v="38"/>
    <x v="1"/>
    <x v="0"/>
  </r>
  <r>
    <x v="15"/>
    <x v="1"/>
    <x v="0"/>
  </r>
  <r>
    <x v="39"/>
    <x v="0"/>
    <x v="0"/>
  </r>
  <r>
    <x v="98"/>
    <x v="0"/>
    <x v="0"/>
  </r>
  <r>
    <x v="101"/>
    <x v="1"/>
    <x v="0"/>
  </r>
  <r>
    <x v="75"/>
    <x v="1"/>
    <x v="0"/>
  </r>
  <r>
    <x v="108"/>
    <x v="1"/>
    <x v="0"/>
  </r>
  <r>
    <x v="99"/>
    <x v="1"/>
    <x v="0"/>
  </r>
  <r>
    <x v="141"/>
    <x v="0"/>
    <x v="0"/>
  </r>
  <r>
    <x v="108"/>
    <x v="0"/>
    <x v="0"/>
  </r>
  <r>
    <x v="59"/>
    <x v="1"/>
    <x v="0"/>
  </r>
  <r>
    <x v="83"/>
    <x v="1"/>
    <x v="1"/>
  </r>
  <r>
    <x v="4"/>
    <x v="0"/>
    <x v="0"/>
  </r>
  <r>
    <x v="83"/>
    <x v="0"/>
    <x v="1"/>
  </r>
  <r>
    <x v="67"/>
    <x v="0"/>
    <x v="0"/>
  </r>
  <r>
    <x v="4"/>
    <x v="1"/>
    <x v="0"/>
  </r>
  <r>
    <x v="108"/>
    <x v="0"/>
    <x v="0"/>
  </r>
  <r>
    <x v="130"/>
    <x v="1"/>
    <x v="1"/>
  </r>
  <r>
    <x v="63"/>
    <x v="0"/>
    <x v="0"/>
  </r>
  <r>
    <x v="141"/>
    <x v="0"/>
    <x v="0"/>
  </r>
  <r>
    <x v="76"/>
    <x v="0"/>
    <x v="0"/>
  </r>
  <r>
    <x v="96"/>
    <x v="0"/>
    <x v="0"/>
  </r>
  <r>
    <x v="92"/>
    <x v="1"/>
    <x v="0"/>
  </r>
  <r>
    <x v="28"/>
    <x v="1"/>
    <x v="0"/>
  </r>
  <r>
    <x v="3"/>
    <x v="1"/>
    <x v="0"/>
  </r>
  <r>
    <x v="81"/>
    <x v="0"/>
    <x v="0"/>
  </r>
  <r>
    <x v="166"/>
    <x v="1"/>
    <x v="1"/>
  </r>
  <r>
    <x v="159"/>
    <x v="0"/>
    <x v="1"/>
  </r>
  <r>
    <x v="94"/>
    <x v="0"/>
    <x v="1"/>
  </r>
  <r>
    <x v="163"/>
    <x v="0"/>
    <x v="1"/>
  </r>
  <r>
    <x v="154"/>
    <x v="0"/>
    <x v="1"/>
  </r>
  <r>
    <x v="158"/>
    <x v="0"/>
    <x v="1"/>
  </r>
  <r>
    <x v="51"/>
    <x v="1"/>
    <x v="1"/>
  </r>
  <r>
    <x v="51"/>
    <x v="0"/>
    <x v="1"/>
  </r>
  <r>
    <x v="153"/>
    <x v="1"/>
    <x v="1"/>
  </r>
  <r>
    <x v="186"/>
    <x v="1"/>
    <x v="1"/>
  </r>
  <r>
    <x v="123"/>
    <x v="1"/>
    <x v="1"/>
  </r>
  <r>
    <x v="189"/>
    <x v="1"/>
    <x v="1"/>
  </r>
  <r>
    <x v="88"/>
    <x v="0"/>
    <x v="1"/>
  </r>
  <r>
    <x v="162"/>
    <x v="0"/>
    <x v="1"/>
  </r>
  <r>
    <x v="155"/>
    <x v="0"/>
    <x v="1"/>
  </r>
  <r>
    <x v="191"/>
    <x v="1"/>
    <x v="1"/>
  </r>
  <r>
    <x v="167"/>
    <x v="0"/>
    <x v="1"/>
  </r>
  <r>
    <x v="155"/>
    <x v="0"/>
    <x v="1"/>
  </r>
  <r>
    <x v="157"/>
    <x v="1"/>
    <x v="1"/>
  </r>
  <r>
    <x v="124"/>
    <x v="1"/>
    <x v="1"/>
  </r>
  <r>
    <x v="190"/>
    <x v="1"/>
    <x v="1"/>
  </r>
  <r>
    <x v="188"/>
    <x v="0"/>
    <x v="1"/>
  </r>
  <r>
    <x v="162"/>
    <x v="1"/>
    <x v="1"/>
  </r>
  <r>
    <x v="187"/>
    <x v="1"/>
    <x v="1"/>
  </r>
  <r>
    <x v="161"/>
    <x v="1"/>
    <x v="1"/>
  </r>
  <r>
    <x v="166"/>
    <x v="0"/>
    <x v="1"/>
  </r>
  <r>
    <x v="53"/>
    <x v="1"/>
    <x v="1"/>
  </r>
  <r>
    <x v="125"/>
    <x v="0"/>
    <x v="1"/>
  </r>
  <r>
    <x v="153"/>
    <x v="1"/>
    <x v="1"/>
  </r>
  <r>
    <x v="153"/>
    <x v="1"/>
    <x v="1"/>
  </r>
  <r>
    <x v="131"/>
    <x v="0"/>
    <x v="1"/>
  </r>
  <r>
    <x v="189"/>
    <x v="0"/>
    <x v="1"/>
  </r>
  <r>
    <x v="155"/>
    <x v="0"/>
    <x v="1"/>
  </r>
  <r>
    <x v="156"/>
    <x v="0"/>
    <x v="1"/>
  </r>
  <r>
    <x v="188"/>
    <x v="1"/>
    <x v="1"/>
  </r>
  <r>
    <x v="166"/>
    <x v="0"/>
    <x v="1"/>
  </r>
  <r>
    <x v="124"/>
    <x v="1"/>
    <x v="1"/>
  </r>
  <r>
    <x v="125"/>
    <x v="0"/>
    <x v="1"/>
  </r>
  <r>
    <x v="53"/>
    <x v="1"/>
    <x v="1"/>
  </r>
  <r>
    <x v="139"/>
    <x v="0"/>
    <x v="1"/>
  </r>
  <r>
    <x v="166"/>
    <x v="1"/>
    <x v="1"/>
  </r>
  <r>
    <x v="124"/>
    <x v="1"/>
    <x v="1"/>
  </r>
  <r>
    <x v="177"/>
    <x v="0"/>
    <x v="0"/>
  </r>
  <r>
    <x v="149"/>
    <x v="1"/>
    <x v="1"/>
  </r>
  <r>
    <x v="160"/>
    <x v="1"/>
    <x v="1"/>
  </r>
  <r>
    <x v="128"/>
    <x v="1"/>
    <x v="1"/>
  </r>
  <r>
    <x v="133"/>
    <x v="1"/>
    <x v="1"/>
  </r>
  <r>
    <x v="47"/>
    <x v="1"/>
    <x v="1"/>
  </r>
  <r>
    <x v="165"/>
    <x v="0"/>
    <x v="1"/>
  </r>
  <r>
    <x v="150"/>
    <x v="1"/>
    <x v="1"/>
  </r>
  <r>
    <x v="154"/>
    <x v="0"/>
    <x v="1"/>
  </r>
  <r>
    <x v="191"/>
    <x v="1"/>
    <x v="1"/>
  </r>
  <r>
    <x v="164"/>
    <x v="1"/>
    <x v="1"/>
  </r>
  <r>
    <x v="110"/>
    <x v="1"/>
    <x v="0"/>
  </r>
  <r>
    <x v="82"/>
    <x v="1"/>
    <x v="0"/>
  </r>
  <r>
    <x v="30"/>
    <x v="1"/>
    <x v="0"/>
  </r>
  <r>
    <x v="8"/>
    <x v="1"/>
    <x v="0"/>
  </r>
  <r>
    <x v="6"/>
    <x v="0"/>
    <x v="0"/>
  </r>
  <r>
    <x v="145"/>
    <x v="1"/>
    <x v="1"/>
  </r>
  <r>
    <x v="33"/>
    <x v="1"/>
    <x v="0"/>
  </r>
  <r>
    <x v="35"/>
    <x v="1"/>
    <x v="0"/>
  </r>
  <r>
    <x v="73"/>
    <x v="1"/>
    <x v="1"/>
  </r>
  <r>
    <x v="14"/>
    <x v="1"/>
    <x v="1"/>
  </r>
  <r>
    <x v="10"/>
    <x v="1"/>
    <x v="0"/>
  </r>
  <r>
    <x v="23"/>
    <x v="1"/>
    <x v="0"/>
  </r>
  <r>
    <x v="42"/>
    <x v="1"/>
    <x v="1"/>
  </r>
  <r>
    <x v="82"/>
    <x v="1"/>
    <x v="0"/>
  </r>
  <r>
    <x v="15"/>
    <x v="1"/>
    <x v="0"/>
  </r>
  <r>
    <x v="30"/>
    <x v="1"/>
    <x v="0"/>
  </r>
  <r>
    <x v="27"/>
    <x v="1"/>
    <x v="0"/>
  </r>
  <r>
    <x v="69"/>
    <x v="1"/>
    <x v="0"/>
  </r>
  <r>
    <x v="0"/>
    <x v="1"/>
    <x v="0"/>
  </r>
  <r>
    <x v="36"/>
    <x v="1"/>
    <x v="0"/>
  </r>
  <r>
    <x v="153"/>
    <x v="1"/>
    <x v="1"/>
  </r>
  <r>
    <x v="4"/>
    <x v="1"/>
    <x v="0"/>
  </r>
  <r>
    <x v="83"/>
    <x v="1"/>
    <x v="1"/>
  </r>
  <r>
    <x v="77"/>
    <x v="1"/>
    <x v="0"/>
  </r>
  <r>
    <x v="95"/>
    <x v="1"/>
    <x v="1"/>
  </r>
  <r>
    <x v="49"/>
    <x v="1"/>
    <x v="1"/>
  </r>
  <r>
    <x v="1"/>
    <x v="1"/>
    <x v="1"/>
  </r>
  <r>
    <x v="120"/>
    <x v="1"/>
    <x v="1"/>
  </r>
  <r>
    <x v="0"/>
    <x v="0"/>
    <x v="0"/>
  </r>
  <r>
    <x v="92"/>
    <x v="1"/>
    <x v="0"/>
  </r>
  <r>
    <x v="38"/>
    <x v="1"/>
    <x v="0"/>
  </r>
  <r>
    <x v="83"/>
    <x v="1"/>
    <x v="1"/>
  </r>
  <r>
    <x v="46"/>
    <x v="1"/>
    <x v="0"/>
  </r>
  <r>
    <x v="126"/>
    <x v="1"/>
    <x v="1"/>
  </r>
  <r>
    <x v="49"/>
    <x v="1"/>
    <x v="1"/>
  </r>
  <r>
    <x v="75"/>
    <x v="1"/>
    <x v="0"/>
  </r>
  <r>
    <x v="76"/>
    <x v="0"/>
    <x v="0"/>
  </r>
  <r>
    <x v="72"/>
    <x v="1"/>
    <x v="1"/>
  </r>
  <r>
    <x v="73"/>
    <x v="1"/>
    <x v="1"/>
  </r>
  <r>
    <x v="75"/>
    <x v="0"/>
    <x v="0"/>
  </r>
  <r>
    <x v="38"/>
    <x v="1"/>
    <x v="0"/>
  </r>
  <r>
    <x v="80"/>
    <x v="1"/>
    <x v="1"/>
  </r>
  <r>
    <x v="134"/>
    <x v="1"/>
    <x v="1"/>
  </r>
  <r>
    <x v="114"/>
    <x v="1"/>
    <x v="0"/>
  </r>
  <r>
    <x v="73"/>
    <x v="1"/>
    <x v="1"/>
  </r>
  <r>
    <x v="0"/>
    <x v="1"/>
    <x v="0"/>
  </r>
  <r>
    <x v="38"/>
    <x v="1"/>
    <x v="0"/>
  </r>
  <r>
    <x v="41"/>
    <x v="1"/>
    <x v="0"/>
  </r>
  <r>
    <x v="86"/>
    <x v="1"/>
    <x v="1"/>
  </r>
  <r>
    <x v="76"/>
    <x v="1"/>
    <x v="0"/>
  </r>
  <r>
    <x v="46"/>
    <x v="1"/>
    <x v="0"/>
  </r>
  <r>
    <x v="145"/>
    <x v="1"/>
    <x v="1"/>
  </r>
  <r>
    <x v="98"/>
    <x v="0"/>
    <x v="0"/>
  </r>
  <r>
    <x v="42"/>
    <x v="1"/>
    <x v="1"/>
  </r>
  <r>
    <x v="0"/>
    <x v="1"/>
    <x v="0"/>
  </r>
  <r>
    <x v="135"/>
    <x v="1"/>
    <x v="1"/>
  </r>
  <r>
    <x v="13"/>
    <x v="1"/>
    <x v="0"/>
  </r>
  <r>
    <x v="59"/>
    <x v="0"/>
    <x v="0"/>
  </r>
  <r>
    <x v="95"/>
    <x v="1"/>
    <x v="1"/>
  </r>
  <r>
    <x v="3"/>
    <x v="1"/>
    <x v="0"/>
  </r>
  <r>
    <x v="95"/>
    <x v="1"/>
    <x v="1"/>
  </r>
  <r>
    <x v="42"/>
    <x v="1"/>
    <x v="1"/>
  </r>
  <r>
    <x v="80"/>
    <x v="1"/>
    <x v="1"/>
  </r>
  <r>
    <x v="76"/>
    <x v="1"/>
    <x v="0"/>
  </r>
  <r>
    <x v="83"/>
    <x v="0"/>
    <x v="1"/>
  </r>
  <r>
    <x v="110"/>
    <x v="0"/>
    <x v="0"/>
  </r>
  <r>
    <x v="65"/>
    <x v="1"/>
    <x v="0"/>
  </r>
  <r>
    <x v="20"/>
    <x v="1"/>
    <x v="1"/>
  </r>
  <r>
    <x v="157"/>
    <x v="1"/>
    <x v="1"/>
  </r>
  <r>
    <x v="65"/>
    <x v="1"/>
    <x v="0"/>
  </r>
  <r>
    <x v="70"/>
    <x v="0"/>
    <x v="0"/>
  </r>
  <r>
    <x v="0"/>
    <x v="1"/>
    <x v="0"/>
  </r>
  <r>
    <x v="46"/>
    <x v="0"/>
    <x v="0"/>
  </r>
  <r>
    <x v="27"/>
    <x v="1"/>
    <x v="0"/>
  </r>
  <r>
    <x v="49"/>
    <x v="1"/>
    <x v="1"/>
  </r>
  <r>
    <x v="33"/>
    <x v="1"/>
    <x v="0"/>
  </r>
  <r>
    <x v="36"/>
    <x v="1"/>
    <x v="0"/>
  </r>
  <r>
    <x v="135"/>
    <x v="1"/>
    <x v="1"/>
  </r>
  <r>
    <x v="95"/>
    <x v="1"/>
    <x v="1"/>
  </r>
  <r>
    <x v="72"/>
    <x v="1"/>
    <x v="1"/>
  </r>
  <r>
    <x v="1"/>
    <x v="1"/>
    <x v="1"/>
  </r>
  <r>
    <x v="87"/>
    <x v="0"/>
    <x v="0"/>
  </r>
  <r>
    <x v="94"/>
    <x v="1"/>
    <x v="1"/>
  </r>
  <r>
    <x v="90"/>
    <x v="1"/>
    <x v="1"/>
  </r>
  <r>
    <x v="139"/>
    <x v="1"/>
    <x v="1"/>
  </r>
  <r>
    <x v="14"/>
    <x v="1"/>
    <x v="1"/>
  </r>
  <r>
    <x v="73"/>
    <x v="1"/>
    <x v="1"/>
  </r>
  <r>
    <x v="80"/>
    <x v="1"/>
    <x v="1"/>
  </r>
  <r>
    <x v="9"/>
    <x v="0"/>
    <x v="0"/>
  </r>
  <r>
    <x v="121"/>
    <x v="0"/>
    <x v="1"/>
  </r>
  <r>
    <x v="65"/>
    <x v="0"/>
    <x v="0"/>
  </r>
  <r>
    <x v="53"/>
    <x v="0"/>
    <x v="1"/>
  </r>
  <r>
    <x v="47"/>
    <x v="1"/>
    <x v="1"/>
  </r>
  <r>
    <x v="53"/>
    <x v="0"/>
    <x v="1"/>
  </r>
  <r>
    <x v="27"/>
    <x v="0"/>
    <x v="0"/>
  </r>
  <r>
    <x v="76"/>
    <x v="0"/>
    <x v="0"/>
  </r>
  <r>
    <x v="117"/>
    <x v="0"/>
    <x v="1"/>
  </r>
  <r>
    <x v="94"/>
    <x v="1"/>
    <x v="1"/>
  </r>
  <r>
    <x v="9"/>
    <x v="0"/>
    <x v="0"/>
  </r>
  <r>
    <x v="8"/>
    <x v="0"/>
    <x v="0"/>
  </r>
  <r>
    <x v="187"/>
    <x v="0"/>
    <x v="1"/>
  </r>
  <r>
    <x v="121"/>
    <x v="0"/>
    <x v="1"/>
  </r>
  <r>
    <x v="10"/>
    <x v="0"/>
    <x v="0"/>
  </r>
  <r>
    <x v="77"/>
    <x v="0"/>
    <x v="0"/>
  </r>
  <r>
    <x v="82"/>
    <x v="0"/>
    <x v="0"/>
  </r>
  <r>
    <x v="130"/>
    <x v="0"/>
    <x v="1"/>
  </r>
  <r>
    <x v="106"/>
    <x v="1"/>
    <x v="1"/>
  </r>
  <r>
    <x v="152"/>
    <x v="0"/>
    <x v="1"/>
  </r>
  <r>
    <x v="82"/>
    <x v="0"/>
    <x v="0"/>
  </r>
  <r>
    <x v="165"/>
    <x v="0"/>
    <x v="1"/>
  </r>
  <r>
    <x v="145"/>
    <x v="0"/>
    <x v="1"/>
  </r>
  <r>
    <x v="126"/>
    <x v="1"/>
    <x v="1"/>
  </r>
  <r>
    <x v="89"/>
    <x v="1"/>
    <x v="1"/>
  </r>
  <r>
    <x v="88"/>
    <x v="0"/>
    <x v="1"/>
  </r>
  <r>
    <x v="155"/>
    <x v="0"/>
    <x v="1"/>
  </r>
  <r>
    <x v="89"/>
    <x v="0"/>
    <x v="1"/>
  </r>
  <r>
    <x v="65"/>
    <x v="0"/>
    <x v="0"/>
  </r>
  <r>
    <x v="125"/>
    <x v="0"/>
    <x v="1"/>
  </r>
  <r>
    <x v="65"/>
    <x v="1"/>
    <x v="0"/>
  </r>
  <r>
    <x v="14"/>
    <x v="0"/>
    <x v="1"/>
  </r>
  <r>
    <x v="0"/>
    <x v="0"/>
    <x v="0"/>
  </r>
  <r>
    <x v="142"/>
    <x v="0"/>
    <x v="1"/>
  </r>
  <r>
    <x v="49"/>
    <x v="0"/>
    <x v="1"/>
  </r>
  <r>
    <x v="30"/>
    <x v="1"/>
    <x v="0"/>
  </r>
  <r>
    <x v="155"/>
    <x v="1"/>
    <x v="1"/>
  </r>
  <r>
    <x v="42"/>
    <x v="0"/>
    <x v="1"/>
  </r>
  <r>
    <x v="30"/>
    <x v="0"/>
    <x v="0"/>
  </r>
  <r>
    <x v="13"/>
    <x v="0"/>
    <x v="0"/>
  </r>
  <r>
    <x v="14"/>
    <x v="0"/>
    <x v="1"/>
  </r>
  <r>
    <x v="134"/>
    <x v="0"/>
    <x v="1"/>
  </r>
  <r>
    <x v="128"/>
    <x v="1"/>
    <x v="1"/>
  </r>
  <r>
    <x v="151"/>
    <x v="0"/>
    <x v="1"/>
  </r>
  <r>
    <x v="3"/>
    <x v="0"/>
    <x v="0"/>
  </r>
  <r>
    <x v="127"/>
    <x v="0"/>
    <x v="0"/>
  </r>
  <r>
    <x v="50"/>
    <x v="1"/>
    <x v="1"/>
  </r>
  <r>
    <x v="0"/>
    <x v="0"/>
    <x v="0"/>
  </r>
  <r>
    <x v="95"/>
    <x v="0"/>
    <x v="1"/>
  </r>
  <r>
    <x v="155"/>
    <x v="0"/>
    <x v="1"/>
  </r>
  <r>
    <x v="116"/>
    <x v="0"/>
    <x v="0"/>
  </r>
  <r>
    <x v="86"/>
    <x v="0"/>
    <x v="1"/>
  </r>
  <r>
    <x v="36"/>
    <x v="1"/>
    <x v="0"/>
  </r>
  <r>
    <x v="46"/>
    <x v="0"/>
    <x v="0"/>
  </r>
  <r>
    <x v="134"/>
    <x v="1"/>
    <x v="1"/>
  </r>
  <r>
    <x v="99"/>
    <x v="0"/>
    <x v="0"/>
  </r>
  <r>
    <x v="14"/>
    <x v="0"/>
    <x v="1"/>
  </r>
  <r>
    <x v="13"/>
    <x v="0"/>
    <x v="0"/>
  </r>
  <r>
    <x v="56"/>
    <x v="0"/>
    <x v="1"/>
  </r>
  <r>
    <x v="56"/>
    <x v="0"/>
    <x v="1"/>
  </r>
  <r>
    <x v="74"/>
    <x v="0"/>
    <x v="1"/>
  </r>
  <r>
    <x v="74"/>
    <x v="0"/>
    <x v="1"/>
  </r>
  <r>
    <x v="90"/>
    <x v="0"/>
    <x v="1"/>
  </r>
  <r>
    <x v="69"/>
    <x v="0"/>
    <x v="0"/>
  </r>
  <r>
    <x v="186"/>
    <x v="0"/>
    <x v="1"/>
  </r>
  <r>
    <x v="42"/>
    <x v="1"/>
    <x v="1"/>
  </r>
  <r>
    <x v="36"/>
    <x v="0"/>
    <x v="0"/>
  </r>
  <r>
    <x v="24"/>
    <x v="0"/>
    <x v="0"/>
  </r>
  <r>
    <x v="80"/>
    <x v="1"/>
    <x v="1"/>
  </r>
  <r>
    <x v="156"/>
    <x v="1"/>
    <x v="1"/>
  </r>
  <r>
    <x v="14"/>
    <x v="0"/>
    <x v="1"/>
  </r>
  <r>
    <x v="142"/>
    <x v="1"/>
    <x v="1"/>
  </r>
  <r>
    <x v="134"/>
    <x v="1"/>
    <x v="1"/>
  </r>
  <r>
    <x v="93"/>
    <x v="1"/>
    <x v="1"/>
  </r>
  <r>
    <x v="156"/>
    <x v="0"/>
    <x v="1"/>
  </r>
  <r>
    <x v="160"/>
    <x v="0"/>
    <x v="1"/>
  </r>
  <r>
    <x v="132"/>
    <x v="1"/>
    <x v="1"/>
  </r>
  <r>
    <x v="28"/>
    <x v="0"/>
    <x v="0"/>
  </r>
  <r>
    <x v="77"/>
    <x v="0"/>
    <x v="0"/>
  </r>
  <r>
    <x v="3"/>
    <x v="1"/>
    <x v="0"/>
  </r>
  <r>
    <x v="0"/>
    <x v="1"/>
    <x v="0"/>
  </r>
  <r>
    <x v="24"/>
    <x v="1"/>
    <x v="0"/>
  </r>
  <r>
    <x v="92"/>
    <x v="0"/>
    <x v="0"/>
  </r>
  <r>
    <x v="144"/>
    <x v="1"/>
    <x v="0"/>
  </r>
  <r>
    <x v="70"/>
    <x v="0"/>
    <x v="0"/>
  </r>
  <r>
    <x v="13"/>
    <x v="1"/>
    <x v="0"/>
  </r>
  <r>
    <x v="108"/>
    <x v="0"/>
    <x v="0"/>
  </r>
  <r>
    <x v="82"/>
    <x v="0"/>
    <x v="0"/>
  </r>
  <r>
    <x v="15"/>
    <x v="0"/>
    <x v="0"/>
  </r>
  <r>
    <x v="192"/>
    <x v="0"/>
    <x v="0"/>
  </r>
  <r>
    <x v="132"/>
    <x v="1"/>
    <x v="1"/>
  </r>
  <r>
    <x v="127"/>
    <x v="1"/>
    <x v="0"/>
  </r>
  <r>
    <x v="147"/>
    <x v="0"/>
    <x v="0"/>
  </r>
  <r>
    <x v="7"/>
    <x v="1"/>
    <x v="0"/>
  </r>
  <r>
    <x v="96"/>
    <x v="0"/>
    <x v="0"/>
  </r>
  <r>
    <x v="69"/>
    <x v="0"/>
    <x v="0"/>
  </r>
  <r>
    <x v="35"/>
    <x v="1"/>
    <x v="0"/>
  </r>
  <r>
    <x v="9"/>
    <x v="0"/>
    <x v="0"/>
  </r>
  <r>
    <x v="69"/>
    <x v="1"/>
    <x v="0"/>
  </r>
  <r>
    <x v="18"/>
    <x v="0"/>
    <x v="0"/>
  </r>
  <r>
    <x v="63"/>
    <x v="0"/>
    <x v="0"/>
  </r>
  <r>
    <x v="77"/>
    <x v="1"/>
    <x v="0"/>
  </r>
  <r>
    <x v="38"/>
    <x v="1"/>
    <x v="0"/>
  </r>
  <r>
    <x v="127"/>
    <x v="0"/>
    <x v="0"/>
  </r>
  <r>
    <x v="9"/>
    <x v="0"/>
    <x v="0"/>
  </r>
  <r>
    <x v="30"/>
    <x v="0"/>
    <x v="0"/>
  </r>
  <r>
    <x v="13"/>
    <x v="0"/>
    <x v="0"/>
  </r>
  <r>
    <x v="14"/>
    <x v="0"/>
    <x v="1"/>
  </r>
  <r>
    <x v="76"/>
    <x v="0"/>
    <x v="0"/>
  </r>
  <r>
    <x v="15"/>
    <x v="0"/>
    <x v="0"/>
  </r>
  <r>
    <x v="0"/>
    <x v="1"/>
    <x v="0"/>
  </r>
  <r>
    <x v="33"/>
    <x v="0"/>
    <x v="0"/>
  </r>
  <r>
    <x v="19"/>
    <x v="1"/>
    <x v="0"/>
  </r>
  <r>
    <x v="106"/>
    <x v="1"/>
    <x v="1"/>
  </r>
  <r>
    <x v="14"/>
    <x v="1"/>
    <x v="1"/>
  </r>
  <r>
    <x v="33"/>
    <x v="1"/>
    <x v="0"/>
  </r>
  <r>
    <x v="90"/>
    <x v="1"/>
    <x v="1"/>
  </r>
  <r>
    <x v="20"/>
    <x v="1"/>
    <x v="1"/>
  </r>
  <r>
    <x v="15"/>
    <x v="1"/>
    <x v="0"/>
  </r>
  <r>
    <x v="130"/>
    <x v="1"/>
    <x v="1"/>
  </r>
  <r>
    <x v="126"/>
    <x v="1"/>
    <x v="1"/>
  </r>
  <r>
    <x v="95"/>
    <x v="1"/>
    <x v="1"/>
  </r>
  <r>
    <x v="86"/>
    <x v="1"/>
    <x v="1"/>
  </r>
  <r>
    <x v="33"/>
    <x v="1"/>
    <x v="0"/>
  </r>
  <r>
    <x v="117"/>
    <x v="1"/>
    <x v="1"/>
  </r>
  <r>
    <x v="77"/>
    <x v="1"/>
    <x v="0"/>
  </r>
  <r>
    <x v="132"/>
    <x v="1"/>
    <x v="1"/>
  </r>
  <r>
    <x v="86"/>
    <x v="1"/>
    <x v="1"/>
  </r>
  <r>
    <x v="27"/>
    <x v="1"/>
    <x v="0"/>
  </r>
  <r>
    <x v="30"/>
    <x v="1"/>
    <x v="0"/>
  </r>
  <r>
    <x v="94"/>
    <x v="1"/>
    <x v="1"/>
  </r>
  <r>
    <x v="106"/>
    <x v="1"/>
    <x v="1"/>
  </r>
  <r>
    <x v="73"/>
    <x v="1"/>
    <x v="1"/>
  </r>
  <r>
    <x v="126"/>
    <x v="1"/>
    <x v="1"/>
  </r>
  <r>
    <x v="14"/>
    <x v="0"/>
    <x v="1"/>
  </r>
  <r>
    <x v="116"/>
    <x v="1"/>
    <x v="0"/>
  </r>
  <r>
    <x v="55"/>
    <x v="1"/>
    <x v="1"/>
  </r>
  <r>
    <x v="114"/>
    <x v="1"/>
    <x v="0"/>
  </r>
  <r>
    <x v="36"/>
    <x v="1"/>
    <x v="0"/>
  </r>
  <r>
    <x v="139"/>
    <x v="0"/>
    <x v="1"/>
  </r>
  <r>
    <x v="83"/>
    <x v="1"/>
    <x v="1"/>
  </r>
  <r>
    <x v="1"/>
    <x v="1"/>
    <x v="1"/>
  </r>
  <r>
    <x v="130"/>
    <x v="1"/>
    <x v="1"/>
  </r>
  <r>
    <x v="27"/>
    <x v="1"/>
    <x v="0"/>
  </r>
  <r>
    <x v="30"/>
    <x v="1"/>
    <x v="0"/>
  </r>
  <r>
    <x v="130"/>
    <x v="1"/>
    <x v="1"/>
  </r>
  <r>
    <x v="106"/>
    <x v="1"/>
    <x v="1"/>
  </r>
  <r>
    <x v="83"/>
    <x v="1"/>
    <x v="1"/>
  </r>
  <r>
    <x v="94"/>
    <x v="1"/>
    <x v="1"/>
  </r>
  <r>
    <x v="95"/>
    <x v="1"/>
    <x v="1"/>
  </r>
  <r>
    <x v="83"/>
    <x v="1"/>
    <x v="1"/>
  </r>
  <r>
    <x v="33"/>
    <x v="1"/>
    <x v="0"/>
  </r>
  <r>
    <x v="30"/>
    <x v="1"/>
    <x v="0"/>
  </r>
  <r>
    <x v="4"/>
    <x v="1"/>
    <x v="0"/>
  </r>
  <r>
    <x v="10"/>
    <x v="1"/>
    <x v="0"/>
  </r>
  <r>
    <x v="90"/>
    <x v="1"/>
    <x v="1"/>
  </r>
  <r>
    <x v="130"/>
    <x v="1"/>
    <x v="1"/>
  </r>
  <r>
    <x v="87"/>
    <x v="1"/>
    <x v="0"/>
  </r>
  <r>
    <x v="130"/>
    <x v="1"/>
    <x v="1"/>
  </r>
  <r>
    <x v="80"/>
    <x v="1"/>
    <x v="1"/>
  </r>
  <r>
    <x v="20"/>
    <x v="1"/>
    <x v="1"/>
  </r>
  <r>
    <x v="73"/>
    <x v="1"/>
    <x v="1"/>
  </r>
  <r>
    <x v="56"/>
    <x v="0"/>
    <x v="1"/>
  </r>
  <r>
    <x v="61"/>
    <x v="1"/>
    <x v="0"/>
  </r>
  <r>
    <x v="107"/>
    <x v="1"/>
    <x v="0"/>
  </r>
  <r>
    <x v="83"/>
    <x v="1"/>
    <x v="1"/>
  </r>
  <r>
    <x v="38"/>
    <x v="1"/>
    <x v="0"/>
  </r>
  <r>
    <x v="145"/>
    <x v="1"/>
    <x v="1"/>
  </r>
  <r>
    <x v="83"/>
    <x v="1"/>
    <x v="1"/>
  </r>
  <r>
    <x v="65"/>
    <x v="0"/>
    <x v="0"/>
  </r>
  <r>
    <x v="4"/>
    <x v="1"/>
    <x v="0"/>
  </r>
  <r>
    <x v="135"/>
    <x v="1"/>
    <x v="1"/>
  </r>
  <r>
    <x v="94"/>
    <x v="1"/>
    <x v="1"/>
  </r>
  <r>
    <x v="27"/>
    <x v="1"/>
    <x v="0"/>
  </r>
  <r>
    <x v="80"/>
    <x v="1"/>
    <x v="1"/>
  </r>
  <r>
    <x v="142"/>
    <x v="1"/>
    <x v="1"/>
  </r>
  <r>
    <x v="30"/>
    <x v="1"/>
    <x v="0"/>
  </r>
  <r>
    <x v="126"/>
    <x v="1"/>
    <x v="1"/>
  </r>
  <r>
    <x v="0"/>
    <x v="1"/>
    <x v="0"/>
  </r>
  <r>
    <x v="20"/>
    <x v="1"/>
    <x v="1"/>
  </r>
  <r>
    <x v="90"/>
    <x v="1"/>
    <x v="1"/>
  </r>
  <r>
    <x v="116"/>
    <x v="1"/>
    <x v="0"/>
  </r>
  <r>
    <x v="83"/>
    <x v="1"/>
    <x v="1"/>
  </r>
  <r>
    <x v="76"/>
    <x v="1"/>
    <x v="0"/>
  </r>
  <r>
    <x v="130"/>
    <x v="0"/>
    <x v="1"/>
  </r>
  <r>
    <x v="63"/>
    <x v="1"/>
    <x v="0"/>
  </r>
  <r>
    <x v="35"/>
    <x v="0"/>
    <x v="0"/>
  </r>
  <r>
    <x v="16"/>
    <x v="0"/>
    <x v="0"/>
  </r>
  <r>
    <x v="82"/>
    <x v="1"/>
    <x v="0"/>
  </r>
  <r>
    <x v="6"/>
    <x v="0"/>
    <x v="0"/>
  </r>
  <r>
    <x v="171"/>
    <x v="0"/>
    <x v="0"/>
  </r>
  <r>
    <x v="73"/>
    <x v="1"/>
    <x v="1"/>
  </r>
  <r>
    <x v="35"/>
    <x v="0"/>
    <x v="0"/>
  </r>
  <r>
    <x v="77"/>
    <x v="0"/>
    <x v="0"/>
  </r>
  <r>
    <x v="4"/>
    <x v="0"/>
    <x v="0"/>
  </r>
  <r>
    <x v="69"/>
    <x v="1"/>
    <x v="0"/>
  </r>
  <r>
    <x v="39"/>
    <x v="1"/>
    <x v="0"/>
  </r>
  <r>
    <x v="40"/>
    <x v="1"/>
    <x v="0"/>
  </r>
  <r>
    <x v="109"/>
    <x v="0"/>
    <x v="0"/>
  </r>
  <r>
    <x v="96"/>
    <x v="0"/>
    <x v="0"/>
  </r>
  <r>
    <x v="168"/>
    <x v="1"/>
    <x v="0"/>
  </r>
  <r>
    <x v="31"/>
    <x v="1"/>
    <x v="0"/>
  </r>
  <r>
    <x v="114"/>
    <x v="0"/>
    <x v="0"/>
  </r>
  <r>
    <x v="8"/>
    <x v="0"/>
    <x v="0"/>
  </r>
  <r>
    <x v="66"/>
    <x v="0"/>
    <x v="0"/>
  </r>
  <r>
    <x v="98"/>
    <x v="0"/>
    <x v="0"/>
  </r>
  <r>
    <x v="18"/>
    <x v="1"/>
    <x v="0"/>
  </r>
  <r>
    <x v="0"/>
    <x v="1"/>
    <x v="0"/>
  </r>
  <r>
    <x v="112"/>
    <x v="1"/>
    <x v="0"/>
  </r>
  <r>
    <x v="81"/>
    <x v="0"/>
    <x v="0"/>
  </r>
  <r>
    <x v="65"/>
    <x v="1"/>
    <x v="0"/>
  </r>
  <r>
    <x v="137"/>
    <x v="1"/>
    <x v="0"/>
  </r>
  <r>
    <x v="101"/>
    <x v="0"/>
    <x v="0"/>
  </r>
  <r>
    <x v="35"/>
    <x v="1"/>
    <x v="0"/>
  </r>
  <r>
    <x v="63"/>
    <x v="1"/>
    <x v="0"/>
  </r>
  <r>
    <x v="173"/>
    <x v="0"/>
    <x v="0"/>
  </r>
  <r>
    <x v="1"/>
    <x v="0"/>
    <x v="1"/>
  </r>
  <r>
    <x v="79"/>
    <x v="0"/>
    <x v="0"/>
  </r>
  <r>
    <x v="61"/>
    <x v="1"/>
    <x v="0"/>
  </r>
  <r>
    <x v="141"/>
    <x v="0"/>
    <x v="0"/>
  </r>
  <r>
    <x v="29"/>
    <x v="0"/>
    <x v="0"/>
  </r>
  <r>
    <x v="99"/>
    <x v="0"/>
    <x v="0"/>
  </r>
  <r>
    <x v="66"/>
    <x v="0"/>
    <x v="0"/>
  </r>
  <r>
    <x v="82"/>
    <x v="0"/>
    <x v="0"/>
  </r>
  <r>
    <x v="13"/>
    <x v="0"/>
    <x v="0"/>
  </r>
  <r>
    <x v="15"/>
    <x v="1"/>
    <x v="0"/>
  </r>
  <r>
    <x v="8"/>
    <x v="1"/>
    <x v="0"/>
  </r>
  <r>
    <x v="96"/>
    <x v="0"/>
    <x v="0"/>
  </r>
  <r>
    <x v="7"/>
    <x v="0"/>
    <x v="0"/>
  </r>
  <r>
    <x v="107"/>
    <x v="0"/>
    <x v="0"/>
  </r>
  <r>
    <x v="8"/>
    <x v="1"/>
    <x v="0"/>
  </r>
  <r>
    <x v="162"/>
    <x v="1"/>
    <x v="1"/>
  </r>
  <r>
    <x v="47"/>
    <x v="1"/>
    <x v="1"/>
  </r>
  <r>
    <x v="171"/>
    <x v="0"/>
    <x v="0"/>
  </r>
  <r>
    <x v="188"/>
    <x v="0"/>
    <x v="1"/>
  </r>
  <r>
    <x v="161"/>
    <x v="0"/>
    <x v="1"/>
  </r>
  <r>
    <x v="133"/>
    <x v="1"/>
    <x v="1"/>
  </r>
  <r>
    <x v="154"/>
    <x v="0"/>
    <x v="1"/>
  </r>
  <r>
    <x v="179"/>
    <x v="0"/>
    <x v="0"/>
  </r>
  <r>
    <x v="53"/>
    <x v="1"/>
    <x v="1"/>
  </r>
  <r>
    <x v="163"/>
    <x v="1"/>
    <x v="1"/>
  </r>
  <r>
    <x v="132"/>
    <x v="0"/>
    <x v="1"/>
  </r>
  <r>
    <x v="160"/>
    <x v="1"/>
    <x v="1"/>
  </r>
  <r>
    <x v="90"/>
    <x v="0"/>
    <x v="1"/>
  </r>
  <r>
    <x v="47"/>
    <x v="1"/>
    <x v="1"/>
  </r>
  <r>
    <x v="193"/>
    <x v="0"/>
    <x v="0"/>
  </r>
  <r>
    <x v="55"/>
    <x v="0"/>
    <x v="1"/>
  </r>
  <r>
    <x v="150"/>
    <x v="1"/>
    <x v="1"/>
  </r>
  <r>
    <x v="151"/>
    <x v="1"/>
    <x v="1"/>
  </r>
  <r>
    <x v="161"/>
    <x v="1"/>
    <x v="1"/>
  </r>
  <r>
    <x v="194"/>
    <x v="0"/>
    <x v="0"/>
  </r>
  <r>
    <x v="195"/>
    <x v="1"/>
    <x v="1"/>
  </r>
  <r>
    <x v="158"/>
    <x v="1"/>
    <x v="1"/>
  </r>
  <r>
    <x v="120"/>
    <x v="0"/>
    <x v="1"/>
  </r>
  <r>
    <x v="189"/>
    <x v="0"/>
    <x v="1"/>
  </r>
  <r>
    <x v="120"/>
    <x v="1"/>
    <x v="1"/>
  </r>
  <r>
    <x v="48"/>
    <x v="0"/>
    <x v="1"/>
  </r>
  <r>
    <x v="133"/>
    <x v="1"/>
    <x v="1"/>
  </r>
  <r>
    <x v="133"/>
    <x v="1"/>
    <x v="1"/>
  </r>
  <r>
    <x v="164"/>
    <x v="1"/>
    <x v="1"/>
  </r>
  <r>
    <x v="190"/>
    <x v="1"/>
    <x v="1"/>
  </r>
  <r>
    <x v="163"/>
    <x v="0"/>
    <x v="1"/>
  </r>
  <r>
    <x v="161"/>
    <x v="0"/>
    <x v="1"/>
  </r>
  <r>
    <x v="53"/>
    <x v="1"/>
    <x v="1"/>
  </r>
  <r>
    <x v="158"/>
    <x v="0"/>
    <x v="1"/>
  </r>
  <r>
    <x v="102"/>
    <x v="0"/>
    <x v="0"/>
  </r>
  <r>
    <x v="188"/>
    <x v="1"/>
    <x v="1"/>
  </r>
  <r>
    <x v="155"/>
    <x v="1"/>
    <x v="1"/>
  </r>
  <r>
    <x v="124"/>
    <x v="1"/>
    <x v="1"/>
  </r>
  <r>
    <x v="89"/>
    <x v="1"/>
    <x v="1"/>
  </r>
  <r>
    <x v="62"/>
    <x v="0"/>
    <x v="1"/>
  </r>
  <r>
    <x v="162"/>
    <x v="1"/>
    <x v="1"/>
  </r>
  <r>
    <x v="135"/>
    <x v="0"/>
    <x v="1"/>
  </r>
  <r>
    <x v="48"/>
    <x v="1"/>
    <x v="1"/>
  </r>
  <r>
    <x v="49"/>
    <x v="0"/>
    <x v="1"/>
  </r>
  <r>
    <x v="189"/>
    <x v="0"/>
    <x v="1"/>
  </r>
  <r>
    <x v="51"/>
    <x v="0"/>
    <x v="1"/>
  </r>
  <r>
    <x v="87"/>
    <x v="0"/>
    <x v="0"/>
  </r>
  <r>
    <x v="120"/>
    <x v="1"/>
    <x v="1"/>
  </r>
  <r>
    <x v="89"/>
    <x v="1"/>
    <x v="1"/>
  </r>
  <r>
    <x v="94"/>
    <x v="0"/>
    <x v="1"/>
  </r>
  <r>
    <x v="196"/>
    <x v="0"/>
    <x v="0"/>
  </r>
  <r>
    <x v="139"/>
    <x v="1"/>
    <x v="1"/>
  </r>
  <r>
    <x v="117"/>
    <x v="1"/>
    <x v="1"/>
  </r>
  <r>
    <x v="197"/>
    <x v="1"/>
    <x v="1"/>
  </r>
  <r>
    <x v="0"/>
    <x v="0"/>
    <x v="0"/>
  </r>
  <r>
    <x v="157"/>
    <x v="1"/>
    <x v="1"/>
  </r>
  <r>
    <x v="190"/>
    <x v="0"/>
    <x v="1"/>
  </r>
  <r>
    <x v="163"/>
    <x v="0"/>
    <x v="1"/>
  </r>
  <r>
    <x v="164"/>
    <x v="1"/>
    <x v="1"/>
  </r>
  <r>
    <x v="198"/>
    <x v="0"/>
    <x v="0"/>
  </r>
  <r>
    <x v="48"/>
    <x v="0"/>
    <x v="1"/>
  </r>
  <r>
    <x v="133"/>
    <x v="1"/>
    <x v="1"/>
  </r>
  <r>
    <x v="47"/>
    <x v="1"/>
    <x v="1"/>
  </r>
  <r>
    <x v="129"/>
    <x v="1"/>
    <x v="1"/>
  </r>
  <r>
    <x v="155"/>
    <x v="1"/>
    <x v="1"/>
  </r>
  <r>
    <x v="199"/>
    <x v="0"/>
    <x v="0"/>
  </r>
  <r>
    <x v="4"/>
    <x v="0"/>
    <x v="0"/>
  </r>
  <r>
    <x v="4"/>
    <x v="1"/>
    <x v="0"/>
  </r>
  <r>
    <x v="79"/>
    <x v="0"/>
    <x v="0"/>
  </r>
  <r>
    <x v="46"/>
    <x v="0"/>
    <x v="0"/>
  </r>
  <r>
    <x v="30"/>
    <x v="1"/>
    <x v="0"/>
  </r>
  <r>
    <x v="18"/>
    <x v="1"/>
    <x v="0"/>
  </r>
  <r>
    <x v="35"/>
    <x v="1"/>
    <x v="0"/>
  </r>
  <r>
    <x v="112"/>
    <x v="1"/>
    <x v="0"/>
  </r>
  <r>
    <x v="75"/>
    <x v="0"/>
    <x v="0"/>
  </r>
  <r>
    <x v="27"/>
    <x v="0"/>
    <x v="0"/>
  </r>
  <r>
    <x v="30"/>
    <x v="1"/>
    <x v="0"/>
  </r>
  <r>
    <x v="144"/>
    <x v="0"/>
    <x v="0"/>
  </r>
  <r>
    <x v="116"/>
    <x v="1"/>
    <x v="0"/>
  </r>
  <r>
    <x v="73"/>
    <x v="0"/>
    <x v="1"/>
  </r>
  <r>
    <x v="41"/>
    <x v="1"/>
    <x v="0"/>
  </r>
  <r>
    <x v="38"/>
    <x v="1"/>
    <x v="0"/>
  </r>
  <r>
    <x v="135"/>
    <x v="1"/>
    <x v="1"/>
  </r>
  <r>
    <x v="15"/>
    <x v="1"/>
    <x v="0"/>
  </r>
  <r>
    <x v="73"/>
    <x v="1"/>
    <x v="1"/>
  </r>
  <r>
    <x v="28"/>
    <x v="0"/>
    <x v="0"/>
  </r>
  <r>
    <x v="0"/>
    <x v="1"/>
    <x v="0"/>
  </r>
  <r>
    <x v="1"/>
    <x v="1"/>
    <x v="1"/>
  </r>
  <r>
    <x v="80"/>
    <x v="0"/>
    <x v="1"/>
  </r>
  <r>
    <x v="33"/>
    <x v="1"/>
    <x v="0"/>
  </r>
  <r>
    <x v="99"/>
    <x v="0"/>
    <x v="0"/>
  </r>
  <r>
    <x v="76"/>
    <x v="0"/>
    <x v="0"/>
  </r>
  <r>
    <x v="76"/>
    <x v="1"/>
    <x v="0"/>
  </r>
  <r>
    <x v="35"/>
    <x v="1"/>
    <x v="0"/>
  </r>
  <r>
    <x v="76"/>
    <x v="1"/>
    <x v="0"/>
  </r>
  <r>
    <x v="65"/>
    <x v="1"/>
    <x v="0"/>
  </r>
  <r>
    <x v="29"/>
    <x v="1"/>
    <x v="0"/>
  </r>
  <r>
    <x v="28"/>
    <x v="1"/>
    <x v="0"/>
  </r>
  <r>
    <x v="114"/>
    <x v="1"/>
    <x v="0"/>
  </r>
  <r>
    <x v="98"/>
    <x v="0"/>
    <x v="0"/>
  </r>
  <r>
    <x v="143"/>
    <x v="0"/>
    <x v="0"/>
  </r>
  <r>
    <x v="61"/>
    <x v="1"/>
    <x v="0"/>
  </r>
  <r>
    <x v="23"/>
    <x v="1"/>
    <x v="0"/>
  </r>
  <r>
    <x v="101"/>
    <x v="0"/>
    <x v="0"/>
  </r>
  <r>
    <x v="13"/>
    <x v="1"/>
    <x v="0"/>
  </r>
  <r>
    <x v="19"/>
    <x v="0"/>
    <x v="0"/>
  </r>
  <r>
    <x v="77"/>
    <x v="1"/>
    <x v="0"/>
  </r>
  <r>
    <x v="27"/>
    <x v="0"/>
    <x v="0"/>
  </r>
  <r>
    <x v="8"/>
    <x v="0"/>
    <x v="0"/>
  </r>
  <r>
    <x v="146"/>
    <x v="0"/>
    <x v="0"/>
  </r>
  <r>
    <x v="10"/>
    <x v="1"/>
    <x v="0"/>
  </r>
  <r>
    <x v="15"/>
    <x v="0"/>
    <x v="0"/>
  </r>
  <r>
    <x v="142"/>
    <x v="1"/>
    <x v="1"/>
  </r>
  <r>
    <x v="28"/>
    <x v="0"/>
    <x v="0"/>
  </r>
  <r>
    <x v="110"/>
    <x v="0"/>
    <x v="0"/>
  </r>
  <r>
    <x v="127"/>
    <x v="1"/>
    <x v="0"/>
  </r>
  <r>
    <x v="4"/>
    <x v="1"/>
    <x v="0"/>
  </r>
  <r>
    <x v="0"/>
    <x v="1"/>
    <x v="0"/>
  </r>
  <r>
    <x v="8"/>
    <x v="1"/>
    <x v="0"/>
  </r>
  <r>
    <x v="59"/>
    <x v="1"/>
    <x v="0"/>
  </r>
  <r>
    <x v="173"/>
    <x v="0"/>
    <x v="0"/>
  </r>
  <r>
    <x v="135"/>
    <x v="1"/>
    <x v="1"/>
  </r>
  <r>
    <x v="36"/>
    <x v="1"/>
    <x v="0"/>
  </r>
  <r>
    <x v="49"/>
    <x v="1"/>
    <x v="1"/>
  </r>
  <r>
    <x v="36"/>
    <x v="1"/>
    <x v="0"/>
  </r>
  <r>
    <x v="4"/>
    <x v="1"/>
    <x v="0"/>
  </r>
  <r>
    <x v="122"/>
    <x v="1"/>
    <x v="0"/>
  </r>
  <r>
    <x v="52"/>
    <x v="1"/>
    <x v="0"/>
  </r>
  <r>
    <x v="19"/>
    <x v="0"/>
    <x v="0"/>
  </r>
  <r>
    <x v="142"/>
    <x v="1"/>
    <x v="1"/>
  </r>
  <r>
    <x v="33"/>
    <x v="0"/>
    <x v="0"/>
  </r>
  <r>
    <x v="18"/>
    <x v="1"/>
    <x v="0"/>
  </r>
  <r>
    <x v="4"/>
    <x v="1"/>
    <x v="0"/>
  </r>
  <r>
    <x v="76"/>
    <x v="0"/>
    <x v="0"/>
  </r>
  <r>
    <x v="121"/>
    <x v="0"/>
    <x v="1"/>
  </r>
  <r>
    <x v="6"/>
    <x v="1"/>
    <x v="0"/>
  </r>
  <r>
    <x v="36"/>
    <x v="1"/>
    <x v="0"/>
  </r>
  <r>
    <x v="41"/>
    <x v="0"/>
    <x v="0"/>
  </r>
  <r>
    <x v="24"/>
    <x v="0"/>
    <x v="0"/>
  </r>
  <r>
    <x v="36"/>
    <x v="1"/>
    <x v="0"/>
  </r>
  <r>
    <x v="90"/>
    <x v="1"/>
    <x v="1"/>
  </r>
  <r>
    <x v="67"/>
    <x v="0"/>
    <x v="0"/>
  </r>
  <r>
    <x v="15"/>
    <x v="0"/>
    <x v="0"/>
  </r>
  <r>
    <x v="135"/>
    <x v="1"/>
    <x v="1"/>
  </r>
  <r>
    <x v="40"/>
    <x v="1"/>
    <x v="0"/>
  </r>
  <r>
    <x v="55"/>
    <x v="1"/>
    <x v="1"/>
  </r>
  <r>
    <x v="28"/>
    <x v="0"/>
    <x v="0"/>
  </r>
  <r>
    <x v="116"/>
    <x v="1"/>
    <x v="0"/>
  </r>
  <r>
    <x v="134"/>
    <x v="1"/>
    <x v="1"/>
  </r>
  <r>
    <x v="69"/>
    <x v="0"/>
    <x v="0"/>
  </r>
  <r>
    <x v="101"/>
    <x v="1"/>
    <x v="0"/>
  </r>
  <r>
    <x v="113"/>
    <x v="0"/>
    <x v="0"/>
  </r>
  <r>
    <x v="76"/>
    <x v="1"/>
    <x v="0"/>
  </r>
  <r>
    <x v="18"/>
    <x v="0"/>
    <x v="0"/>
  </r>
  <r>
    <x v="114"/>
    <x v="1"/>
    <x v="0"/>
  </r>
  <r>
    <x v="74"/>
    <x v="0"/>
    <x v="1"/>
  </r>
  <r>
    <x v="108"/>
    <x v="0"/>
    <x v="0"/>
  </r>
  <r>
    <x v="18"/>
    <x v="0"/>
    <x v="0"/>
  </r>
  <r>
    <x v="101"/>
    <x v="0"/>
    <x v="0"/>
  </r>
  <r>
    <x v="72"/>
    <x v="1"/>
    <x v="1"/>
  </r>
  <r>
    <x v="142"/>
    <x v="1"/>
    <x v="1"/>
  </r>
  <r>
    <x v="88"/>
    <x v="0"/>
    <x v="1"/>
  </r>
  <r>
    <x v="151"/>
    <x v="1"/>
    <x v="1"/>
  </r>
  <r>
    <x v="10"/>
    <x v="0"/>
    <x v="0"/>
  </r>
  <r>
    <x v="90"/>
    <x v="1"/>
    <x v="1"/>
  </r>
  <r>
    <x v="53"/>
    <x v="1"/>
    <x v="1"/>
  </r>
  <r>
    <x v="190"/>
    <x v="0"/>
    <x v="1"/>
  </r>
  <r>
    <x v="142"/>
    <x v="1"/>
    <x v="1"/>
  </r>
  <r>
    <x v="74"/>
    <x v="1"/>
    <x v="1"/>
  </r>
  <r>
    <x v="88"/>
    <x v="0"/>
    <x v="1"/>
  </r>
  <r>
    <x v="139"/>
    <x v="0"/>
    <x v="1"/>
  </r>
  <r>
    <x v="24"/>
    <x v="0"/>
    <x v="0"/>
  </r>
  <r>
    <x v="163"/>
    <x v="0"/>
    <x v="1"/>
  </r>
  <r>
    <x v="95"/>
    <x v="0"/>
    <x v="1"/>
  </r>
  <r>
    <x v="76"/>
    <x v="0"/>
    <x v="0"/>
  </r>
  <r>
    <x v="135"/>
    <x v="1"/>
    <x v="1"/>
  </r>
  <r>
    <x v="130"/>
    <x v="0"/>
    <x v="1"/>
  </r>
  <r>
    <x v="189"/>
    <x v="0"/>
    <x v="1"/>
  </r>
  <r>
    <x v="9"/>
    <x v="1"/>
    <x v="0"/>
  </r>
  <r>
    <x v="33"/>
    <x v="0"/>
    <x v="0"/>
  </r>
  <r>
    <x v="50"/>
    <x v="1"/>
    <x v="1"/>
  </r>
  <r>
    <x v="130"/>
    <x v="0"/>
    <x v="1"/>
  </r>
  <r>
    <x v="121"/>
    <x v="0"/>
    <x v="1"/>
  </r>
  <r>
    <x v="131"/>
    <x v="0"/>
    <x v="1"/>
  </r>
  <r>
    <x v="68"/>
    <x v="0"/>
    <x v="0"/>
  </r>
  <r>
    <x v="88"/>
    <x v="0"/>
    <x v="1"/>
  </r>
  <r>
    <x v="1"/>
    <x v="0"/>
    <x v="1"/>
  </r>
  <r>
    <x v="132"/>
    <x v="1"/>
    <x v="1"/>
  </r>
  <r>
    <x v="55"/>
    <x v="0"/>
    <x v="1"/>
  </r>
  <r>
    <x v="73"/>
    <x v="1"/>
    <x v="1"/>
  </r>
  <r>
    <x v="50"/>
    <x v="0"/>
    <x v="1"/>
  </r>
  <r>
    <x v="23"/>
    <x v="0"/>
    <x v="0"/>
  </r>
  <r>
    <x v="33"/>
    <x v="1"/>
    <x v="0"/>
  </r>
  <r>
    <x v="164"/>
    <x v="0"/>
    <x v="1"/>
  </r>
  <r>
    <x v="82"/>
    <x v="1"/>
    <x v="0"/>
  </r>
  <r>
    <x v="131"/>
    <x v="1"/>
    <x v="1"/>
  </r>
  <r>
    <x v="30"/>
    <x v="1"/>
    <x v="0"/>
  </r>
  <r>
    <x v="130"/>
    <x v="0"/>
    <x v="1"/>
  </r>
  <r>
    <x v="55"/>
    <x v="0"/>
    <x v="1"/>
  </r>
  <r>
    <x v="90"/>
    <x v="0"/>
    <x v="1"/>
  </r>
  <r>
    <x v="33"/>
    <x v="0"/>
    <x v="0"/>
  </r>
  <r>
    <x v="161"/>
    <x v="0"/>
    <x v="1"/>
  </r>
  <r>
    <x v="116"/>
    <x v="0"/>
    <x v="0"/>
  </r>
  <r>
    <x v="121"/>
    <x v="1"/>
    <x v="1"/>
  </r>
  <r>
    <x v="55"/>
    <x v="0"/>
    <x v="1"/>
  </r>
  <r>
    <x v="72"/>
    <x v="0"/>
    <x v="1"/>
  </r>
  <r>
    <x v="121"/>
    <x v="1"/>
    <x v="1"/>
  </r>
  <r>
    <x v="117"/>
    <x v="1"/>
    <x v="1"/>
  </r>
  <r>
    <x v="160"/>
    <x v="0"/>
    <x v="1"/>
  </r>
  <r>
    <x v="95"/>
    <x v="1"/>
    <x v="1"/>
  </r>
  <r>
    <x v="76"/>
    <x v="0"/>
    <x v="0"/>
  </r>
  <r>
    <x v="1"/>
    <x v="0"/>
    <x v="1"/>
  </r>
  <r>
    <x v="55"/>
    <x v="1"/>
    <x v="1"/>
  </r>
  <r>
    <x v="158"/>
    <x v="0"/>
    <x v="1"/>
  </r>
  <r>
    <x v="23"/>
    <x v="0"/>
    <x v="0"/>
  </r>
  <r>
    <x v="142"/>
    <x v="0"/>
    <x v="1"/>
  </r>
  <r>
    <x v="126"/>
    <x v="1"/>
    <x v="1"/>
  </r>
  <r>
    <x v="0"/>
    <x v="1"/>
    <x v="0"/>
  </r>
  <r>
    <x v="76"/>
    <x v="0"/>
    <x v="0"/>
  </r>
  <r>
    <x v="50"/>
    <x v="1"/>
    <x v="1"/>
  </r>
  <r>
    <x v="11"/>
    <x v="0"/>
    <x v="0"/>
  </r>
  <r>
    <x v="106"/>
    <x v="1"/>
    <x v="1"/>
  </r>
  <r>
    <x v="90"/>
    <x v="0"/>
    <x v="1"/>
  </r>
  <r>
    <x v="11"/>
    <x v="0"/>
    <x v="0"/>
  </r>
  <r>
    <x v="40"/>
    <x v="0"/>
    <x v="0"/>
  </r>
  <r>
    <x v="151"/>
    <x v="0"/>
    <x v="1"/>
  </r>
  <r>
    <x v="6"/>
    <x v="0"/>
    <x v="0"/>
  </r>
  <r>
    <x v="89"/>
    <x v="1"/>
    <x v="1"/>
  </r>
  <r>
    <x v="55"/>
    <x v="1"/>
    <x v="1"/>
  </r>
  <r>
    <x v="121"/>
    <x v="0"/>
    <x v="1"/>
  </r>
  <r>
    <x v="142"/>
    <x v="1"/>
    <x v="1"/>
  </r>
  <r>
    <x v="36"/>
    <x v="0"/>
    <x v="0"/>
  </r>
  <r>
    <x v="120"/>
    <x v="1"/>
    <x v="1"/>
  </r>
  <r>
    <x v="73"/>
    <x v="0"/>
    <x v="1"/>
  </r>
  <r>
    <x v="49"/>
    <x v="0"/>
    <x v="1"/>
  </r>
  <r>
    <x v="158"/>
    <x v="1"/>
    <x v="1"/>
  </r>
  <r>
    <x v="73"/>
    <x v="0"/>
    <x v="1"/>
  </r>
  <r>
    <x v="114"/>
    <x v="0"/>
    <x v="0"/>
  </r>
  <r>
    <x v="19"/>
    <x v="0"/>
    <x v="0"/>
  </r>
  <r>
    <x v="132"/>
    <x v="1"/>
    <x v="1"/>
  </r>
  <r>
    <x v="80"/>
    <x v="1"/>
    <x v="1"/>
  </r>
  <r>
    <x v="121"/>
    <x v="0"/>
    <x v="1"/>
  </r>
  <r>
    <x v="55"/>
    <x v="1"/>
    <x v="1"/>
  </r>
  <r>
    <x v="128"/>
    <x v="1"/>
    <x v="1"/>
  </r>
  <r>
    <x v="1"/>
    <x v="0"/>
    <x v="1"/>
  </r>
  <r>
    <x v="124"/>
    <x v="0"/>
    <x v="1"/>
  </r>
  <r>
    <x v="90"/>
    <x v="1"/>
    <x v="1"/>
  </r>
  <r>
    <x v="133"/>
    <x v="0"/>
    <x v="1"/>
  </r>
  <r>
    <x v="59"/>
    <x v="0"/>
    <x v="0"/>
  </r>
  <r>
    <x v="142"/>
    <x v="1"/>
    <x v="1"/>
  </r>
  <r>
    <x v="50"/>
    <x v="1"/>
    <x v="1"/>
  </r>
  <r>
    <x v="30"/>
    <x v="1"/>
    <x v="0"/>
  </r>
  <r>
    <x v="86"/>
    <x v="1"/>
    <x v="1"/>
  </r>
  <r>
    <x v="74"/>
    <x v="1"/>
    <x v="1"/>
  </r>
  <r>
    <x v="106"/>
    <x v="0"/>
    <x v="1"/>
  </r>
  <r>
    <x v="27"/>
    <x v="0"/>
    <x v="0"/>
  </r>
  <r>
    <x v="75"/>
    <x v="1"/>
    <x v="0"/>
  </r>
  <r>
    <x v="86"/>
    <x v="0"/>
    <x v="1"/>
  </r>
  <r>
    <x v="51"/>
    <x v="0"/>
    <x v="1"/>
  </r>
  <r>
    <x v="86"/>
    <x v="0"/>
    <x v="1"/>
  </r>
  <r>
    <x v="42"/>
    <x v="1"/>
    <x v="1"/>
  </r>
  <r>
    <x v="1"/>
    <x v="1"/>
    <x v="1"/>
  </r>
  <r>
    <x v="4"/>
    <x v="1"/>
    <x v="0"/>
  </r>
  <r>
    <x v="48"/>
    <x v="1"/>
    <x v="1"/>
  </r>
  <r>
    <x v="83"/>
    <x v="0"/>
    <x v="1"/>
  </r>
  <r>
    <x v="49"/>
    <x v="0"/>
    <x v="1"/>
  </r>
  <r>
    <x v="152"/>
    <x v="0"/>
    <x v="1"/>
  </r>
  <r>
    <x v="30"/>
    <x v="1"/>
    <x v="0"/>
  </r>
  <r>
    <x v="35"/>
    <x v="0"/>
    <x v="0"/>
  </r>
  <r>
    <x v="8"/>
    <x v="1"/>
    <x v="0"/>
  </r>
  <r>
    <x v="130"/>
    <x v="1"/>
    <x v="1"/>
  </r>
  <r>
    <x v="145"/>
    <x v="1"/>
    <x v="1"/>
  </r>
  <r>
    <x v="14"/>
    <x v="1"/>
    <x v="1"/>
  </r>
  <r>
    <x v="130"/>
    <x v="0"/>
    <x v="1"/>
  </r>
  <r>
    <x v="130"/>
    <x v="0"/>
    <x v="1"/>
  </r>
  <r>
    <x v="106"/>
    <x v="0"/>
    <x v="1"/>
  </r>
  <r>
    <x v="34"/>
    <x v="1"/>
    <x v="0"/>
  </r>
  <r>
    <x v="93"/>
    <x v="1"/>
    <x v="1"/>
  </r>
  <r>
    <x v="89"/>
    <x v="0"/>
    <x v="1"/>
  </r>
  <r>
    <x v="126"/>
    <x v="1"/>
    <x v="1"/>
  </r>
  <r>
    <x v="55"/>
    <x v="1"/>
    <x v="1"/>
  </r>
  <r>
    <x v="34"/>
    <x v="1"/>
    <x v="0"/>
  </r>
  <r>
    <x v="14"/>
    <x v="0"/>
    <x v="1"/>
  </r>
  <r>
    <x v="38"/>
    <x v="1"/>
    <x v="0"/>
  </r>
  <r>
    <x v="58"/>
    <x v="0"/>
    <x v="0"/>
  </r>
  <r>
    <x v="80"/>
    <x v="1"/>
    <x v="1"/>
  </r>
  <r>
    <x v="20"/>
    <x v="1"/>
    <x v="1"/>
  </r>
  <r>
    <x v="72"/>
    <x v="0"/>
    <x v="1"/>
  </r>
  <r>
    <x v="139"/>
    <x v="0"/>
    <x v="1"/>
  </r>
  <r>
    <x v="65"/>
    <x v="0"/>
    <x v="0"/>
  </r>
  <r>
    <x v="117"/>
    <x v="1"/>
    <x v="1"/>
  </r>
  <r>
    <x v="149"/>
    <x v="0"/>
    <x v="1"/>
  </r>
  <r>
    <x v="123"/>
    <x v="0"/>
    <x v="1"/>
  </r>
  <r>
    <x v="114"/>
    <x v="0"/>
    <x v="0"/>
  </r>
  <r>
    <x v="0"/>
    <x v="0"/>
    <x v="0"/>
  </r>
  <r>
    <x v="132"/>
    <x v="0"/>
    <x v="1"/>
  </r>
  <r>
    <x v="31"/>
    <x v="0"/>
    <x v="0"/>
  </r>
  <r>
    <x v="92"/>
    <x v="0"/>
    <x v="0"/>
  </r>
  <r>
    <x v="14"/>
    <x v="0"/>
    <x v="1"/>
  </r>
  <r>
    <x v="135"/>
    <x v="1"/>
    <x v="1"/>
  </r>
  <r>
    <x v="74"/>
    <x v="1"/>
    <x v="1"/>
  </r>
  <r>
    <x v="77"/>
    <x v="0"/>
    <x v="0"/>
  </r>
  <r>
    <x v="27"/>
    <x v="1"/>
    <x v="0"/>
  </r>
  <r>
    <x v="128"/>
    <x v="1"/>
    <x v="1"/>
  </r>
  <r>
    <x v="106"/>
    <x v="0"/>
    <x v="1"/>
  </r>
  <r>
    <x v="1"/>
    <x v="1"/>
    <x v="1"/>
  </r>
  <r>
    <x v="75"/>
    <x v="1"/>
    <x v="0"/>
  </r>
  <r>
    <x v="116"/>
    <x v="0"/>
    <x v="0"/>
  </r>
  <r>
    <x v="145"/>
    <x v="1"/>
    <x v="1"/>
  </r>
  <r>
    <x v="88"/>
    <x v="1"/>
    <x v="1"/>
  </r>
  <r>
    <x v="129"/>
    <x v="1"/>
    <x v="1"/>
  </r>
  <r>
    <x v="200"/>
    <x v="0"/>
    <x v="0"/>
  </r>
  <r>
    <x v="74"/>
    <x v="0"/>
    <x v="1"/>
  </r>
  <r>
    <x v="6"/>
    <x v="0"/>
    <x v="0"/>
  </r>
  <r>
    <x v="88"/>
    <x v="0"/>
    <x v="1"/>
  </r>
  <r>
    <x v="74"/>
    <x v="1"/>
    <x v="1"/>
  </r>
  <r>
    <x v="67"/>
    <x v="0"/>
    <x v="0"/>
  </r>
  <r>
    <x v="106"/>
    <x v="0"/>
    <x v="1"/>
  </r>
  <r>
    <x v="114"/>
    <x v="1"/>
    <x v="0"/>
  </r>
  <r>
    <x v="156"/>
    <x v="1"/>
    <x v="1"/>
  </r>
  <r>
    <x v="90"/>
    <x v="1"/>
    <x v="1"/>
  </r>
  <r>
    <x v="130"/>
    <x v="1"/>
    <x v="1"/>
  </r>
  <r>
    <x v="54"/>
    <x v="0"/>
    <x v="0"/>
  </r>
  <r>
    <x v="80"/>
    <x v="0"/>
    <x v="1"/>
  </r>
  <r>
    <x v="3"/>
    <x v="0"/>
    <x v="0"/>
  </r>
  <r>
    <x v="157"/>
    <x v="1"/>
    <x v="1"/>
  </r>
  <r>
    <x v="46"/>
    <x v="0"/>
    <x v="0"/>
  </r>
  <r>
    <x v="155"/>
    <x v="0"/>
    <x v="1"/>
  </r>
  <r>
    <x v="42"/>
    <x v="0"/>
    <x v="1"/>
  </r>
  <r>
    <x v="80"/>
    <x v="1"/>
    <x v="1"/>
  </r>
  <r>
    <x v="94"/>
    <x v="1"/>
    <x v="1"/>
  </r>
  <r>
    <x v="120"/>
    <x v="1"/>
    <x v="1"/>
  </r>
  <r>
    <x v="103"/>
    <x v="0"/>
    <x v="0"/>
  </r>
  <r>
    <x v="81"/>
    <x v="0"/>
    <x v="0"/>
  </r>
  <r>
    <x v="77"/>
    <x v="0"/>
    <x v="0"/>
  </r>
  <r>
    <x v="6"/>
    <x v="0"/>
    <x v="0"/>
  </r>
  <r>
    <x v="98"/>
    <x v="1"/>
    <x v="0"/>
  </r>
  <r>
    <x v="4"/>
    <x v="0"/>
    <x v="0"/>
  </r>
  <r>
    <x v="80"/>
    <x v="0"/>
    <x v="1"/>
  </r>
  <r>
    <x v="55"/>
    <x v="1"/>
    <x v="1"/>
  </r>
  <r>
    <x v="135"/>
    <x v="0"/>
    <x v="1"/>
  </r>
  <r>
    <x v="36"/>
    <x v="1"/>
    <x v="0"/>
  </r>
  <r>
    <x v="3"/>
    <x v="1"/>
    <x v="0"/>
  </r>
  <r>
    <x v="106"/>
    <x v="1"/>
    <x v="1"/>
  </r>
  <r>
    <x v="94"/>
    <x v="1"/>
    <x v="1"/>
  </r>
  <r>
    <x v="155"/>
    <x v="1"/>
    <x v="1"/>
  </r>
  <r>
    <x v="139"/>
    <x v="0"/>
    <x v="1"/>
  </r>
  <r>
    <x v="23"/>
    <x v="0"/>
    <x v="0"/>
  </r>
  <r>
    <x v="93"/>
    <x v="1"/>
    <x v="1"/>
  </r>
  <r>
    <x v="46"/>
    <x v="0"/>
    <x v="0"/>
  </r>
  <r>
    <x v="9"/>
    <x v="1"/>
    <x v="0"/>
  </r>
  <r>
    <x v="151"/>
    <x v="0"/>
    <x v="1"/>
  </r>
  <r>
    <x v="187"/>
    <x v="0"/>
    <x v="1"/>
  </r>
  <r>
    <x v="87"/>
    <x v="0"/>
    <x v="0"/>
  </r>
  <r>
    <x v="73"/>
    <x v="0"/>
    <x v="1"/>
  </r>
  <r>
    <x v="49"/>
    <x v="0"/>
    <x v="1"/>
  </r>
  <r>
    <x v="49"/>
    <x v="1"/>
    <x v="1"/>
  </r>
  <r>
    <x v="162"/>
    <x v="0"/>
    <x v="1"/>
  </r>
  <r>
    <x v="82"/>
    <x v="0"/>
    <x v="0"/>
  </r>
  <r>
    <x v="86"/>
    <x v="0"/>
    <x v="1"/>
  </r>
  <r>
    <x v="157"/>
    <x v="0"/>
    <x v="1"/>
  </r>
  <r>
    <x v="121"/>
    <x v="1"/>
    <x v="1"/>
  </r>
  <r>
    <x v="98"/>
    <x v="0"/>
    <x v="0"/>
  </r>
  <r>
    <x v="179"/>
    <x v="1"/>
    <x v="0"/>
  </r>
  <r>
    <x v="100"/>
    <x v="0"/>
    <x v="0"/>
  </r>
  <r>
    <x v="55"/>
    <x v="0"/>
    <x v="1"/>
  </r>
  <r>
    <x v="121"/>
    <x v="0"/>
    <x v="1"/>
  </r>
  <r>
    <x v="120"/>
    <x v="0"/>
    <x v="1"/>
  </r>
  <r>
    <x v="150"/>
    <x v="0"/>
    <x v="1"/>
  </r>
  <r>
    <x v="62"/>
    <x v="1"/>
    <x v="1"/>
  </r>
  <r>
    <x v="9"/>
    <x v="0"/>
    <x v="0"/>
  </r>
  <r>
    <x v="152"/>
    <x v="1"/>
    <x v="1"/>
  </r>
  <r>
    <x v="73"/>
    <x v="1"/>
    <x v="1"/>
  </r>
  <r>
    <x v="48"/>
    <x v="1"/>
    <x v="1"/>
  </r>
  <r>
    <x v="39"/>
    <x v="0"/>
    <x v="0"/>
  </r>
  <r>
    <x v="151"/>
    <x v="0"/>
    <x v="1"/>
  </r>
  <r>
    <x v="201"/>
    <x v="0"/>
    <x v="1"/>
  </r>
  <r>
    <x v="83"/>
    <x v="0"/>
    <x v="1"/>
  </r>
  <r>
    <x v="88"/>
    <x v="1"/>
    <x v="1"/>
  </r>
  <r>
    <x v="130"/>
    <x v="1"/>
    <x v="1"/>
  </r>
  <r>
    <x v="83"/>
    <x v="1"/>
    <x v="1"/>
  </r>
  <r>
    <x v="86"/>
    <x v="0"/>
    <x v="1"/>
  </r>
  <r>
    <x v="152"/>
    <x v="0"/>
    <x v="1"/>
  </r>
  <r>
    <x v="142"/>
    <x v="0"/>
    <x v="1"/>
  </r>
  <r>
    <x v="154"/>
    <x v="0"/>
    <x v="1"/>
  </r>
  <r>
    <x v="1"/>
    <x v="1"/>
    <x v="1"/>
  </r>
  <r>
    <x v="131"/>
    <x v="0"/>
    <x v="1"/>
  </r>
  <r>
    <x v="134"/>
    <x v="1"/>
    <x v="1"/>
  </r>
  <r>
    <x v="35"/>
    <x v="0"/>
    <x v="0"/>
  </r>
  <r>
    <x v="75"/>
    <x v="0"/>
    <x v="0"/>
  </r>
  <r>
    <x v="9"/>
    <x v="1"/>
    <x v="0"/>
  </r>
  <r>
    <x v="88"/>
    <x v="0"/>
    <x v="1"/>
  </r>
  <r>
    <x v="27"/>
    <x v="0"/>
    <x v="0"/>
  </r>
  <r>
    <x v="59"/>
    <x v="0"/>
    <x v="0"/>
  </r>
  <r>
    <x v="94"/>
    <x v="0"/>
    <x v="1"/>
  </r>
  <r>
    <x v="142"/>
    <x v="1"/>
    <x v="1"/>
  </r>
  <r>
    <x v="89"/>
    <x v="0"/>
    <x v="1"/>
  </r>
  <r>
    <x v="3"/>
    <x v="0"/>
    <x v="0"/>
  </r>
  <r>
    <x v="89"/>
    <x v="1"/>
    <x v="1"/>
  </r>
  <r>
    <x v="132"/>
    <x v="0"/>
    <x v="1"/>
  </r>
  <r>
    <x v="134"/>
    <x v="0"/>
    <x v="1"/>
  </r>
  <r>
    <x v="80"/>
    <x v="1"/>
    <x v="1"/>
  </r>
  <r>
    <x v="151"/>
    <x v="0"/>
    <x v="1"/>
  </r>
  <r>
    <x v="94"/>
    <x v="0"/>
    <x v="1"/>
  </r>
  <r>
    <x v="1"/>
    <x v="0"/>
    <x v="1"/>
  </r>
  <r>
    <x v="75"/>
    <x v="0"/>
    <x v="0"/>
  </r>
  <r>
    <x v="134"/>
    <x v="1"/>
    <x v="1"/>
  </r>
  <r>
    <x v="129"/>
    <x v="0"/>
    <x v="1"/>
  </r>
  <r>
    <x v="133"/>
    <x v="0"/>
    <x v="1"/>
  </r>
  <r>
    <x v="1"/>
    <x v="1"/>
    <x v="1"/>
  </r>
  <r>
    <x v="8"/>
    <x v="1"/>
    <x v="0"/>
  </r>
  <r>
    <x v="27"/>
    <x v="0"/>
    <x v="0"/>
  </r>
  <r>
    <x v="126"/>
    <x v="1"/>
    <x v="1"/>
  </r>
  <r>
    <x v="108"/>
    <x v="0"/>
    <x v="0"/>
  </r>
  <r>
    <x v="108"/>
    <x v="0"/>
    <x v="0"/>
  </r>
  <r>
    <x v="62"/>
    <x v="0"/>
    <x v="1"/>
  </r>
  <r>
    <x v="56"/>
    <x v="1"/>
    <x v="1"/>
  </r>
  <r>
    <x v="42"/>
    <x v="0"/>
    <x v="1"/>
  </r>
  <r>
    <x v="135"/>
    <x v="0"/>
    <x v="1"/>
  </r>
  <r>
    <x v="88"/>
    <x v="0"/>
    <x v="1"/>
  </r>
  <r>
    <x v="72"/>
    <x v="0"/>
    <x v="1"/>
  </r>
  <r>
    <x v="55"/>
    <x v="0"/>
    <x v="1"/>
  </r>
  <r>
    <x v="106"/>
    <x v="0"/>
    <x v="1"/>
  </r>
  <r>
    <x v="77"/>
    <x v="0"/>
    <x v="0"/>
  </r>
  <r>
    <x v="14"/>
    <x v="1"/>
    <x v="1"/>
  </r>
  <r>
    <x v="101"/>
    <x v="0"/>
    <x v="0"/>
  </r>
  <r>
    <x v="62"/>
    <x v="0"/>
    <x v="1"/>
  </r>
  <r>
    <x v="95"/>
    <x v="0"/>
    <x v="1"/>
  </r>
  <r>
    <x v="88"/>
    <x v="0"/>
    <x v="1"/>
  </r>
  <r>
    <x v="134"/>
    <x v="1"/>
    <x v="1"/>
  </r>
  <r>
    <x v="90"/>
    <x v="0"/>
    <x v="1"/>
  </r>
  <r>
    <x v="74"/>
    <x v="0"/>
    <x v="1"/>
  </r>
  <r>
    <x v="129"/>
    <x v="1"/>
    <x v="1"/>
  </r>
  <r>
    <x v="36"/>
    <x v="0"/>
    <x v="0"/>
  </r>
  <r>
    <x v="3"/>
    <x v="0"/>
    <x v="0"/>
  </r>
  <r>
    <x v="86"/>
    <x v="0"/>
    <x v="1"/>
  </r>
  <r>
    <x v="153"/>
    <x v="1"/>
    <x v="1"/>
  </r>
  <r>
    <x v="14"/>
    <x v="0"/>
    <x v="1"/>
  </r>
  <r>
    <x v="132"/>
    <x v="0"/>
    <x v="1"/>
  </r>
  <r>
    <x v="42"/>
    <x v="1"/>
    <x v="1"/>
  </r>
  <r>
    <x v="131"/>
    <x v="1"/>
    <x v="1"/>
  </r>
  <r>
    <x v="4"/>
    <x v="1"/>
    <x v="0"/>
  </r>
  <r>
    <x v="48"/>
    <x v="0"/>
    <x v="1"/>
  </r>
  <r>
    <x v="56"/>
    <x v="0"/>
    <x v="1"/>
  </r>
  <r>
    <x v="129"/>
    <x v="1"/>
    <x v="1"/>
  </r>
  <r>
    <x v="106"/>
    <x v="1"/>
    <x v="1"/>
  </r>
  <r>
    <x v="73"/>
    <x v="1"/>
    <x v="1"/>
  </r>
  <r>
    <x v="145"/>
    <x v="1"/>
    <x v="1"/>
  </r>
  <r>
    <x v="13"/>
    <x v="0"/>
    <x v="0"/>
  </r>
  <r>
    <x v="121"/>
    <x v="0"/>
    <x v="1"/>
  </r>
  <r>
    <x v="135"/>
    <x v="1"/>
    <x v="1"/>
  </r>
  <r>
    <x v="88"/>
    <x v="1"/>
    <x v="1"/>
  </r>
  <r>
    <x v="117"/>
    <x v="1"/>
    <x v="1"/>
  </r>
  <r>
    <x v="126"/>
    <x v="0"/>
    <x v="1"/>
  </r>
  <r>
    <x v="80"/>
    <x v="1"/>
    <x v="1"/>
  </r>
  <r>
    <x v="139"/>
    <x v="0"/>
    <x v="1"/>
  </r>
  <r>
    <x v="90"/>
    <x v="1"/>
    <x v="1"/>
  </r>
  <r>
    <x v="132"/>
    <x v="1"/>
    <x v="1"/>
  </r>
  <r>
    <x v="90"/>
    <x v="0"/>
    <x v="1"/>
  </r>
  <r>
    <x v="62"/>
    <x v="0"/>
    <x v="1"/>
  </r>
  <r>
    <x v="132"/>
    <x v="0"/>
    <x v="1"/>
  </r>
  <r>
    <x v="145"/>
    <x v="1"/>
    <x v="1"/>
  </r>
  <r>
    <x v="80"/>
    <x v="1"/>
    <x v="1"/>
  </r>
  <r>
    <x v="80"/>
    <x v="0"/>
    <x v="1"/>
  </r>
  <r>
    <x v="152"/>
    <x v="0"/>
    <x v="1"/>
  </r>
  <r>
    <x v="131"/>
    <x v="0"/>
    <x v="1"/>
  </r>
  <r>
    <x v="134"/>
    <x v="1"/>
    <x v="1"/>
  </r>
  <r>
    <x v="129"/>
    <x v="1"/>
    <x v="1"/>
  </r>
  <r>
    <x v="65"/>
    <x v="1"/>
    <x v="0"/>
  </r>
  <r>
    <x v="119"/>
    <x v="0"/>
    <x v="1"/>
  </r>
  <r>
    <x v="101"/>
    <x v="0"/>
    <x v="0"/>
  </r>
  <r>
    <x v="69"/>
    <x v="0"/>
    <x v="0"/>
  </r>
  <r>
    <x v="18"/>
    <x v="0"/>
    <x v="0"/>
  </r>
  <r>
    <x v="134"/>
    <x v="1"/>
    <x v="1"/>
  </r>
  <r>
    <x v="77"/>
    <x v="0"/>
    <x v="0"/>
  </r>
  <r>
    <x v="49"/>
    <x v="1"/>
    <x v="1"/>
  </r>
  <r>
    <x v="116"/>
    <x v="0"/>
    <x v="0"/>
  </r>
  <r>
    <x v="121"/>
    <x v="0"/>
    <x v="1"/>
  </r>
  <r>
    <x v="90"/>
    <x v="0"/>
    <x v="1"/>
  </r>
  <r>
    <x v="134"/>
    <x v="0"/>
    <x v="1"/>
  </r>
  <r>
    <x v="120"/>
    <x v="0"/>
    <x v="1"/>
  </r>
  <r>
    <x v="20"/>
    <x v="0"/>
    <x v="1"/>
  </r>
  <r>
    <x v="28"/>
    <x v="0"/>
    <x v="0"/>
  </r>
  <r>
    <x v="36"/>
    <x v="0"/>
    <x v="0"/>
  </r>
  <r>
    <x v="19"/>
    <x v="0"/>
    <x v="0"/>
  </r>
  <r>
    <x v="33"/>
    <x v="0"/>
    <x v="0"/>
  </r>
  <r>
    <x v="121"/>
    <x v="0"/>
    <x v="1"/>
  </r>
  <r>
    <x v="145"/>
    <x v="0"/>
    <x v="1"/>
  </r>
  <r>
    <x v="106"/>
    <x v="0"/>
    <x v="1"/>
  </r>
  <r>
    <x v="55"/>
    <x v="0"/>
    <x v="1"/>
  </r>
  <r>
    <x v="74"/>
    <x v="1"/>
    <x v="1"/>
  </r>
  <r>
    <x v="55"/>
    <x v="0"/>
    <x v="1"/>
  </r>
  <r>
    <x v="139"/>
    <x v="0"/>
    <x v="1"/>
  </r>
  <r>
    <x v="131"/>
    <x v="0"/>
    <x v="1"/>
  </r>
  <r>
    <x v="145"/>
    <x v="1"/>
    <x v="1"/>
  </r>
  <r>
    <x v="15"/>
    <x v="0"/>
    <x v="0"/>
  </r>
  <r>
    <x v="135"/>
    <x v="0"/>
    <x v="1"/>
  </r>
  <r>
    <x v="130"/>
    <x v="0"/>
    <x v="1"/>
  </r>
  <r>
    <x v="1"/>
    <x v="0"/>
    <x v="1"/>
  </r>
  <r>
    <x v="89"/>
    <x v="0"/>
    <x v="1"/>
  </r>
  <r>
    <x v="49"/>
    <x v="1"/>
    <x v="1"/>
  </r>
  <r>
    <x v="23"/>
    <x v="1"/>
    <x v="0"/>
  </r>
  <r>
    <x v="190"/>
    <x v="0"/>
    <x v="1"/>
  </r>
  <r>
    <x v="3"/>
    <x v="0"/>
    <x v="0"/>
  </r>
  <r>
    <x v="132"/>
    <x v="0"/>
    <x v="1"/>
  </r>
  <r>
    <x v="42"/>
    <x v="0"/>
    <x v="1"/>
  </r>
  <r>
    <x v="135"/>
    <x v="0"/>
    <x v="1"/>
  </r>
  <r>
    <x v="50"/>
    <x v="1"/>
    <x v="1"/>
  </r>
  <r>
    <x v="9"/>
    <x v="1"/>
    <x v="0"/>
  </r>
  <r>
    <x v="87"/>
    <x v="0"/>
    <x v="0"/>
  </r>
  <r>
    <x v="128"/>
    <x v="0"/>
    <x v="1"/>
  </r>
  <r>
    <x v="27"/>
    <x v="0"/>
    <x v="0"/>
  </r>
  <r>
    <x v="20"/>
    <x v="0"/>
    <x v="1"/>
  </r>
  <r>
    <x v="80"/>
    <x v="0"/>
    <x v="1"/>
  </r>
  <r>
    <x v="150"/>
    <x v="0"/>
    <x v="1"/>
  </r>
  <r>
    <x v="83"/>
    <x v="0"/>
    <x v="1"/>
  </r>
  <r>
    <x v="56"/>
    <x v="1"/>
    <x v="1"/>
  </r>
  <r>
    <x v="126"/>
    <x v="0"/>
    <x v="1"/>
  </r>
  <r>
    <x v="106"/>
    <x v="1"/>
    <x v="1"/>
  </r>
  <r>
    <x v="94"/>
    <x v="0"/>
    <x v="1"/>
  </r>
  <r>
    <x v="76"/>
    <x v="0"/>
    <x v="0"/>
  </r>
  <r>
    <x v="65"/>
    <x v="1"/>
    <x v="0"/>
  </r>
  <r>
    <x v="127"/>
    <x v="0"/>
    <x v="0"/>
  </r>
  <r>
    <x v="9"/>
    <x v="0"/>
    <x v="0"/>
  </r>
  <r>
    <x v="59"/>
    <x v="0"/>
    <x v="0"/>
  </r>
  <r>
    <x v="3"/>
    <x v="1"/>
    <x v="0"/>
  </r>
  <r>
    <x v="4"/>
    <x v="1"/>
    <x v="0"/>
  </r>
  <r>
    <x v="121"/>
    <x v="0"/>
    <x v="1"/>
  </r>
  <r>
    <x v="95"/>
    <x v="0"/>
    <x v="1"/>
  </r>
  <r>
    <x v="69"/>
    <x v="0"/>
    <x v="0"/>
  </r>
  <r>
    <x v="50"/>
    <x v="0"/>
    <x v="1"/>
  </r>
  <r>
    <x v="135"/>
    <x v="0"/>
    <x v="1"/>
  </r>
  <r>
    <x v="47"/>
    <x v="0"/>
    <x v="1"/>
  </r>
  <r>
    <x v="65"/>
    <x v="0"/>
    <x v="0"/>
  </r>
  <r>
    <x v="132"/>
    <x v="1"/>
    <x v="1"/>
  </r>
  <r>
    <x v="120"/>
    <x v="0"/>
    <x v="1"/>
  </r>
  <r>
    <x v="50"/>
    <x v="1"/>
    <x v="1"/>
  </r>
  <r>
    <x v="114"/>
    <x v="0"/>
    <x v="0"/>
  </r>
  <r>
    <x v="13"/>
    <x v="0"/>
    <x v="0"/>
  </r>
  <r>
    <x v="134"/>
    <x v="1"/>
    <x v="1"/>
  </r>
  <r>
    <x v="130"/>
    <x v="0"/>
    <x v="1"/>
  </r>
  <r>
    <x v="73"/>
    <x v="0"/>
    <x v="1"/>
  </r>
  <r>
    <x v="74"/>
    <x v="0"/>
    <x v="1"/>
  </r>
  <r>
    <x v="42"/>
    <x v="0"/>
    <x v="1"/>
  </r>
  <r>
    <x v="63"/>
    <x v="0"/>
    <x v="0"/>
  </r>
  <r>
    <x v="83"/>
    <x v="0"/>
    <x v="1"/>
  </r>
  <r>
    <x v="114"/>
    <x v="0"/>
    <x v="0"/>
  </r>
  <r>
    <x v="73"/>
    <x v="0"/>
    <x v="1"/>
  </r>
  <r>
    <x v="83"/>
    <x v="1"/>
    <x v="1"/>
  </r>
  <r>
    <x v="19"/>
    <x v="0"/>
    <x v="0"/>
  </r>
  <r>
    <x v="81"/>
    <x v="0"/>
    <x v="0"/>
  </r>
  <r>
    <x v="46"/>
    <x v="1"/>
    <x v="0"/>
  </r>
  <r>
    <x v="129"/>
    <x v="0"/>
    <x v="1"/>
  </r>
  <r>
    <x v="117"/>
    <x v="0"/>
    <x v="1"/>
  </r>
  <r>
    <x v="63"/>
    <x v="1"/>
    <x v="0"/>
  </r>
  <r>
    <x v="20"/>
    <x v="1"/>
    <x v="1"/>
  </r>
  <r>
    <x v="88"/>
    <x v="0"/>
    <x v="1"/>
  </r>
  <r>
    <x v="1"/>
    <x v="0"/>
    <x v="1"/>
  </r>
  <r>
    <x v="3"/>
    <x v="0"/>
    <x v="0"/>
  </r>
  <r>
    <x v="20"/>
    <x v="1"/>
    <x v="1"/>
  </r>
  <r>
    <x v="103"/>
    <x v="1"/>
    <x v="0"/>
  </r>
  <r>
    <x v="202"/>
    <x v="0"/>
    <x v="0"/>
  </r>
  <r>
    <x v="50"/>
    <x v="0"/>
    <x v="1"/>
  </r>
  <r>
    <x v="72"/>
    <x v="0"/>
    <x v="1"/>
  </r>
  <r>
    <x v="113"/>
    <x v="0"/>
    <x v="0"/>
  </r>
  <r>
    <x v="8"/>
    <x v="0"/>
    <x v="0"/>
  </r>
  <r>
    <x v="130"/>
    <x v="1"/>
    <x v="1"/>
  </r>
  <r>
    <x v="24"/>
    <x v="0"/>
    <x v="0"/>
  </r>
  <r>
    <x v="142"/>
    <x v="0"/>
    <x v="1"/>
  </r>
  <r>
    <x v="66"/>
    <x v="0"/>
    <x v="0"/>
  </r>
  <r>
    <x v="165"/>
    <x v="1"/>
    <x v="1"/>
  </r>
  <r>
    <x v="114"/>
    <x v="1"/>
    <x v="0"/>
  </r>
  <r>
    <x v="1"/>
    <x v="0"/>
    <x v="1"/>
  </r>
  <r>
    <x v="89"/>
    <x v="1"/>
    <x v="1"/>
  </r>
  <r>
    <x v="75"/>
    <x v="1"/>
    <x v="0"/>
  </r>
  <r>
    <x v="10"/>
    <x v="0"/>
    <x v="0"/>
  </r>
  <r>
    <x v="6"/>
    <x v="0"/>
    <x v="0"/>
  </r>
  <r>
    <x v="41"/>
    <x v="0"/>
    <x v="0"/>
  </r>
  <r>
    <x v="104"/>
    <x v="0"/>
    <x v="0"/>
  </r>
  <r>
    <x v="117"/>
    <x v="0"/>
    <x v="1"/>
  </r>
  <r>
    <x v="107"/>
    <x v="0"/>
    <x v="0"/>
  </r>
  <r>
    <x v="38"/>
    <x v="0"/>
    <x v="0"/>
  </r>
  <r>
    <x v="23"/>
    <x v="0"/>
    <x v="0"/>
  </r>
  <r>
    <x v="3"/>
    <x v="1"/>
    <x v="0"/>
  </r>
  <r>
    <x v="139"/>
    <x v="0"/>
    <x v="1"/>
  </r>
  <r>
    <x v="126"/>
    <x v="0"/>
    <x v="1"/>
  </r>
  <r>
    <x v="114"/>
    <x v="0"/>
    <x v="0"/>
  </r>
  <r>
    <x v="94"/>
    <x v="0"/>
    <x v="1"/>
  </r>
  <r>
    <x v="121"/>
    <x v="1"/>
    <x v="1"/>
  </r>
  <r>
    <x v="33"/>
    <x v="0"/>
    <x v="0"/>
  </r>
  <r>
    <x v="49"/>
    <x v="1"/>
    <x v="1"/>
  </r>
  <r>
    <x v="46"/>
    <x v="1"/>
    <x v="0"/>
  </r>
  <r>
    <x v="46"/>
    <x v="0"/>
    <x v="0"/>
  </r>
  <r>
    <x v="83"/>
    <x v="0"/>
    <x v="1"/>
  </r>
  <r>
    <x v="1"/>
    <x v="1"/>
    <x v="1"/>
  </r>
  <r>
    <x v="35"/>
    <x v="0"/>
    <x v="0"/>
  </r>
  <r>
    <x v="77"/>
    <x v="1"/>
    <x v="0"/>
  </r>
  <r>
    <x v="99"/>
    <x v="0"/>
    <x v="0"/>
  </r>
  <r>
    <x v="63"/>
    <x v="1"/>
    <x v="0"/>
  </r>
  <r>
    <x v="142"/>
    <x v="1"/>
    <x v="1"/>
  </r>
  <r>
    <x v="108"/>
    <x v="0"/>
    <x v="0"/>
  </r>
  <r>
    <x v="73"/>
    <x v="1"/>
    <x v="1"/>
  </r>
  <r>
    <x v="135"/>
    <x v="0"/>
    <x v="1"/>
  </r>
  <r>
    <x v="28"/>
    <x v="0"/>
    <x v="0"/>
  </r>
  <r>
    <x v="79"/>
    <x v="0"/>
    <x v="0"/>
  </r>
  <r>
    <x v="15"/>
    <x v="0"/>
    <x v="0"/>
  </r>
  <r>
    <x v="76"/>
    <x v="0"/>
    <x v="0"/>
  </r>
  <r>
    <x v="56"/>
    <x v="1"/>
    <x v="1"/>
  </r>
  <r>
    <x v="114"/>
    <x v="0"/>
    <x v="0"/>
  </r>
  <r>
    <x v="30"/>
    <x v="0"/>
    <x v="0"/>
  </r>
  <r>
    <x v="95"/>
    <x v="0"/>
    <x v="1"/>
  </r>
  <r>
    <x v="98"/>
    <x v="0"/>
    <x v="0"/>
  </r>
  <r>
    <x v="139"/>
    <x v="0"/>
    <x v="1"/>
  </r>
  <r>
    <x v="112"/>
    <x v="0"/>
    <x v="0"/>
  </r>
  <r>
    <x v="8"/>
    <x v="0"/>
    <x v="0"/>
  </r>
  <r>
    <x v="8"/>
    <x v="0"/>
    <x v="0"/>
  </r>
  <r>
    <x v="40"/>
    <x v="0"/>
    <x v="0"/>
  </r>
  <r>
    <x v="82"/>
    <x v="0"/>
    <x v="0"/>
  </r>
  <r>
    <x v="86"/>
    <x v="1"/>
    <x v="1"/>
  </r>
  <r>
    <x v="116"/>
    <x v="1"/>
    <x v="0"/>
  </r>
  <r>
    <x v="3"/>
    <x v="0"/>
    <x v="0"/>
  </r>
  <r>
    <x v="1"/>
    <x v="1"/>
    <x v="1"/>
  </r>
  <r>
    <x v="36"/>
    <x v="1"/>
    <x v="0"/>
  </r>
  <r>
    <x v="13"/>
    <x v="0"/>
    <x v="0"/>
  </r>
  <r>
    <x v="33"/>
    <x v="0"/>
    <x v="0"/>
  </r>
  <r>
    <x v="69"/>
    <x v="0"/>
    <x v="0"/>
  </r>
  <r>
    <x v="130"/>
    <x v="0"/>
    <x v="1"/>
  </r>
  <r>
    <x v="116"/>
    <x v="0"/>
    <x v="0"/>
  </r>
  <r>
    <x v="38"/>
    <x v="0"/>
    <x v="0"/>
  </r>
  <r>
    <x v="15"/>
    <x v="1"/>
    <x v="0"/>
  </r>
  <r>
    <x v="15"/>
    <x v="0"/>
    <x v="0"/>
  </r>
  <r>
    <x v="19"/>
    <x v="0"/>
    <x v="0"/>
  </r>
  <r>
    <x v="82"/>
    <x v="0"/>
    <x v="0"/>
  </r>
  <r>
    <x v="147"/>
    <x v="0"/>
    <x v="0"/>
  </r>
  <r>
    <x v="130"/>
    <x v="0"/>
    <x v="1"/>
  </r>
  <r>
    <x v="90"/>
    <x v="0"/>
    <x v="1"/>
  </r>
  <r>
    <x v="91"/>
    <x v="0"/>
    <x v="0"/>
  </r>
  <r>
    <x v="7"/>
    <x v="0"/>
    <x v="0"/>
  </r>
  <r>
    <x v="142"/>
    <x v="0"/>
    <x v="1"/>
  </r>
  <r>
    <x v="82"/>
    <x v="0"/>
    <x v="0"/>
  </r>
  <r>
    <x v="13"/>
    <x v="0"/>
    <x v="0"/>
  </r>
  <r>
    <x v="49"/>
    <x v="1"/>
    <x v="1"/>
  </r>
  <r>
    <x v="73"/>
    <x v="0"/>
    <x v="1"/>
  </r>
  <r>
    <x v="27"/>
    <x v="0"/>
    <x v="0"/>
  </r>
  <r>
    <x v="73"/>
    <x v="1"/>
    <x v="1"/>
  </r>
  <r>
    <x v="9"/>
    <x v="1"/>
    <x v="0"/>
  </r>
  <r>
    <x v="135"/>
    <x v="0"/>
    <x v="1"/>
  </r>
  <r>
    <x v="90"/>
    <x v="0"/>
    <x v="1"/>
  </r>
  <r>
    <x v="36"/>
    <x v="0"/>
    <x v="0"/>
  </r>
  <r>
    <x v="95"/>
    <x v="0"/>
    <x v="1"/>
  </r>
  <r>
    <x v="73"/>
    <x v="1"/>
    <x v="1"/>
  </r>
  <r>
    <x v="28"/>
    <x v="0"/>
    <x v="0"/>
  </r>
  <r>
    <x v="6"/>
    <x v="0"/>
    <x v="0"/>
  </r>
  <r>
    <x v="26"/>
    <x v="0"/>
    <x v="0"/>
  </r>
  <r>
    <x v="121"/>
    <x v="0"/>
    <x v="1"/>
  </r>
  <r>
    <x v="95"/>
    <x v="1"/>
    <x v="1"/>
  </r>
  <r>
    <x v="40"/>
    <x v="0"/>
    <x v="0"/>
  </r>
  <r>
    <x v="132"/>
    <x v="0"/>
    <x v="1"/>
  </r>
  <r>
    <x v="38"/>
    <x v="0"/>
    <x v="0"/>
  </r>
  <r>
    <x v="67"/>
    <x v="0"/>
    <x v="0"/>
  </r>
  <r>
    <x v="129"/>
    <x v="0"/>
    <x v="1"/>
  </r>
  <r>
    <x v="20"/>
    <x v="1"/>
    <x v="1"/>
  </r>
  <r>
    <x v="7"/>
    <x v="0"/>
    <x v="0"/>
  </r>
  <r>
    <x v="36"/>
    <x v="0"/>
    <x v="0"/>
  </r>
  <r>
    <x v="42"/>
    <x v="1"/>
    <x v="1"/>
  </r>
  <r>
    <x v="121"/>
    <x v="0"/>
    <x v="1"/>
  </r>
  <r>
    <x v="116"/>
    <x v="0"/>
    <x v="0"/>
  </r>
  <r>
    <x v="106"/>
    <x v="0"/>
    <x v="1"/>
  </r>
  <r>
    <x v="95"/>
    <x v="0"/>
    <x v="1"/>
  </r>
  <r>
    <x v="152"/>
    <x v="0"/>
    <x v="1"/>
  </r>
  <r>
    <x v="80"/>
    <x v="0"/>
    <x v="1"/>
  </r>
  <r>
    <x v="49"/>
    <x v="0"/>
    <x v="1"/>
  </r>
  <r>
    <x v="69"/>
    <x v="0"/>
    <x v="0"/>
  </r>
  <r>
    <x v="8"/>
    <x v="0"/>
    <x v="0"/>
  </r>
  <r>
    <x v="23"/>
    <x v="0"/>
    <x v="0"/>
  </r>
  <r>
    <x v="76"/>
    <x v="1"/>
    <x v="0"/>
  </r>
  <r>
    <x v="0"/>
    <x v="0"/>
    <x v="0"/>
  </r>
  <r>
    <x v="6"/>
    <x v="0"/>
    <x v="0"/>
  </r>
  <r>
    <x v="114"/>
    <x v="0"/>
    <x v="0"/>
  </r>
  <r>
    <x v="35"/>
    <x v="0"/>
    <x v="0"/>
  </r>
  <r>
    <x v="115"/>
    <x v="1"/>
    <x v="0"/>
  </r>
  <r>
    <x v="27"/>
    <x v="0"/>
    <x v="0"/>
  </r>
  <r>
    <x v="36"/>
    <x v="0"/>
    <x v="0"/>
  </r>
  <r>
    <x v="77"/>
    <x v="1"/>
    <x v="0"/>
  </r>
  <r>
    <x v="28"/>
    <x v="0"/>
    <x v="0"/>
  </r>
  <r>
    <x v="28"/>
    <x v="1"/>
    <x v="0"/>
  </r>
  <r>
    <x v="9"/>
    <x v="0"/>
    <x v="0"/>
  </r>
  <r>
    <x v="134"/>
    <x v="1"/>
    <x v="1"/>
  </r>
  <r>
    <x v="73"/>
    <x v="0"/>
    <x v="1"/>
  </r>
  <r>
    <x v="94"/>
    <x v="1"/>
    <x v="1"/>
  </r>
  <r>
    <x v="152"/>
    <x v="1"/>
    <x v="1"/>
  </r>
  <r>
    <x v="1"/>
    <x v="1"/>
    <x v="1"/>
  </r>
  <r>
    <x v="161"/>
    <x v="1"/>
    <x v="1"/>
  </r>
  <r>
    <x v="132"/>
    <x v="1"/>
    <x v="1"/>
  </r>
  <r>
    <x v="139"/>
    <x v="1"/>
    <x v="1"/>
  </r>
  <r>
    <x v="129"/>
    <x v="1"/>
    <x v="1"/>
  </r>
  <r>
    <x v="142"/>
    <x v="1"/>
    <x v="1"/>
  </r>
  <r>
    <x v="121"/>
    <x v="0"/>
    <x v="1"/>
  </r>
  <r>
    <x v="134"/>
    <x v="1"/>
    <x v="1"/>
  </r>
  <r>
    <x v="74"/>
    <x v="1"/>
    <x v="1"/>
  </r>
  <r>
    <x v="95"/>
    <x v="1"/>
    <x v="1"/>
  </r>
  <r>
    <x v="94"/>
    <x v="1"/>
    <x v="1"/>
  </r>
  <r>
    <x v="129"/>
    <x v="1"/>
    <x v="1"/>
  </r>
  <r>
    <x v="73"/>
    <x v="0"/>
    <x v="1"/>
  </r>
  <r>
    <x v="93"/>
    <x v="1"/>
    <x v="1"/>
  </r>
  <r>
    <x v="28"/>
    <x v="0"/>
    <x v="0"/>
  </r>
  <r>
    <x v="119"/>
    <x v="0"/>
    <x v="1"/>
  </r>
  <r>
    <x v="156"/>
    <x v="1"/>
    <x v="1"/>
  </r>
  <r>
    <x v="106"/>
    <x v="1"/>
    <x v="1"/>
  </r>
  <r>
    <x v="131"/>
    <x v="1"/>
    <x v="1"/>
  </r>
  <r>
    <x v="95"/>
    <x v="0"/>
    <x v="1"/>
  </r>
  <r>
    <x v="126"/>
    <x v="0"/>
    <x v="1"/>
  </r>
  <r>
    <x v="42"/>
    <x v="1"/>
    <x v="1"/>
  </r>
  <r>
    <x v="14"/>
    <x v="0"/>
    <x v="1"/>
  </r>
  <r>
    <x v="19"/>
    <x v="1"/>
    <x v="0"/>
  </r>
  <r>
    <x v="131"/>
    <x v="1"/>
    <x v="1"/>
  </r>
  <r>
    <x v="50"/>
    <x v="1"/>
    <x v="1"/>
  </r>
  <r>
    <x v="155"/>
    <x v="1"/>
    <x v="1"/>
  </r>
  <r>
    <x v="116"/>
    <x v="1"/>
    <x v="0"/>
  </r>
  <r>
    <x v="94"/>
    <x v="1"/>
    <x v="1"/>
  </r>
  <r>
    <x v="106"/>
    <x v="1"/>
    <x v="1"/>
  </r>
  <r>
    <x v="106"/>
    <x v="1"/>
    <x v="1"/>
  </r>
  <r>
    <x v="1"/>
    <x v="1"/>
    <x v="1"/>
  </r>
  <r>
    <x v="0"/>
    <x v="1"/>
    <x v="0"/>
  </r>
  <r>
    <x v="115"/>
    <x v="0"/>
    <x v="0"/>
  </r>
  <r>
    <x v="59"/>
    <x v="1"/>
    <x v="0"/>
  </r>
  <r>
    <x v="142"/>
    <x v="0"/>
    <x v="1"/>
  </r>
  <r>
    <x v="42"/>
    <x v="1"/>
    <x v="1"/>
  </r>
  <r>
    <x v="56"/>
    <x v="1"/>
    <x v="1"/>
  </r>
  <r>
    <x v="151"/>
    <x v="1"/>
    <x v="1"/>
  </r>
  <r>
    <x v="117"/>
    <x v="1"/>
    <x v="1"/>
  </r>
  <r>
    <x v="119"/>
    <x v="1"/>
    <x v="1"/>
  </r>
  <r>
    <x v="155"/>
    <x v="1"/>
    <x v="1"/>
  </r>
  <r>
    <x v="90"/>
    <x v="1"/>
    <x v="1"/>
  </r>
  <r>
    <x v="73"/>
    <x v="1"/>
    <x v="1"/>
  </r>
  <r>
    <x v="119"/>
    <x v="1"/>
    <x v="1"/>
  </r>
  <r>
    <x v="36"/>
    <x v="1"/>
    <x v="0"/>
  </r>
  <r>
    <x v="139"/>
    <x v="1"/>
    <x v="1"/>
  </r>
  <r>
    <x v="33"/>
    <x v="1"/>
    <x v="0"/>
  </r>
  <r>
    <x v="86"/>
    <x v="1"/>
    <x v="1"/>
  </r>
  <r>
    <x v="119"/>
    <x v="1"/>
    <x v="1"/>
  </r>
  <r>
    <x v="42"/>
    <x v="1"/>
    <x v="1"/>
  </r>
  <r>
    <x v="24"/>
    <x v="0"/>
    <x v="0"/>
  </r>
  <r>
    <x v="50"/>
    <x v="1"/>
    <x v="1"/>
  </r>
  <r>
    <x v="129"/>
    <x v="1"/>
    <x v="1"/>
  </r>
  <r>
    <x v="42"/>
    <x v="1"/>
    <x v="1"/>
  </r>
  <r>
    <x v="155"/>
    <x v="1"/>
    <x v="1"/>
  </r>
  <r>
    <x v="128"/>
    <x v="1"/>
    <x v="1"/>
  </r>
  <r>
    <x v="114"/>
    <x v="1"/>
    <x v="0"/>
  </r>
  <r>
    <x v="73"/>
    <x v="1"/>
    <x v="1"/>
  </r>
  <r>
    <x v="80"/>
    <x v="1"/>
    <x v="1"/>
  </r>
  <r>
    <x v="117"/>
    <x v="1"/>
    <x v="1"/>
  </r>
  <r>
    <x v="72"/>
    <x v="1"/>
    <x v="1"/>
  </r>
  <r>
    <x v="106"/>
    <x v="1"/>
    <x v="1"/>
  </r>
  <r>
    <x v="73"/>
    <x v="1"/>
    <x v="1"/>
  </r>
  <r>
    <x v="131"/>
    <x v="1"/>
    <x v="1"/>
  </r>
  <r>
    <x v="80"/>
    <x v="1"/>
    <x v="1"/>
  </r>
  <r>
    <x v="131"/>
    <x v="0"/>
    <x v="1"/>
  </r>
  <r>
    <x v="89"/>
    <x v="0"/>
    <x v="1"/>
  </r>
  <r>
    <x v="128"/>
    <x v="1"/>
    <x v="1"/>
  </r>
  <r>
    <x v="88"/>
    <x v="0"/>
    <x v="1"/>
  </r>
  <r>
    <x v="132"/>
    <x v="0"/>
    <x v="1"/>
  </r>
  <r>
    <x v="120"/>
    <x v="1"/>
    <x v="1"/>
  </r>
  <r>
    <x v="30"/>
    <x v="0"/>
    <x v="0"/>
  </r>
  <r>
    <x v="90"/>
    <x v="0"/>
    <x v="1"/>
  </r>
  <r>
    <x v="150"/>
    <x v="0"/>
    <x v="1"/>
  </r>
  <r>
    <x v="155"/>
    <x v="0"/>
    <x v="1"/>
  </r>
  <r>
    <x v="145"/>
    <x v="0"/>
    <x v="1"/>
  </r>
  <r>
    <x v="130"/>
    <x v="0"/>
    <x v="1"/>
  </r>
  <r>
    <x v="132"/>
    <x v="1"/>
    <x v="1"/>
  </r>
  <r>
    <x v="125"/>
    <x v="0"/>
    <x v="1"/>
  </r>
  <r>
    <x v="62"/>
    <x v="0"/>
    <x v="1"/>
  </r>
  <r>
    <x v="159"/>
    <x v="0"/>
    <x v="1"/>
  </r>
  <r>
    <x v="157"/>
    <x v="0"/>
    <x v="1"/>
  </r>
  <r>
    <x v="50"/>
    <x v="0"/>
    <x v="1"/>
  </r>
  <r>
    <x v="50"/>
    <x v="0"/>
    <x v="1"/>
  </r>
  <r>
    <x v="154"/>
    <x v="1"/>
    <x v="1"/>
  </r>
  <r>
    <x v="89"/>
    <x v="0"/>
    <x v="1"/>
  </r>
  <r>
    <x v="90"/>
    <x v="0"/>
    <x v="1"/>
  </r>
  <r>
    <x v="55"/>
    <x v="0"/>
    <x v="1"/>
  </r>
  <r>
    <x v="203"/>
    <x v="0"/>
    <x v="0"/>
  </r>
  <r>
    <x v="204"/>
    <x v="0"/>
    <x v="0"/>
  </r>
  <r>
    <x v="205"/>
    <x v="0"/>
    <x v="0"/>
  </r>
  <r>
    <x v="194"/>
    <x v="0"/>
    <x v="0"/>
  </r>
  <r>
    <x v="134"/>
    <x v="0"/>
    <x v="1"/>
  </r>
  <r>
    <x v="122"/>
    <x v="0"/>
    <x v="0"/>
  </r>
  <r>
    <x v="78"/>
    <x v="0"/>
    <x v="0"/>
  </r>
  <r>
    <x v="206"/>
    <x v="0"/>
    <x v="0"/>
  </r>
  <r>
    <x v="174"/>
    <x v="0"/>
    <x v="0"/>
  </r>
  <r>
    <x v="90"/>
    <x v="0"/>
    <x v="1"/>
  </r>
  <r>
    <x v="192"/>
    <x v="0"/>
    <x v="0"/>
  </r>
  <r>
    <x v="71"/>
    <x v="0"/>
    <x v="0"/>
  </r>
  <r>
    <x v="168"/>
    <x v="0"/>
    <x v="0"/>
  </r>
  <r>
    <x v="207"/>
    <x v="0"/>
    <x v="0"/>
  </r>
  <r>
    <x v="16"/>
    <x v="0"/>
    <x v="0"/>
  </r>
  <r>
    <x v="146"/>
    <x v="0"/>
    <x v="0"/>
  </r>
  <r>
    <x v="208"/>
    <x v="0"/>
    <x v="0"/>
  </r>
  <r>
    <x v="66"/>
    <x v="0"/>
    <x v="0"/>
  </r>
  <r>
    <x v="108"/>
    <x v="0"/>
    <x v="0"/>
  </r>
  <r>
    <x v="78"/>
    <x v="0"/>
    <x v="0"/>
  </r>
  <r>
    <x v="113"/>
    <x v="0"/>
    <x v="0"/>
  </r>
  <r>
    <x v="75"/>
    <x v="0"/>
    <x v="0"/>
  </r>
  <r>
    <x v="148"/>
    <x v="0"/>
    <x v="0"/>
  </r>
  <r>
    <x v="209"/>
    <x v="0"/>
    <x v="0"/>
  </r>
  <r>
    <x v="153"/>
    <x v="0"/>
    <x v="1"/>
  </r>
  <r>
    <x v="12"/>
    <x v="0"/>
    <x v="0"/>
  </r>
  <r>
    <x v="204"/>
    <x v="0"/>
    <x v="0"/>
  </r>
  <r>
    <x v="169"/>
    <x v="0"/>
    <x v="0"/>
  </r>
  <r>
    <x v="210"/>
    <x v="0"/>
    <x v="0"/>
  </r>
  <r>
    <x v="102"/>
    <x v="0"/>
    <x v="0"/>
  </r>
  <r>
    <x v="211"/>
    <x v="0"/>
    <x v="0"/>
  </r>
  <r>
    <x v="96"/>
    <x v="0"/>
    <x v="0"/>
  </r>
  <r>
    <x v="110"/>
    <x v="0"/>
    <x v="0"/>
  </r>
  <r>
    <x v="26"/>
    <x v="0"/>
    <x v="0"/>
  </r>
  <r>
    <x v="16"/>
    <x v="0"/>
    <x v="0"/>
  </r>
  <r>
    <x v="39"/>
    <x v="0"/>
    <x v="0"/>
  </r>
  <r>
    <x v="177"/>
    <x v="0"/>
    <x v="0"/>
  </r>
  <r>
    <x v="212"/>
    <x v="0"/>
    <x v="0"/>
  </r>
  <r>
    <x v="213"/>
    <x v="0"/>
    <x v="0"/>
  </r>
  <r>
    <x v="214"/>
    <x v="0"/>
    <x v="0"/>
  </r>
  <r>
    <x v="2"/>
    <x v="0"/>
    <x v="0"/>
  </r>
  <r>
    <x v="215"/>
    <x v="0"/>
    <x v="0"/>
  </r>
  <r>
    <x v="119"/>
    <x v="0"/>
    <x v="1"/>
  </r>
  <r>
    <x v="211"/>
    <x v="0"/>
    <x v="0"/>
  </r>
  <r>
    <x v="216"/>
    <x v="0"/>
    <x v="0"/>
  </r>
  <r>
    <x v="217"/>
    <x v="0"/>
    <x v="0"/>
  </r>
  <r>
    <x v="218"/>
    <x v="0"/>
    <x v="0"/>
  </r>
  <r>
    <x v="63"/>
    <x v="0"/>
    <x v="0"/>
  </r>
  <r>
    <x v="219"/>
    <x v="0"/>
    <x v="0"/>
  </r>
  <r>
    <x v="206"/>
    <x v="0"/>
    <x v="0"/>
  </r>
  <r>
    <x v="220"/>
    <x v="0"/>
    <x v="0"/>
  </r>
  <r>
    <x v="221"/>
    <x v="0"/>
    <x v="0"/>
  </r>
  <r>
    <x v="6"/>
    <x v="0"/>
    <x v="0"/>
  </r>
  <r>
    <x v="60"/>
    <x v="0"/>
    <x v="0"/>
  </r>
  <r>
    <x v="222"/>
    <x v="0"/>
    <x v="0"/>
  </r>
  <r>
    <x v="223"/>
    <x v="0"/>
    <x v="0"/>
  </r>
  <r>
    <x v="224"/>
    <x v="0"/>
    <x v="0"/>
  </r>
  <r>
    <x v="44"/>
    <x v="0"/>
    <x v="0"/>
  </r>
  <r>
    <x v="192"/>
    <x v="0"/>
    <x v="0"/>
  </r>
  <r>
    <x v="2"/>
    <x v="0"/>
    <x v="0"/>
  </r>
  <r>
    <x v="225"/>
    <x v="0"/>
    <x v="0"/>
  </r>
  <r>
    <x v="226"/>
    <x v="0"/>
    <x v="0"/>
  </r>
  <r>
    <x v="98"/>
    <x v="0"/>
    <x v="0"/>
  </r>
  <r>
    <x v="90"/>
    <x v="0"/>
    <x v="1"/>
  </r>
  <r>
    <x v="136"/>
    <x v="0"/>
    <x v="0"/>
  </r>
  <r>
    <x v="136"/>
    <x v="0"/>
    <x v="0"/>
  </r>
  <r>
    <x v="193"/>
    <x v="0"/>
    <x v="0"/>
  </r>
  <r>
    <x v="108"/>
    <x v="0"/>
    <x v="0"/>
  </r>
  <r>
    <x v="169"/>
    <x v="0"/>
    <x v="0"/>
  </r>
  <r>
    <x v="170"/>
    <x v="0"/>
    <x v="0"/>
  </r>
  <r>
    <x v="9"/>
    <x v="0"/>
    <x v="0"/>
  </r>
  <r>
    <x v="227"/>
    <x v="0"/>
    <x v="0"/>
  </r>
  <r>
    <x v="183"/>
    <x v="0"/>
    <x v="0"/>
  </r>
  <r>
    <x v="111"/>
    <x v="0"/>
    <x v="0"/>
  </r>
  <r>
    <x v="108"/>
    <x v="0"/>
    <x v="0"/>
  </r>
  <r>
    <x v="228"/>
    <x v="0"/>
    <x v="0"/>
  </r>
  <r>
    <x v="226"/>
    <x v="0"/>
    <x v="0"/>
  </r>
  <r>
    <x v="229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130DD-6BDA-4B1B-96FA-DAAB1FE20D34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2:D16" firstHeaderRow="1" firstDataRow="2" firstDataCol="1"/>
  <pivotFields count="3">
    <pivotField dataField="1" numFmtId="164" showAll="0">
      <items count="231">
        <item x="149"/>
        <item x="185"/>
        <item x="201"/>
        <item x="195"/>
        <item x="197"/>
        <item x="189"/>
        <item x="186"/>
        <item x="188"/>
        <item x="167"/>
        <item x="190"/>
        <item x="166"/>
        <item x="191"/>
        <item x="163"/>
        <item x="123"/>
        <item x="125"/>
        <item x="164"/>
        <item x="158"/>
        <item x="162"/>
        <item x="124"/>
        <item x="48"/>
        <item x="187"/>
        <item x="51"/>
        <item x="159"/>
        <item x="133"/>
        <item x="154"/>
        <item x="165"/>
        <item x="160"/>
        <item x="47"/>
        <item x="53"/>
        <item x="161"/>
        <item x="153"/>
        <item x="150"/>
        <item x="157"/>
        <item x="156"/>
        <item x="155"/>
        <item x="152"/>
        <item x="62"/>
        <item x="151"/>
        <item x="128"/>
        <item x="120"/>
        <item x="72"/>
        <item x="88"/>
        <item x="89"/>
        <item x="117"/>
        <item x="119"/>
        <item x="131"/>
        <item x="139"/>
        <item x="121"/>
        <item x="145"/>
        <item x="132"/>
        <item x="55"/>
        <item x="93"/>
        <item x="50"/>
        <item x="42"/>
        <item x="126"/>
        <item x="106"/>
        <item x="129"/>
        <item x="86"/>
        <item x="134"/>
        <item x="94"/>
        <item x="74"/>
        <item x="56"/>
        <item x="130"/>
        <item x="142"/>
        <item x="80"/>
        <item x="49"/>
        <item x="90"/>
        <item x="83"/>
        <item x="95"/>
        <item x="14"/>
        <item x="73"/>
        <item x="20"/>
        <item x="135"/>
        <item x="1"/>
        <item x="0"/>
        <item x="4"/>
        <item x="30"/>
        <item x="9"/>
        <item x="114"/>
        <item x="27"/>
        <item x="116"/>
        <item x="3"/>
        <item x="36"/>
        <item x="33"/>
        <item x="77"/>
        <item x="65"/>
        <item x="38"/>
        <item x="8"/>
        <item x="15"/>
        <item x="10"/>
        <item x="82"/>
        <item x="59"/>
        <item x="13"/>
        <item x="76"/>
        <item x="46"/>
        <item x="19"/>
        <item x="24"/>
        <item x="35"/>
        <item x="23"/>
        <item x="28"/>
        <item x="29"/>
        <item x="40"/>
        <item x="99"/>
        <item x="101"/>
        <item x="69"/>
        <item x="63"/>
        <item x="127"/>
        <item x="6"/>
        <item x="81"/>
        <item x="41"/>
        <item x="18"/>
        <item x="70"/>
        <item x="34"/>
        <item x="75"/>
        <item x="107"/>
        <item x="92"/>
        <item x="71"/>
        <item x="137"/>
        <item x="87"/>
        <item x="98"/>
        <item x="108"/>
        <item x="7"/>
        <item x="96"/>
        <item x="52"/>
        <item x="100"/>
        <item x="103"/>
        <item x="66"/>
        <item x="112"/>
        <item x="104"/>
        <item x="54"/>
        <item x="31"/>
        <item x="26"/>
        <item x="110"/>
        <item x="144"/>
        <item x="11"/>
        <item x="113"/>
        <item x="39"/>
        <item x="61"/>
        <item x="97"/>
        <item x="67"/>
        <item x="85"/>
        <item x="79"/>
        <item x="147"/>
        <item x="146"/>
        <item x="105"/>
        <item x="171"/>
        <item x="115"/>
        <item x="173"/>
        <item x="122"/>
        <item x="200"/>
        <item x="111"/>
        <item x="175"/>
        <item x="138"/>
        <item x="141"/>
        <item x="22"/>
        <item x="169"/>
        <item x="136"/>
        <item x="168"/>
        <item x="172"/>
        <item x="192"/>
        <item x="109"/>
        <item x="179"/>
        <item x="21"/>
        <item x="58"/>
        <item x="43"/>
        <item x="32"/>
        <item x="17"/>
        <item x="174"/>
        <item x="213"/>
        <item x="84"/>
        <item x="102"/>
        <item x="176"/>
        <item x="2"/>
        <item x="78"/>
        <item x="5"/>
        <item x="91"/>
        <item x="64"/>
        <item x="143"/>
        <item x="218"/>
        <item x="170"/>
        <item x="202"/>
        <item x="140"/>
        <item x="12"/>
        <item x="68"/>
        <item x="184"/>
        <item x="44"/>
        <item x="182"/>
        <item x="177"/>
        <item x="25"/>
        <item x="148"/>
        <item x="37"/>
        <item x="45"/>
        <item x="207"/>
        <item x="183"/>
        <item x="60"/>
        <item x="181"/>
        <item x="211"/>
        <item x="16"/>
        <item x="206"/>
        <item x="220"/>
        <item x="209"/>
        <item x="205"/>
        <item x="225"/>
        <item x="214"/>
        <item x="226"/>
        <item x="194"/>
        <item x="221"/>
        <item x="204"/>
        <item x="180"/>
        <item x="198"/>
        <item x="228"/>
        <item x="224"/>
        <item x="216"/>
        <item x="178"/>
        <item x="118"/>
        <item x="229"/>
        <item x="210"/>
        <item x="199"/>
        <item x="223"/>
        <item x="219"/>
        <item x="217"/>
        <item x="57"/>
        <item x="196"/>
        <item x="227"/>
        <item x="193"/>
        <item x="208"/>
        <item x="222"/>
        <item x="212"/>
        <item x="215"/>
        <item x="203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Количество по полю Unemployment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38">
    <queryTableFields count="12">
      <queryTableField id="1" name="CensusId" tableColumnId="1"/>
      <queryTableField id="2" name="State" tableColumnId="2"/>
      <queryTableField id="3" name="County" tableColumnId="3"/>
      <queryTableField id="4" name="TotalPop" tableColumnId="4"/>
      <queryTableField id="16" name="IncomePerCap" tableColumnId="16"/>
      <queryTableField id="30" name="WorkAtHome" tableColumnId="30"/>
      <queryTableField id="32" name="Employed" tableColumnId="32"/>
      <queryTableField id="33" name="PrivateWork" tableColumnId="33"/>
      <queryTableField id="34" name="PublicWork" tableColumnId="34"/>
      <queryTableField id="35" name="SelfEmployed" tableColumnId="35"/>
      <queryTableField id="36" name="FamilyWork" tableColumnId="36"/>
      <queryTableField id="37" name="Unemployment" tableColumnId="37"/>
    </queryTableFields>
    <queryTableDeletedFields count="25">
      <deletedField name="Men"/>
      <deletedField name="Women"/>
      <deletedField name="Hispanic"/>
      <deletedField name="White"/>
      <deletedField name="Black"/>
      <deletedField name="Native"/>
      <deletedField name="Asian"/>
      <deletedField name="Pacific"/>
      <deletedField name="Citizen"/>
      <deletedField name="Income"/>
      <deletedField name="IncomeErr"/>
      <deletedField name="IncomePerCapErr"/>
      <deletedField name="Poverty"/>
      <deletedField name="ChildPoverty"/>
      <deletedField name="Professional"/>
      <deletedField name="Service"/>
      <deletedField name="Office"/>
      <deletedField name="Construction"/>
      <deletedField name="Production"/>
      <deletedField name="Drive"/>
      <deletedField name="Carpool"/>
      <deletedField name="Transit"/>
      <deletedField name="Walk"/>
      <deletedField name="OtherTransp"/>
      <deletedField name="MeanCommu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s2015_county_data" displayName="acs2015_county_data" ref="A1:L3222" tableType="queryTable" totalsRowCount="1">
  <tableColumns count="12">
    <tableColumn id="1" xr3:uid="{00000000-0010-0000-0000-000001000000}" uniqueName="1" name="CensusId" queryTableFieldId="1"/>
    <tableColumn id="2" xr3:uid="{00000000-0010-0000-0000-000002000000}" uniqueName="2" name="State" queryTableFieldId="2" dataDxfId="19"/>
    <tableColumn id="3" xr3:uid="{00000000-0010-0000-0000-000003000000}" uniqueName="3" name="County" queryTableFieldId="3" dataDxfId="18"/>
    <tableColumn id="4" xr3:uid="{00000000-0010-0000-0000-000004000000}" uniqueName="4" name="TotalPop" totalsRowFunction="average" queryTableFieldId="4" dataDxfId="17" totalsRowDxfId="16"/>
    <tableColumn id="16" xr3:uid="{00000000-0010-0000-0000-000010000000}" uniqueName="16" name="IncomePerCap" totalsRowFunction="average" queryTableFieldId="16" dataDxfId="15" totalsRowDxfId="14"/>
    <tableColumn id="30" xr3:uid="{00000000-0010-0000-0000-00001E000000}" uniqueName="30" name="WorkAtHome" totalsRowFunction="average" queryTableFieldId="30" dataDxfId="13" totalsRowDxfId="12"/>
    <tableColumn id="32" xr3:uid="{00000000-0010-0000-0000-000020000000}" uniqueName="32" name="Employed" totalsRowFunction="average" queryTableFieldId="32" dataDxfId="11" totalsRowDxfId="10"/>
    <tableColumn id="33" xr3:uid="{00000000-0010-0000-0000-000021000000}" uniqueName="33" name="PrivateWork" totalsRowFunction="average" queryTableFieldId="33" dataDxfId="9" totalsRowDxfId="8"/>
    <tableColumn id="34" xr3:uid="{00000000-0010-0000-0000-000022000000}" uniqueName="34" name="PublicWork" totalsRowFunction="average" queryTableFieldId="34" dataDxfId="7" totalsRowDxfId="6"/>
    <tableColumn id="35" xr3:uid="{00000000-0010-0000-0000-000023000000}" uniqueName="35" name="SelfEmployed" totalsRowFunction="average" queryTableFieldId="35" dataDxfId="5" totalsRowDxfId="4"/>
    <tableColumn id="36" xr3:uid="{00000000-0010-0000-0000-000024000000}" uniqueName="36" name="FamilyWork" totalsRowFunction="average" queryTableFieldId="36" dataDxfId="3" totalsRowDxfId="2"/>
    <tableColumn id="37" xr3:uid="{00000000-0010-0000-0000-000025000000}" uniqueName="37" name="Unemployment" totalsRowFunction="average" queryTableFieldId="37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24"/>
  <sheetViews>
    <sheetView tabSelected="1" workbookViewId="0">
      <selection activeCell="G3150" sqref="G3150"/>
    </sheetView>
  </sheetViews>
  <sheetFormatPr defaultRowHeight="14.5" x14ac:dyDescent="0.35"/>
  <cols>
    <col min="1" max="1" width="10.6328125" bestFit="1" customWidth="1"/>
    <col min="2" max="2" width="19.1796875" bestFit="1" customWidth="1"/>
    <col min="3" max="3" width="30.453125" bestFit="1" customWidth="1"/>
    <col min="4" max="4" width="12" bestFit="1" customWidth="1"/>
    <col min="5" max="5" width="13" customWidth="1"/>
    <col min="6" max="6" width="18" customWidth="1"/>
    <col min="7" max="7" width="12" customWidth="1"/>
    <col min="8" max="8" width="12.54296875" customWidth="1"/>
    <col min="9" max="9" width="14.453125" customWidth="1"/>
    <col min="10" max="10" width="11.6328125" customWidth="1"/>
    <col min="11" max="11" width="10.08984375" customWidth="1"/>
    <col min="12" max="12" width="14.1796875" customWidth="1"/>
    <col min="13" max="13" width="15.54296875" bestFit="1" customWidth="1"/>
    <col min="14" max="14" width="17.81640625" bestFit="1" customWidth="1"/>
    <col min="15" max="15" width="9.54296875" bestFit="1" customWidth="1"/>
    <col min="16" max="16" width="13.81640625" bestFit="1" customWidth="1"/>
    <col min="17" max="17" width="13.36328125" bestFit="1" customWidth="1"/>
    <col min="18" max="18" width="8.90625" bestFit="1" customWidth="1"/>
    <col min="19" max="19" width="8" bestFit="1" customWidth="1"/>
    <col min="20" max="20" width="13.90625" bestFit="1" customWidth="1"/>
    <col min="21" max="21" width="12.36328125" bestFit="1" customWidth="1"/>
    <col min="22" max="22" width="7.453125" bestFit="1" customWidth="1"/>
    <col min="23" max="23" width="9.6328125" bestFit="1" customWidth="1"/>
    <col min="24" max="24" width="11.1796875" customWidth="1"/>
    <col min="25" max="25" width="14.453125" customWidth="1"/>
    <col min="26" max="26" width="13.81640625" bestFit="1" customWidth="1"/>
    <col min="27" max="27" width="14.6328125" bestFit="1" customWidth="1"/>
    <col min="28" max="28" width="16.1796875" bestFit="1" customWidth="1"/>
    <col min="29" max="29" width="11.453125" bestFit="1" customWidth="1"/>
    <col min="30" max="30" width="13.6328125" bestFit="1" customWidth="1"/>
    <col min="31" max="31" width="12.81640625" bestFit="1" customWidth="1"/>
    <col min="32" max="32" width="14.36328125" bestFit="1" customWidth="1"/>
    <col min="33" max="33" width="13.08984375" bestFit="1" customWidth="1"/>
    <col min="34" max="34" width="16.1796875" bestFit="1" customWidth="1"/>
    <col min="36" max="36" width="17.8164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1996</v>
      </c>
      <c r="N1" t="s">
        <v>1997</v>
      </c>
    </row>
    <row r="2" spans="1:14" x14ac:dyDescent="0.35">
      <c r="A2">
        <v>1001</v>
      </c>
      <c r="B2" t="s">
        <v>14</v>
      </c>
      <c r="C2" t="s">
        <v>15</v>
      </c>
      <c r="D2" s="2">
        <v>55221</v>
      </c>
      <c r="E2" s="2">
        <v>24974</v>
      </c>
      <c r="F2" s="3">
        <v>1.8</v>
      </c>
      <c r="G2" s="3">
        <v>23986</v>
      </c>
      <c r="H2" s="3">
        <v>73.599999999999994</v>
      </c>
      <c r="I2" s="3">
        <v>20.9</v>
      </c>
      <c r="J2" s="3">
        <v>5.5</v>
      </c>
      <c r="K2" s="3">
        <v>0</v>
      </c>
      <c r="L2" s="3">
        <v>7.6</v>
      </c>
      <c r="M2" t="str">
        <f>IF(acs2015_county_data[[#This Row],[PublicWork]]&gt;='Описательные характеристики'!$F$5,"да","нет")</f>
        <v>да</v>
      </c>
      <c r="N2" t="str">
        <f>IF(acs2015_county_data[[#This Row],[Unemployment]]&gt;='Описательные характеристики'!$I$5,"да","нет")</f>
        <v>да</v>
      </c>
    </row>
    <row r="3" spans="1:14" x14ac:dyDescent="0.35">
      <c r="A3">
        <v>1003</v>
      </c>
      <c r="B3" t="s">
        <v>14</v>
      </c>
      <c r="C3" t="s">
        <v>16</v>
      </c>
      <c r="D3" s="2">
        <v>195121</v>
      </c>
      <c r="E3" s="2">
        <v>27317</v>
      </c>
      <c r="F3" s="3">
        <v>3.9</v>
      </c>
      <c r="G3" s="3">
        <v>85953</v>
      </c>
      <c r="H3" s="3">
        <v>81.5</v>
      </c>
      <c r="I3" s="3">
        <v>12.3</v>
      </c>
      <c r="J3" s="3">
        <v>5.8</v>
      </c>
      <c r="K3" s="3">
        <v>0.4</v>
      </c>
      <c r="L3" s="3">
        <v>7.5</v>
      </c>
      <c r="M3" t="str">
        <f>IF(acs2015_county_data[[#This Row],[PublicWork]]&gt;='Описательные характеристики'!$F$5,"да","нет")</f>
        <v>нет</v>
      </c>
      <c r="N3" t="str">
        <f>IF(acs2015_county_data[[#This Row],[Unemployment]]&gt;='Описательные характеристики'!$I$5,"да","нет")</f>
        <v>нет</v>
      </c>
    </row>
    <row r="4" spans="1:14" x14ac:dyDescent="0.35">
      <c r="A4">
        <v>1005</v>
      </c>
      <c r="B4" t="s">
        <v>14</v>
      </c>
      <c r="C4" t="s">
        <v>17</v>
      </c>
      <c r="D4" s="2">
        <v>26932</v>
      </c>
      <c r="E4" s="2">
        <v>16824</v>
      </c>
      <c r="F4" s="3">
        <v>1.6</v>
      </c>
      <c r="G4" s="3">
        <v>8597</v>
      </c>
      <c r="H4" s="3">
        <v>71.8</v>
      </c>
      <c r="I4" s="3">
        <v>20.8</v>
      </c>
      <c r="J4" s="3">
        <v>7.3</v>
      </c>
      <c r="K4" s="3">
        <v>0.1</v>
      </c>
      <c r="L4" s="3">
        <v>17.600000000000001</v>
      </c>
      <c r="M4" t="str">
        <f>IF(acs2015_county_data[[#This Row],[PublicWork]]&gt;='Описательные характеристики'!$F$5,"да","нет")</f>
        <v>да</v>
      </c>
      <c r="N4" t="str">
        <f>IF(acs2015_county_data[[#This Row],[Unemployment]]&gt;='Описательные характеристики'!$I$5,"да","нет")</f>
        <v>да</v>
      </c>
    </row>
    <row r="5" spans="1:14" x14ac:dyDescent="0.35">
      <c r="A5">
        <v>1007</v>
      </c>
      <c r="B5" t="s">
        <v>14</v>
      </c>
      <c r="C5" t="s">
        <v>18</v>
      </c>
      <c r="D5" s="2">
        <v>22604</v>
      </c>
      <c r="E5" s="2">
        <v>18431</v>
      </c>
      <c r="F5" s="3">
        <v>0.7</v>
      </c>
      <c r="G5" s="3">
        <v>8294</v>
      </c>
      <c r="H5" s="3">
        <v>76.8</v>
      </c>
      <c r="I5" s="3">
        <v>16.100000000000001</v>
      </c>
      <c r="J5" s="3">
        <v>6.7</v>
      </c>
      <c r="K5" s="3">
        <v>0.4</v>
      </c>
      <c r="L5" s="3">
        <v>8.3000000000000007</v>
      </c>
      <c r="M5" t="str">
        <f>IF(acs2015_county_data[[#This Row],[PublicWork]]&gt;='Описательные характеристики'!$F$5,"да","нет")</f>
        <v>нет</v>
      </c>
      <c r="N5" t="str">
        <f>IF(acs2015_county_data[[#This Row],[Unemployment]]&gt;='Описательные характеристики'!$I$5,"да","нет")</f>
        <v>да</v>
      </c>
    </row>
    <row r="6" spans="1:14" x14ac:dyDescent="0.35">
      <c r="A6">
        <v>1009</v>
      </c>
      <c r="B6" t="s">
        <v>14</v>
      </c>
      <c r="C6" t="s">
        <v>19</v>
      </c>
      <c r="D6" s="2">
        <v>57710</v>
      </c>
      <c r="E6" s="2">
        <v>20532</v>
      </c>
      <c r="F6" s="3">
        <v>2.2999999999999998</v>
      </c>
      <c r="G6" s="3">
        <v>22189</v>
      </c>
      <c r="H6" s="3">
        <v>82</v>
      </c>
      <c r="I6" s="3">
        <v>13.5</v>
      </c>
      <c r="J6" s="3">
        <v>4.2</v>
      </c>
      <c r="K6" s="3">
        <v>0.4</v>
      </c>
      <c r="L6" s="3">
        <v>7.7</v>
      </c>
      <c r="M6" t="str">
        <f>IF(acs2015_county_data[[#This Row],[PublicWork]]&gt;='Описательные характеристики'!$F$5,"да","нет")</f>
        <v>нет</v>
      </c>
      <c r="N6" t="str">
        <f>IF(acs2015_county_data[[#This Row],[Unemployment]]&gt;='Описательные характеристики'!$I$5,"да","нет")</f>
        <v>да</v>
      </c>
    </row>
    <row r="7" spans="1:14" x14ac:dyDescent="0.35">
      <c r="A7">
        <v>1011</v>
      </c>
      <c r="B7" t="s">
        <v>14</v>
      </c>
      <c r="C7" t="s">
        <v>20</v>
      </c>
      <c r="D7" s="2">
        <v>10678</v>
      </c>
      <c r="E7" s="2">
        <v>17580</v>
      </c>
      <c r="F7" s="3">
        <v>2.8</v>
      </c>
      <c r="G7" s="3">
        <v>3865</v>
      </c>
      <c r="H7" s="3">
        <v>79.5</v>
      </c>
      <c r="I7" s="3">
        <v>15.1</v>
      </c>
      <c r="J7" s="3">
        <v>5.4</v>
      </c>
      <c r="K7" s="3">
        <v>0</v>
      </c>
      <c r="L7" s="3">
        <v>18</v>
      </c>
      <c r="M7" t="str">
        <f>IF(acs2015_county_data[[#This Row],[PublicWork]]&gt;='Описательные характеристики'!$F$5,"да","нет")</f>
        <v>нет</v>
      </c>
      <c r="N7" t="str">
        <f>IF(acs2015_county_data[[#This Row],[Unemployment]]&gt;='Описательные характеристики'!$I$5,"да","нет")</f>
        <v>да</v>
      </c>
    </row>
    <row r="8" spans="1:14" x14ac:dyDescent="0.35">
      <c r="A8">
        <v>1013</v>
      </c>
      <c r="B8" t="s">
        <v>14</v>
      </c>
      <c r="C8" t="s">
        <v>21</v>
      </c>
      <c r="D8" s="2">
        <v>20354</v>
      </c>
      <c r="E8" s="2">
        <v>18390</v>
      </c>
      <c r="F8" s="3">
        <v>1.7</v>
      </c>
      <c r="G8" s="3">
        <v>7813</v>
      </c>
      <c r="H8" s="3">
        <v>77.400000000000006</v>
      </c>
      <c r="I8" s="3">
        <v>16.2</v>
      </c>
      <c r="J8" s="3">
        <v>6.2</v>
      </c>
      <c r="K8" s="3">
        <v>0.2</v>
      </c>
      <c r="L8" s="3">
        <v>10.9</v>
      </c>
      <c r="M8" t="str">
        <f>IF(acs2015_county_data[[#This Row],[PublicWork]]&gt;='Описательные характеристики'!$F$5,"да","нет")</f>
        <v>да</v>
      </c>
      <c r="N8" t="str">
        <f>IF(acs2015_county_data[[#This Row],[Unemployment]]&gt;='Описательные характеристики'!$I$5,"да","нет")</f>
        <v>да</v>
      </c>
    </row>
    <row r="9" spans="1:14" x14ac:dyDescent="0.35">
      <c r="A9">
        <v>1015</v>
      </c>
      <c r="B9" t="s">
        <v>14</v>
      </c>
      <c r="C9" t="s">
        <v>22</v>
      </c>
      <c r="D9" s="2">
        <v>116648</v>
      </c>
      <c r="E9" s="2">
        <v>21374</v>
      </c>
      <c r="F9" s="3">
        <v>2.7</v>
      </c>
      <c r="G9" s="3">
        <v>47401</v>
      </c>
      <c r="H9" s="3">
        <v>74.099999999999994</v>
      </c>
      <c r="I9" s="3">
        <v>20.8</v>
      </c>
      <c r="J9" s="3">
        <v>5</v>
      </c>
      <c r="K9" s="3">
        <v>0.1</v>
      </c>
      <c r="L9" s="3">
        <v>12.3</v>
      </c>
      <c r="M9" t="str">
        <f>IF(acs2015_county_data[[#This Row],[PublicWork]]&gt;='Описательные характеристики'!$F$5,"да","нет")</f>
        <v>да</v>
      </c>
      <c r="N9" t="str">
        <f>IF(acs2015_county_data[[#This Row],[Unemployment]]&gt;='Описательные характеристики'!$I$5,"да","нет")</f>
        <v>да</v>
      </c>
    </row>
    <row r="10" spans="1:14" x14ac:dyDescent="0.35">
      <c r="A10">
        <v>1017</v>
      </c>
      <c r="B10" t="s">
        <v>14</v>
      </c>
      <c r="C10" t="s">
        <v>23</v>
      </c>
      <c r="D10" s="2">
        <v>34079</v>
      </c>
      <c r="E10" s="2">
        <v>21071</v>
      </c>
      <c r="F10" s="3">
        <v>2.1</v>
      </c>
      <c r="G10" s="3">
        <v>13689</v>
      </c>
      <c r="H10" s="3">
        <v>85.1</v>
      </c>
      <c r="I10" s="3">
        <v>12.1</v>
      </c>
      <c r="J10" s="3">
        <v>2.8</v>
      </c>
      <c r="K10" s="3">
        <v>0</v>
      </c>
      <c r="L10" s="3">
        <v>8.9</v>
      </c>
      <c r="M10" t="str">
        <f>IF(acs2015_county_data[[#This Row],[PublicWork]]&gt;='Описательные характеристики'!$F$5,"да","нет")</f>
        <v>нет</v>
      </c>
      <c r="N10" t="str">
        <f>IF(acs2015_county_data[[#This Row],[Unemployment]]&gt;='Описательные характеристики'!$I$5,"да","нет")</f>
        <v>да</v>
      </c>
    </row>
    <row r="11" spans="1:14" x14ac:dyDescent="0.35">
      <c r="A11">
        <v>1019</v>
      </c>
      <c r="B11" t="s">
        <v>14</v>
      </c>
      <c r="C11" t="s">
        <v>24</v>
      </c>
      <c r="D11" s="2">
        <v>26008</v>
      </c>
      <c r="E11" s="2">
        <v>21811</v>
      </c>
      <c r="F11" s="3">
        <v>2.5</v>
      </c>
      <c r="G11" s="3">
        <v>10155</v>
      </c>
      <c r="H11" s="3">
        <v>73.099999999999994</v>
      </c>
      <c r="I11" s="3">
        <v>18.5</v>
      </c>
      <c r="J11" s="3">
        <v>7.9</v>
      </c>
      <c r="K11" s="3">
        <v>0.5</v>
      </c>
      <c r="L11" s="3">
        <v>7.9</v>
      </c>
      <c r="M11" t="str">
        <f>IF(acs2015_county_data[[#This Row],[PublicWork]]&gt;='Описательные характеристики'!$F$5,"да","нет")</f>
        <v>да</v>
      </c>
      <c r="N11" t="str">
        <f>IF(acs2015_county_data[[#This Row],[Unemployment]]&gt;='Описательные характеристики'!$I$5,"да","нет")</f>
        <v>да</v>
      </c>
    </row>
    <row r="12" spans="1:14" x14ac:dyDescent="0.35">
      <c r="A12">
        <v>1021</v>
      </c>
      <c r="B12" t="s">
        <v>14</v>
      </c>
      <c r="C12" t="s">
        <v>25</v>
      </c>
      <c r="D12" s="2">
        <v>43819</v>
      </c>
      <c r="E12" s="2">
        <v>21399</v>
      </c>
      <c r="F12" s="3">
        <v>1.9</v>
      </c>
      <c r="G12" s="3">
        <v>17895</v>
      </c>
      <c r="H12" s="3">
        <v>80.3</v>
      </c>
      <c r="I12" s="3">
        <v>15.2</v>
      </c>
      <c r="J12" s="3">
        <v>4.0999999999999996</v>
      </c>
      <c r="K12" s="3">
        <v>0.5</v>
      </c>
      <c r="L12" s="3">
        <v>9.1</v>
      </c>
      <c r="M12" t="str">
        <f>IF(acs2015_county_data[[#This Row],[PublicWork]]&gt;='Описательные характеристики'!$F$5,"да","нет")</f>
        <v>нет</v>
      </c>
      <c r="N12" t="str">
        <f>IF(acs2015_county_data[[#This Row],[Unemployment]]&gt;='Описательные характеристики'!$I$5,"да","нет")</f>
        <v>да</v>
      </c>
    </row>
    <row r="13" spans="1:14" x14ac:dyDescent="0.35">
      <c r="A13">
        <v>1023</v>
      </c>
      <c r="B13" t="s">
        <v>14</v>
      </c>
      <c r="C13" t="s">
        <v>26</v>
      </c>
      <c r="D13" s="2">
        <v>13395</v>
      </c>
      <c r="E13" s="2">
        <v>20755</v>
      </c>
      <c r="F13" s="3">
        <v>0.8</v>
      </c>
      <c r="G13" s="3">
        <v>4405</v>
      </c>
      <c r="H13" s="3">
        <v>77.5</v>
      </c>
      <c r="I13" s="3">
        <v>16.8</v>
      </c>
      <c r="J13" s="3">
        <v>5.4</v>
      </c>
      <c r="K13" s="3">
        <v>0.3</v>
      </c>
      <c r="L13" s="3">
        <v>13.6</v>
      </c>
      <c r="M13" t="str">
        <f>IF(acs2015_county_data[[#This Row],[PublicWork]]&gt;='Описательные характеристики'!$F$5,"да","нет")</f>
        <v>да</v>
      </c>
      <c r="N13" t="str">
        <f>IF(acs2015_county_data[[#This Row],[Unemployment]]&gt;='Описательные характеристики'!$I$5,"да","нет")</f>
        <v>да</v>
      </c>
    </row>
    <row r="14" spans="1:14" x14ac:dyDescent="0.35">
      <c r="A14">
        <v>1025</v>
      </c>
      <c r="B14" t="s">
        <v>14</v>
      </c>
      <c r="C14" t="s">
        <v>27</v>
      </c>
      <c r="D14" s="2">
        <v>25070</v>
      </c>
      <c r="E14" s="2">
        <v>20064</v>
      </c>
      <c r="F14" s="3">
        <v>1.1000000000000001</v>
      </c>
      <c r="G14" s="3">
        <v>8161</v>
      </c>
      <c r="H14" s="3">
        <v>83.1</v>
      </c>
      <c r="I14" s="3">
        <v>13.6</v>
      </c>
      <c r="J14" s="3">
        <v>3.3</v>
      </c>
      <c r="K14" s="3">
        <v>0</v>
      </c>
      <c r="L14" s="3">
        <v>19.399999999999999</v>
      </c>
      <c r="M14" t="str">
        <f>IF(acs2015_county_data[[#This Row],[PublicWork]]&gt;='Описательные характеристики'!$F$5,"да","нет")</f>
        <v>нет</v>
      </c>
      <c r="N14" t="str">
        <f>IF(acs2015_county_data[[#This Row],[Unemployment]]&gt;='Описательные характеристики'!$I$5,"да","нет")</f>
        <v>да</v>
      </c>
    </row>
    <row r="15" spans="1:14" x14ac:dyDescent="0.35">
      <c r="A15">
        <v>1027</v>
      </c>
      <c r="B15" t="s">
        <v>14</v>
      </c>
      <c r="C15" t="s">
        <v>28</v>
      </c>
      <c r="D15" s="2">
        <v>13537</v>
      </c>
      <c r="E15" s="2">
        <v>18905</v>
      </c>
      <c r="F15" s="3">
        <v>2.1</v>
      </c>
      <c r="G15" s="3">
        <v>5180</v>
      </c>
      <c r="H15" s="3">
        <v>77.5</v>
      </c>
      <c r="I15" s="3">
        <v>14.7</v>
      </c>
      <c r="J15" s="3">
        <v>7.8</v>
      </c>
      <c r="K15" s="3">
        <v>0</v>
      </c>
      <c r="L15" s="3">
        <v>9.4</v>
      </c>
      <c r="M15" t="str">
        <f>IF(acs2015_county_data[[#This Row],[PublicWork]]&gt;='Описательные характеристики'!$F$5,"да","нет")</f>
        <v>нет</v>
      </c>
      <c r="N15" t="str">
        <f>IF(acs2015_county_data[[#This Row],[Unemployment]]&gt;='Описательные характеристики'!$I$5,"да","нет")</f>
        <v>да</v>
      </c>
    </row>
    <row r="16" spans="1:14" x14ac:dyDescent="0.35">
      <c r="A16">
        <v>1029</v>
      </c>
      <c r="B16" t="s">
        <v>14</v>
      </c>
      <c r="C16" t="s">
        <v>29</v>
      </c>
      <c r="D16" s="2">
        <v>15002</v>
      </c>
      <c r="E16" s="2">
        <v>20151</v>
      </c>
      <c r="F16" s="3">
        <v>3.4</v>
      </c>
      <c r="G16" s="3">
        <v>6065</v>
      </c>
      <c r="H16" s="3">
        <v>76.3</v>
      </c>
      <c r="I16" s="3">
        <v>15.3</v>
      </c>
      <c r="J16" s="3">
        <v>8.4</v>
      </c>
      <c r="K16" s="3">
        <v>0</v>
      </c>
      <c r="L16" s="3">
        <v>8.3000000000000007</v>
      </c>
      <c r="M16" t="str">
        <f>IF(acs2015_county_data[[#This Row],[PublicWork]]&gt;='Описательные характеристики'!$F$5,"да","нет")</f>
        <v>нет</v>
      </c>
      <c r="N16" t="str">
        <f>IF(acs2015_county_data[[#This Row],[Unemployment]]&gt;='Описательные характеристики'!$I$5,"да","нет")</f>
        <v>да</v>
      </c>
    </row>
    <row r="17" spans="1:14" x14ac:dyDescent="0.35">
      <c r="A17">
        <v>1031</v>
      </c>
      <c r="B17" t="s">
        <v>14</v>
      </c>
      <c r="C17" t="s">
        <v>30</v>
      </c>
      <c r="D17" s="2">
        <v>50884</v>
      </c>
      <c r="E17" s="2">
        <v>24936</v>
      </c>
      <c r="F17" s="3">
        <v>2.8</v>
      </c>
      <c r="G17" s="3">
        <v>20912</v>
      </c>
      <c r="H17" s="3">
        <v>70.3</v>
      </c>
      <c r="I17" s="3">
        <v>23.5</v>
      </c>
      <c r="J17" s="3">
        <v>5.7</v>
      </c>
      <c r="K17" s="3">
        <v>0.5</v>
      </c>
      <c r="L17" s="3">
        <v>7.1</v>
      </c>
      <c r="M17" t="str">
        <f>IF(acs2015_county_data[[#This Row],[PublicWork]]&gt;='Описательные характеристики'!$F$5,"да","нет")</f>
        <v>да</v>
      </c>
      <c r="N17" t="str">
        <f>IF(acs2015_county_data[[#This Row],[Unemployment]]&gt;='Описательные характеристики'!$I$5,"да","нет")</f>
        <v>нет</v>
      </c>
    </row>
    <row r="18" spans="1:14" x14ac:dyDescent="0.35">
      <c r="A18">
        <v>1033</v>
      </c>
      <c r="B18" t="s">
        <v>14</v>
      </c>
      <c r="C18" t="s">
        <v>31</v>
      </c>
      <c r="D18" s="2">
        <v>54444</v>
      </c>
      <c r="E18" s="2">
        <v>22546</v>
      </c>
      <c r="F18" s="3">
        <v>1.5</v>
      </c>
      <c r="G18" s="3">
        <v>21290</v>
      </c>
      <c r="H18" s="3">
        <v>78.599999999999994</v>
      </c>
      <c r="I18" s="3">
        <v>16.100000000000001</v>
      </c>
      <c r="J18" s="3">
        <v>5.2</v>
      </c>
      <c r="K18" s="3">
        <v>0</v>
      </c>
      <c r="L18" s="3">
        <v>9</v>
      </c>
      <c r="M18" t="str">
        <f>IF(acs2015_county_data[[#This Row],[PublicWork]]&gt;='Описательные характеристики'!$F$5,"да","нет")</f>
        <v>нет</v>
      </c>
      <c r="N18" t="str">
        <f>IF(acs2015_county_data[[#This Row],[Unemployment]]&gt;='Описательные характеристики'!$I$5,"да","нет")</f>
        <v>да</v>
      </c>
    </row>
    <row r="19" spans="1:14" x14ac:dyDescent="0.35">
      <c r="A19">
        <v>1035</v>
      </c>
      <c r="B19" t="s">
        <v>14</v>
      </c>
      <c r="C19" t="s">
        <v>32</v>
      </c>
      <c r="D19" s="2">
        <v>12865</v>
      </c>
      <c r="E19" s="2">
        <v>15968</v>
      </c>
      <c r="F19" s="3">
        <v>1.3</v>
      </c>
      <c r="G19" s="3">
        <v>3718</v>
      </c>
      <c r="H19" s="3">
        <v>77.8</v>
      </c>
      <c r="I19" s="3">
        <v>13</v>
      </c>
      <c r="J19" s="3">
        <v>8.3000000000000007</v>
      </c>
      <c r="K19" s="3">
        <v>0.8</v>
      </c>
      <c r="L19" s="3">
        <v>22.6</v>
      </c>
      <c r="M19" t="str">
        <f>IF(acs2015_county_data[[#This Row],[PublicWork]]&gt;='Описательные характеристики'!$F$5,"да","нет")</f>
        <v>нет</v>
      </c>
      <c r="N19" t="str">
        <f>IF(acs2015_county_data[[#This Row],[Unemployment]]&gt;='Описательные характеристики'!$I$5,"да","нет")</f>
        <v>да</v>
      </c>
    </row>
    <row r="20" spans="1:14" x14ac:dyDescent="0.35">
      <c r="A20">
        <v>1037</v>
      </c>
      <c r="B20" t="s">
        <v>14</v>
      </c>
      <c r="C20" t="s">
        <v>33</v>
      </c>
      <c r="D20" s="2">
        <v>11027</v>
      </c>
      <c r="E20" s="2">
        <v>17519</v>
      </c>
      <c r="F20" s="3">
        <v>2.1</v>
      </c>
      <c r="G20" s="3">
        <v>3852</v>
      </c>
      <c r="H20" s="3">
        <v>76.599999999999994</v>
      </c>
      <c r="I20" s="3">
        <v>17.5</v>
      </c>
      <c r="J20" s="3">
        <v>5.9</v>
      </c>
      <c r="K20" s="3">
        <v>0</v>
      </c>
      <c r="L20" s="3">
        <v>17</v>
      </c>
      <c r="M20" t="str">
        <f>IF(acs2015_county_data[[#This Row],[PublicWork]]&gt;='Описательные характеристики'!$F$5,"да","нет")</f>
        <v>да</v>
      </c>
      <c r="N20" t="str">
        <f>IF(acs2015_county_data[[#This Row],[Unemployment]]&gt;='Описательные характеристики'!$I$5,"да","нет")</f>
        <v>да</v>
      </c>
    </row>
    <row r="21" spans="1:14" x14ac:dyDescent="0.35">
      <c r="A21">
        <v>1039</v>
      </c>
      <c r="B21" t="s">
        <v>14</v>
      </c>
      <c r="C21" t="s">
        <v>1995</v>
      </c>
      <c r="D21" s="2">
        <v>37886</v>
      </c>
      <c r="E21" s="2">
        <v>20977</v>
      </c>
      <c r="F21" s="3">
        <v>2.2000000000000002</v>
      </c>
      <c r="G21" s="3">
        <v>14202</v>
      </c>
      <c r="H21" s="3">
        <v>77.099999999999994</v>
      </c>
      <c r="I21" s="3">
        <v>15.8</v>
      </c>
      <c r="J21" s="3">
        <v>6.7</v>
      </c>
      <c r="K21" s="3">
        <v>0.4</v>
      </c>
      <c r="L21" s="3">
        <v>11.2</v>
      </c>
      <c r="M21" t="str">
        <f>IF(acs2015_county_data[[#This Row],[PublicWork]]&gt;='Описательные характеристики'!$F$5,"да","нет")</f>
        <v>нет</v>
      </c>
      <c r="N21" t="str">
        <f>IF(acs2015_county_data[[#This Row],[Unemployment]]&gt;='Описательные характеристики'!$I$5,"да","нет")</f>
        <v>да</v>
      </c>
    </row>
    <row r="22" spans="1:14" x14ac:dyDescent="0.35">
      <c r="A22">
        <v>1041</v>
      </c>
      <c r="B22" t="s">
        <v>14</v>
      </c>
      <c r="C22" t="s">
        <v>34</v>
      </c>
      <c r="D22" s="2">
        <v>13938</v>
      </c>
      <c r="E22" s="2">
        <v>20585</v>
      </c>
      <c r="F22" s="3">
        <v>4.5999999999999996</v>
      </c>
      <c r="G22" s="3">
        <v>5620</v>
      </c>
      <c r="H22" s="3">
        <v>74.099999999999994</v>
      </c>
      <c r="I22" s="3">
        <v>17.8</v>
      </c>
      <c r="J22" s="3">
        <v>7.9</v>
      </c>
      <c r="K22" s="3">
        <v>0.3</v>
      </c>
      <c r="L22" s="3">
        <v>9.6999999999999993</v>
      </c>
      <c r="M22" t="str">
        <f>IF(acs2015_county_data[[#This Row],[PublicWork]]&gt;='Описательные характеристики'!$F$5,"да","нет")</f>
        <v>да</v>
      </c>
      <c r="N22" t="str">
        <f>IF(acs2015_county_data[[#This Row],[Unemployment]]&gt;='Описательные характеристики'!$I$5,"да","нет")</f>
        <v>да</v>
      </c>
    </row>
    <row r="23" spans="1:14" x14ac:dyDescent="0.35">
      <c r="A23">
        <v>1043</v>
      </c>
      <c r="B23" t="s">
        <v>14</v>
      </c>
      <c r="C23" t="s">
        <v>35</v>
      </c>
      <c r="D23" s="2">
        <v>80965</v>
      </c>
      <c r="E23" s="2">
        <v>20881</v>
      </c>
      <c r="F23" s="3">
        <v>2.6</v>
      </c>
      <c r="G23" s="3">
        <v>32282</v>
      </c>
      <c r="H23" s="3">
        <v>81.599999999999994</v>
      </c>
      <c r="I23" s="3">
        <v>12.2</v>
      </c>
      <c r="J23" s="3">
        <v>5.8</v>
      </c>
      <c r="K23" s="3">
        <v>0.4</v>
      </c>
      <c r="L23" s="3">
        <v>7.3</v>
      </c>
      <c r="M23" t="str">
        <f>IF(acs2015_county_data[[#This Row],[PublicWork]]&gt;='Описательные характеристики'!$F$5,"да","нет")</f>
        <v>нет</v>
      </c>
      <c r="N23" t="str">
        <f>IF(acs2015_county_data[[#This Row],[Unemployment]]&gt;='Описательные характеристики'!$I$5,"да","нет")</f>
        <v>нет</v>
      </c>
    </row>
    <row r="24" spans="1:14" x14ac:dyDescent="0.35">
      <c r="A24">
        <v>1045</v>
      </c>
      <c r="B24" t="s">
        <v>14</v>
      </c>
      <c r="C24" t="s">
        <v>36</v>
      </c>
      <c r="D24" s="2">
        <v>49866</v>
      </c>
      <c r="E24" s="2">
        <v>22566</v>
      </c>
      <c r="F24" s="3">
        <v>2.6</v>
      </c>
      <c r="G24" s="3">
        <v>18735</v>
      </c>
      <c r="H24" s="3">
        <v>73.099999999999994</v>
      </c>
      <c r="I24" s="3">
        <v>20.9</v>
      </c>
      <c r="J24" s="3">
        <v>5.9</v>
      </c>
      <c r="K24" s="3">
        <v>0.1</v>
      </c>
      <c r="L24" s="3">
        <v>10.9</v>
      </c>
      <c r="M24" t="str">
        <f>IF(acs2015_county_data[[#This Row],[PublicWork]]&gt;='Описательные характеристики'!$F$5,"да","нет")</f>
        <v>да</v>
      </c>
      <c r="N24" t="str">
        <f>IF(acs2015_county_data[[#This Row],[Unemployment]]&gt;='Описательные характеристики'!$I$5,"да","нет")</f>
        <v>да</v>
      </c>
    </row>
    <row r="25" spans="1:14" x14ac:dyDescent="0.35">
      <c r="A25">
        <v>1047</v>
      </c>
      <c r="B25" t="s">
        <v>14</v>
      </c>
      <c r="C25" t="s">
        <v>37</v>
      </c>
      <c r="D25" s="2">
        <v>42154</v>
      </c>
      <c r="E25" s="2">
        <v>17808</v>
      </c>
      <c r="F25" s="3">
        <v>2.2000000000000002</v>
      </c>
      <c r="G25" s="3">
        <v>14094</v>
      </c>
      <c r="H25" s="3">
        <v>76.599999999999994</v>
      </c>
      <c r="I25" s="3">
        <v>16.7</v>
      </c>
      <c r="J25" s="3">
        <v>6.2</v>
      </c>
      <c r="K25" s="3">
        <v>0.4</v>
      </c>
      <c r="L25" s="3">
        <v>16.399999999999999</v>
      </c>
      <c r="M25" t="str">
        <f>IF(acs2015_county_data[[#This Row],[PublicWork]]&gt;='Описательные характеристики'!$F$5,"да","нет")</f>
        <v>да</v>
      </c>
      <c r="N25" t="str">
        <f>IF(acs2015_county_data[[#This Row],[Unemployment]]&gt;='Описательные характеристики'!$I$5,"да","нет")</f>
        <v>да</v>
      </c>
    </row>
    <row r="26" spans="1:14" x14ac:dyDescent="0.35">
      <c r="A26">
        <v>1049</v>
      </c>
      <c r="B26" t="s">
        <v>14</v>
      </c>
      <c r="C26" t="s">
        <v>38</v>
      </c>
      <c r="D26" s="2">
        <v>71068</v>
      </c>
      <c r="E26" s="2">
        <v>18411</v>
      </c>
      <c r="F26" s="3">
        <v>2.1</v>
      </c>
      <c r="G26" s="3">
        <v>27778</v>
      </c>
      <c r="H26" s="3">
        <v>78.8</v>
      </c>
      <c r="I26" s="3">
        <v>12.6</v>
      </c>
      <c r="J26" s="3">
        <v>8.5</v>
      </c>
      <c r="K26" s="3">
        <v>0.1</v>
      </c>
      <c r="L26" s="3">
        <v>7.7</v>
      </c>
      <c r="M26" t="str">
        <f>IF(acs2015_county_data[[#This Row],[PublicWork]]&gt;='Описательные характеристики'!$F$5,"да","нет")</f>
        <v>нет</v>
      </c>
      <c r="N26" t="str">
        <f>IF(acs2015_county_data[[#This Row],[Unemployment]]&gt;='Описательные характеристики'!$I$5,"да","нет")</f>
        <v>да</v>
      </c>
    </row>
    <row r="27" spans="1:14" x14ac:dyDescent="0.35">
      <c r="A27">
        <v>1051</v>
      </c>
      <c r="B27" t="s">
        <v>14</v>
      </c>
      <c r="C27" t="s">
        <v>39</v>
      </c>
      <c r="D27" s="2">
        <v>80763</v>
      </c>
      <c r="E27" s="2">
        <v>24381</v>
      </c>
      <c r="F27" s="3">
        <v>2.2000000000000002</v>
      </c>
      <c r="G27" s="3">
        <v>33636</v>
      </c>
      <c r="H27" s="3">
        <v>70.400000000000006</v>
      </c>
      <c r="I27" s="3">
        <v>24.1</v>
      </c>
      <c r="J27" s="3">
        <v>5.5</v>
      </c>
      <c r="K27" s="3">
        <v>0</v>
      </c>
      <c r="L27" s="3">
        <v>8.3000000000000007</v>
      </c>
      <c r="M27" t="str">
        <f>IF(acs2015_county_data[[#This Row],[PublicWork]]&gt;='Описательные характеристики'!$F$5,"да","нет")</f>
        <v>да</v>
      </c>
      <c r="N27" t="str">
        <f>IF(acs2015_county_data[[#This Row],[Unemployment]]&gt;='Описательные характеристики'!$I$5,"да","нет")</f>
        <v>да</v>
      </c>
    </row>
    <row r="28" spans="1:14" x14ac:dyDescent="0.35">
      <c r="A28">
        <v>1053</v>
      </c>
      <c r="B28" t="s">
        <v>14</v>
      </c>
      <c r="C28" t="s">
        <v>40</v>
      </c>
      <c r="D28" s="2">
        <v>37935</v>
      </c>
      <c r="E28" s="2">
        <v>17045</v>
      </c>
      <c r="F28" s="3">
        <v>1.1000000000000001</v>
      </c>
      <c r="G28" s="3">
        <v>12294</v>
      </c>
      <c r="H28" s="3">
        <v>74.5</v>
      </c>
      <c r="I28" s="3">
        <v>19</v>
      </c>
      <c r="J28" s="3">
        <v>6.4</v>
      </c>
      <c r="K28" s="3">
        <v>0.1</v>
      </c>
      <c r="L28" s="3">
        <v>15.6</v>
      </c>
      <c r="M28" t="str">
        <f>IF(acs2015_county_data[[#This Row],[PublicWork]]&gt;='Описательные характеристики'!$F$5,"да","нет")</f>
        <v>да</v>
      </c>
      <c r="N28" t="str">
        <f>IF(acs2015_county_data[[#This Row],[Unemployment]]&gt;='Описательные характеристики'!$I$5,"да","нет")</f>
        <v>да</v>
      </c>
    </row>
    <row r="29" spans="1:14" x14ac:dyDescent="0.35">
      <c r="A29">
        <v>1055</v>
      </c>
      <c r="B29" t="s">
        <v>14</v>
      </c>
      <c r="C29" t="s">
        <v>41</v>
      </c>
      <c r="D29" s="2">
        <v>103766</v>
      </c>
      <c r="E29" s="2">
        <v>20500</v>
      </c>
      <c r="F29" s="3">
        <v>3.8</v>
      </c>
      <c r="G29" s="3">
        <v>41236</v>
      </c>
      <c r="H29" s="3">
        <v>79.8</v>
      </c>
      <c r="I29" s="3">
        <v>14.4</v>
      </c>
      <c r="J29" s="3">
        <v>5.6</v>
      </c>
      <c r="K29" s="3">
        <v>0.2</v>
      </c>
      <c r="L29" s="3">
        <v>9</v>
      </c>
      <c r="M29" t="str">
        <f>IF(acs2015_county_data[[#This Row],[PublicWork]]&gt;='Описательные характеристики'!$F$5,"да","нет")</f>
        <v>нет</v>
      </c>
      <c r="N29" t="str">
        <f>IF(acs2015_county_data[[#This Row],[Unemployment]]&gt;='Описательные характеристики'!$I$5,"да","нет")</f>
        <v>да</v>
      </c>
    </row>
    <row r="30" spans="1:14" x14ac:dyDescent="0.35">
      <c r="A30">
        <v>1057</v>
      </c>
      <c r="B30" t="s">
        <v>14</v>
      </c>
      <c r="C30" t="s">
        <v>42</v>
      </c>
      <c r="D30" s="2">
        <v>16896</v>
      </c>
      <c r="E30" s="2">
        <v>19545</v>
      </c>
      <c r="F30" s="3">
        <v>1.9</v>
      </c>
      <c r="G30" s="3">
        <v>6122</v>
      </c>
      <c r="H30" s="3">
        <v>81.900000000000006</v>
      </c>
      <c r="I30" s="3">
        <v>14.2</v>
      </c>
      <c r="J30" s="3">
        <v>3.8</v>
      </c>
      <c r="K30" s="3">
        <v>0.1</v>
      </c>
      <c r="L30" s="3">
        <v>10</v>
      </c>
      <c r="M30" t="str">
        <f>IF(acs2015_county_data[[#This Row],[PublicWork]]&gt;='Описательные характеристики'!$F$5,"да","нет")</f>
        <v>нет</v>
      </c>
      <c r="N30" t="str">
        <f>IF(acs2015_county_data[[#This Row],[Unemployment]]&gt;='Описательные характеристики'!$I$5,"да","нет")</f>
        <v>да</v>
      </c>
    </row>
    <row r="31" spans="1:14" x14ac:dyDescent="0.35">
      <c r="A31">
        <v>1059</v>
      </c>
      <c r="B31" t="s">
        <v>14</v>
      </c>
      <c r="C31" t="s">
        <v>43</v>
      </c>
      <c r="D31" s="2">
        <v>31634</v>
      </c>
      <c r="E31" s="2">
        <v>18595</v>
      </c>
      <c r="F31" s="3">
        <v>1.4</v>
      </c>
      <c r="G31" s="3">
        <v>12249</v>
      </c>
      <c r="H31" s="3">
        <v>78.5</v>
      </c>
      <c r="I31" s="3">
        <v>14.6</v>
      </c>
      <c r="J31" s="3">
        <v>6.9</v>
      </c>
      <c r="K31" s="3">
        <v>0</v>
      </c>
      <c r="L31" s="3">
        <v>9.8000000000000007</v>
      </c>
      <c r="M31" t="str">
        <f>IF(acs2015_county_data[[#This Row],[PublicWork]]&gt;='Описательные характеристики'!$F$5,"да","нет")</f>
        <v>нет</v>
      </c>
      <c r="N31" t="str">
        <f>IF(acs2015_county_data[[#This Row],[Unemployment]]&gt;='Описательные характеристики'!$I$5,"да","нет")</f>
        <v>да</v>
      </c>
    </row>
    <row r="32" spans="1:14" x14ac:dyDescent="0.35">
      <c r="A32">
        <v>1061</v>
      </c>
      <c r="B32" t="s">
        <v>14</v>
      </c>
      <c r="C32" t="s">
        <v>44</v>
      </c>
      <c r="D32" s="2">
        <v>26815</v>
      </c>
      <c r="E32" s="2">
        <v>20224</v>
      </c>
      <c r="F32" s="3">
        <v>3.4</v>
      </c>
      <c r="G32" s="3">
        <v>10419</v>
      </c>
      <c r="H32" s="3">
        <v>75.7</v>
      </c>
      <c r="I32" s="3">
        <v>15</v>
      </c>
      <c r="J32" s="3">
        <v>8.8000000000000007</v>
      </c>
      <c r="K32" s="3">
        <v>0.4</v>
      </c>
      <c r="L32" s="3">
        <v>11.2</v>
      </c>
      <c r="M32" t="str">
        <f>IF(acs2015_county_data[[#This Row],[PublicWork]]&gt;='Описательные характеристики'!$F$5,"да","нет")</f>
        <v>нет</v>
      </c>
      <c r="N32" t="str">
        <f>IF(acs2015_county_data[[#This Row],[Unemployment]]&gt;='Описательные характеристики'!$I$5,"да","нет")</f>
        <v>да</v>
      </c>
    </row>
    <row r="33" spans="1:14" x14ac:dyDescent="0.35">
      <c r="A33">
        <v>1063</v>
      </c>
      <c r="B33" t="s">
        <v>14</v>
      </c>
      <c r="C33" t="s">
        <v>45</v>
      </c>
      <c r="D33" s="2">
        <v>8697</v>
      </c>
      <c r="E33" s="2">
        <v>13611</v>
      </c>
      <c r="F33" s="3">
        <v>2.2999999999999998</v>
      </c>
      <c r="G33" s="3">
        <v>2412</v>
      </c>
      <c r="H33" s="3">
        <v>75.8</v>
      </c>
      <c r="I33" s="3">
        <v>17.2</v>
      </c>
      <c r="J33" s="3">
        <v>7</v>
      </c>
      <c r="K33" s="3">
        <v>0</v>
      </c>
      <c r="L33" s="3">
        <v>20.399999999999999</v>
      </c>
      <c r="M33" t="str">
        <f>IF(acs2015_county_data[[#This Row],[PublicWork]]&gt;='Описательные характеристики'!$F$5,"да","нет")</f>
        <v>да</v>
      </c>
      <c r="N33" t="str">
        <f>IF(acs2015_county_data[[#This Row],[Unemployment]]&gt;='Описательные характеристики'!$I$5,"да","нет")</f>
        <v>да</v>
      </c>
    </row>
    <row r="34" spans="1:14" x14ac:dyDescent="0.35">
      <c r="A34">
        <v>1065</v>
      </c>
      <c r="B34" t="s">
        <v>14</v>
      </c>
      <c r="C34" t="s">
        <v>46</v>
      </c>
      <c r="D34" s="2">
        <v>15256</v>
      </c>
      <c r="E34" s="2">
        <v>18877</v>
      </c>
      <c r="F34" s="3">
        <v>1.2</v>
      </c>
      <c r="G34" s="3">
        <v>5282</v>
      </c>
      <c r="H34" s="3">
        <v>76.3</v>
      </c>
      <c r="I34" s="3">
        <v>17.600000000000001</v>
      </c>
      <c r="J34" s="3">
        <v>5.8</v>
      </c>
      <c r="K34" s="3">
        <v>0.3</v>
      </c>
      <c r="L34" s="3">
        <v>13.3</v>
      </c>
      <c r="M34" t="str">
        <f>IF(acs2015_county_data[[#This Row],[PublicWork]]&gt;='Описательные характеристики'!$F$5,"да","нет")</f>
        <v>да</v>
      </c>
      <c r="N34" t="str">
        <f>IF(acs2015_county_data[[#This Row],[Unemployment]]&gt;='Описательные характеристики'!$I$5,"да","нет")</f>
        <v>да</v>
      </c>
    </row>
    <row r="35" spans="1:14" x14ac:dyDescent="0.35">
      <c r="A35">
        <v>1067</v>
      </c>
      <c r="B35" t="s">
        <v>14</v>
      </c>
      <c r="C35" t="s">
        <v>47</v>
      </c>
      <c r="D35" s="2">
        <v>17252</v>
      </c>
      <c r="E35" s="2">
        <v>22931</v>
      </c>
      <c r="F35" s="3">
        <v>2.2000000000000002</v>
      </c>
      <c r="G35" s="3">
        <v>6922</v>
      </c>
      <c r="H35" s="3">
        <v>78.900000000000006</v>
      </c>
      <c r="I35" s="3">
        <v>15.5</v>
      </c>
      <c r="J35" s="3">
        <v>5.4</v>
      </c>
      <c r="K35" s="3">
        <v>0.2</v>
      </c>
      <c r="L35" s="3">
        <v>8.1</v>
      </c>
      <c r="M35" t="str">
        <f>IF(acs2015_county_data[[#This Row],[PublicWork]]&gt;='Описательные характеристики'!$F$5,"да","нет")</f>
        <v>нет</v>
      </c>
      <c r="N35" t="str">
        <f>IF(acs2015_county_data[[#This Row],[Unemployment]]&gt;='Описательные характеристики'!$I$5,"да","нет")</f>
        <v>да</v>
      </c>
    </row>
    <row r="36" spans="1:14" x14ac:dyDescent="0.35">
      <c r="A36">
        <v>1069</v>
      </c>
      <c r="B36" t="s">
        <v>14</v>
      </c>
      <c r="C36" t="s">
        <v>48</v>
      </c>
      <c r="D36" s="2">
        <v>103534</v>
      </c>
      <c r="E36" s="2">
        <v>23925</v>
      </c>
      <c r="F36" s="3">
        <v>2.1</v>
      </c>
      <c r="G36" s="3">
        <v>44067</v>
      </c>
      <c r="H36" s="3">
        <v>81.3</v>
      </c>
      <c r="I36" s="3">
        <v>13</v>
      </c>
      <c r="J36" s="3">
        <v>5.5</v>
      </c>
      <c r="K36" s="3">
        <v>0.2</v>
      </c>
      <c r="L36" s="3">
        <v>8.3000000000000007</v>
      </c>
      <c r="M36" t="str">
        <f>IF(acs2015_county_data[[#This Row],[PublicWork]]&gt;='Описательные характеристики'!$F$5,"да","нет")</f>
        <v>нет</v>
      </c>
      <c r="N36" t="str">
        <f>IF(acs2015_county_data[[#This Row],[Unemployment]]&gt;='Описательные характеристики'!$I$5,"да","нет")</f>
        <v>да</v>
      </c>
    </row>
    <row r="37" spans="1:14" x14ac:dyDescent="0.35">
      <c r="A37">
        <v>1071</v>
      </c>
      <c r="B37" t="s">
        <v>14</v>
      </c>
      <c r="C37" t="s">
        <v>49</v>
      </c>
      <c r="D37" s="2">
        <v>52860</v>
      </c>
      <c r="E37" s="2">
        <v>20066</v>
      </c>
      <c r="F37" s="3">
        <v>2.4</v>
      </c>
      <c r="G37" s="3">
        <v>20883</v>
      </c>
      <c r="H37" s="3">
        <v>75.099999999999994</v>
      </c>
      <c r="I37" s="3">
        <v>17.100000000000001</v>
      </c>
      <c r="J37" s="3">
        <v>7.7</v>
      </c>
      <c r="K37" s="3">
        <v>0</v>
      </c>
      <c r="L37" s="3">
        <v>10.1</v>
      </c>
      <c r="M37" t="str">
        <f>IF(acs2015_county_data[[#This Row],[PublicWork]]&gt;='Описательные характеристики'!$F$5,"да","нет")</f>
        <v>да</v>
      </c>
      <c r="N37" t="str">
        <f>IF(acs2015_county_data[[#This Row],[Unemployment]]&gt;='Описательные характеристики'!$I$5,"да","нет")</f>
        <v>да</v>
      </c>
    </row>
    <row r="38" spans="1:14" x14ac:dyDescent="0.35">
      <c r="A38">
        <v>1073</v>
      </c>
      <c r="B38" t="s">
        <v>14</v>
      </c>
      <c r="C38" t="s">
        <v>50</v>
      </c>
      <c r="D38" s="2">
        <v>659026</v>
      </c>
      <c r="E38" s="2">
        <v>27240</v>
      </c>
      <c r="F38" s="3">
        <v>2.5</v>
      </c>
      <c r="G38" s="3">
        <v>293202</v>
      </c>
      <c r="H38" s="3">
        <v>80.900000000000006</v>
      </c>
      <c r="I38" s="3">
        <v>14.4</v>
      </c>
      <c r="J38" s="3">
        <v>4.5999999999999996</v>
      </c>
      <c r="K38" s="3">
        <v>0.2</v>
      </c>
      <c r="L38" s="3">
        <v>9.1</v>
      </c>
      <c r="M38" t="str">
        <f>IF(acs2015_county_data[[#This Row],[PublicWork]]&gt;='Описательные характеристики'!$F$5,"да","нет")</f>
        <v>нет</v>
      </c>
      <c r="N38" t="str">
        <f>IF(acs2015_county_data[[#This Row],[Unemployment]]&gt;='Описательные характеристики'!$I$5,"да","нет")</f>
        <v>да</v>
      </c>
    </row>
    <row r="39" spans="1:14" x14ac:dyDescent="0.35">
      <c r="A39">
        <v>1075</v>
      </c>
      <c r="B39" t="s">
        <v>14</v>
      </c>
      <c r="C39" t="s">
        <v>51</v>
      </c>
      <c r="D39" s="2">
        <v>14133</v>
      </c>
      <c r="E39" s="2">
        <v>20130</v>
      </c>
      <c r="F39" s="3">
        <v>1.1000000000000001</v>
      </c>
      <c r="G39" s="3">
        <v>5391</v>
      </c>
      <c r="H39" s="3">
        <v>79.599999999999994</v>
      </c>
      <c r="I39" s="3">
        <v>15.5</v>
      </c>
      <c r="J39" s="3">
        <v>3.9</v>
      </c>
      <c r="K39" s="3">
        <v>0.9</v>
      </c>
      <c r="L39" s="3">
        <v>10.199999999999999</v>
      </c>
      <c r="M39" t="str">
        <f>IF(acs2015_county_data[[#This Row],[PublicWork]]&gt;='Описательные характеристики'!$F$5,"да","нет")</f>
        <v>нет</v>
      </c>
      <c r="N39" t="str">
        <f>IF(acs2015_county_data[[#This Row],[Unemployment]]&gt;='Описательные характеристики'!$I$5,"да","нет")</f>
        <v>да</v>
      </c>
    </row>
    <row r="40" spans="1:14" x14ac:dyDescent="0.35">
      <c r="A40">
        <v>1077</v>
      </c>
      <c r="B40" t="s">
        <v>14</v>
      </c>
      <c r="C40" t="s">
        <v>1995</v>
      </c>
      <c r="D40" s="2">
        <v>92737</v>
      </c>
      <c r="E40" s="2">
        <v>24215</v>
      </c>
      <c r="F40" s="3">
        <v>2.2000000000000002</v>
      </c>
      <c r="G40" s="3">
        <v>39734</v>
      </c>
      <c r="H40" s="3">
        <v>77.3</v>
      </c>
      <c r="I40" s="3">
        <v>16.7</v>
      </c>
      <c r="J40" s="3">
        <v>5.8</v>
      </c>
      <c r="K40" s="3">
        <v>0.2</v>
      </c>
      <c r="L40" s="3">
        <v>7.1</v>
      </c>
      <c r="M40" t="str">
        <f>IF(acs2015_county_data[[#This Row],[PublicWork]]&gt;='Описательные характеристики'!$F$5,"да","нет")</f>
        <v>да</v>
      </c>
      <c r="N40" t="str">
        <f>IF(acs2015_county_data[[#This Row],[Unemployment]]&gt;='Описательные характеристики'!$I$5,"да","нет")</f>
        <v>нет</v>
      </c>
    </row>
    <row r="41" spans="1:14" x14ac:dyDescent="0.35">
      <c r="A41">
        <v>1079</v>
      </c>
      <c r="B41" t="s">
        <v>14</v>
      </c>
      <c r="C41" t="s">
        <v>52</v>
      </c>
      <c r="D41" s="2">
        <v>33586</v>
      </c>
      <c r="E41" s="2">
        <v>21369</v>
      </c>
      <c r="F41" s="3">
        <v>1.9</v>
      </c>
      <c r="G41" s="3">
        <v>12704</v>
      </c>
      <c r="H41" s="3">
        <v>80.3</v>
      </c>
      <c r="I41" s="3">
        <v>13.3</v>
      </c>
      <c r="J41" s="3">
        <v>5.9</v>
      </c>
      <c r="K41" s="3">
        <v>0.4</v>
      </c>
      <c r="L41" s="3">
        <v>9.8000000000000007</v>
      </c>
      <c r="M41" t="str">
        <f>IF(acs2015_county_data[[#This Row],[PublicWork]]&gt;='Описательные характеристики'!$F$5,"да","нет")</f>
        <v>нет</v>
      </c>
      <c r="N41" t="str">
        <f>IF(acs2015_county_data[[#This Row],[Unemployment]]&gt;='Описательные характеристики'!$I$5,"да","нет")</f>
        <v>да</v>
      </c>
    </row>
    <row r="42" spans="1:14" x14ac:dyDescent="0.35">
      <c r="A42">
        <v>1081</v>
      </c>
      <c r="B42" t="s">
        <v>14</v>
      </c>
      <c r="C42" t="s">
        <v>53</v>
      </c>
      <c r="D42" s="2">
        <v>150982</v>
      </c>
      <c r="E42" s="2">
        <v>24356</v>
      </c>
      <c r="F42" s="3">
        <v>3.1</v>
      </c>
      <c r="G42" s="3">
        <v>68614</v>
      </c>
      <c r="H42" s="3">
        <v>75.5</v>
      </c>
      <c r="I42" s="3">
        <v>20.3</v>
      </c>
      <c r="J42" s="3">
        <v>4.0999999999999996</v>
      </c>
      <c r="K42" s="3">
        <v>0.1</v>
      </c>
      <c r="L42" s="3">
        <v>7.3</v>
      </c>
      <c r="M42" t="str">
        <f>IF(acs2015_county_data[[#This Row],[PublicWork]]&gt;='Описательные характеристики'!$F$5,"да","нет")</f>
        <v>да</v>
      </c>
      <c r="N42" t="str">
        <f>IF(acs2015_county_data[[#This Row],[Unemployment]]&gt;='Описательные характеристики'!$I$5,"да","нет")</f>
        <v>нет</v>
      </c>
    </row>
    <row r="43" spans="1:14" x14ac:dyDescent="0.35">
      <c r="A43">
        <v>1083</v>
      </c>
      <c r="B43" t="s">
        <v>14</v>
      </c>
      <c r="C43" t="s">
        <v>54</v>
      </c>
      <c r="D43" s="2">
        <v>88805</v>
      </c>
      <c r="E43" s="2">
        <v>25569</v>
      </c>
      <c r="F43" s="3">
        <v>2.1</v>
      </c>
      <c r="G43" s="3">
        <v>37664</v>
      </c>
      <c r="H43" s="3">
        <v>77.900000000000006</v>
      </c>
      <c r="I43" s="3">
        <v>16.399999999999999</v>
      </c>
      <c r="J43" s="3">
        <v>5.5</v>
      </c>
      <c r="K43" s="3">
        <v>0.2</v>
      </c>
      <c r="L43" s="3">
        <v>7.8</v>
      </c>
      <c r="M43" t="str">
        <f>IF(acs2015_county_data[[#This Row],[PublicWork]]&gt;='Описательные характеристики'!$F$5,"да","нет")</f>
        <v>да</v>
      </c>
      <c r="N43" t="str">
        <f>IF(acs2015_county_data[[#This Row],[Unemployment]]&gt;='Описательные характеристики'!$I$5,"да","нет")</f>
        <v>да</v>
      </c>
    </row>
    <row r="44" spans="1:14" x14ac:dyDescent="0.35">
      <c r="A44">
        <v>1085</v>
      </c>
      <c r="B44" t="s">
        <v>14</v>
      </c>
      <c r="C44" t="s">
        <v>55</v>
      </c>
      <c r="D44" s="2">
        <v>10742</v>
      </c>
      <c r="E44" s="2">
        <v>18429</v>
      </c>
      <c r="F44" s="3">
        <v>2.7</v>
      </c>
      <c r="G44" s="3">
        <v>3471</v>
      </c>
      <c r="H44" s="3">
        <v>73.900000000000006</v>
      </c>
      <c r="I44" s="3">
        <v>20.5</v>
      </c>
      <c r="J44" s="3">
        <v>4.2</v>
      </c>
      <c r="K44" s="3">
        <v>1.5</v>
      </c>
      <c r="L44" s="3">
        <v>13.2</v>
      </c>
      <c r="M44" t="str">
        <f>IF(acs2015_county_data[[#This Row],[PublicWork]]&gt;='Описательные характеристики'!$F$5,"да","нет")</f>
        <v>да</v>
      </c>
      <c r="N44" t="str">
        <f>IF(acs2015_county_data[[#This Row],[Unemployment]]&gt;='Описательные характеристики'!$I$5,"да","нет")</f>
        <v>да</v>
      </c>
    </row>
    <row r="45" spans="1:14" x14ac:dyDescent="0.35">
      <c r="A45">
        <v>1087</v>
      </c>
      <c r="B45" t="s">
        <v>14</v>
      </c>
      <c r="C45" t="s">
        <v>56</v>
      </c>
      <c r="D45" s="2">
        <v>20018</v>
      </c>
      <c r="E45" s="2">
        <v>17374</v>
      </c>
      <c r="F45" s="3">
        <v>1.7</v>
      </c>
      <c r="G45" s="3">
        <v>7585</v>
      </c>
      <c r="H45" s="3">
        <v>75.7</v>
      </c>
      <c r="I45" s="3">
        <v>20.3</v>
      </c>
      <c r="J45" s="3">
        <v>3.8</v>
      </c>
      <c r="K45" s="3">
        <v>0.2</v>
      </c>
      <c r="L45" s="3">
        <v>16.899999999999999</v>
      </c>
      <c r="M45" t="str">
        <f>IF(acs2015_county_data[[#This Row],[PublicWork]]&gt;='Описательные характеристики'!$F$5,"да","нет")</f>
        <v>да</v>
      </c>
      <c r="N45" t="str">
        <f>IF(acs2015_county_data[[#This Row],[Unemployment]]&gt;='Описательные характеристики'!$I$5,"да","нет")</f>
        <v>да</v>
      </c>
    </row>
    <row r="46" spans="1:14" x14ac:dyDescent="0.35">
      <c r="A46">
        <v>1089</v>
      </c>
      <c r="B46" t="s">
        <v>14</v>
      </c>
      <c r="C46" t="s">
        <v>57</v>
      </c>
      <c r="D46" s="2">
        <v>346438</v>
      </c>
      <c r="E46" s="2">
        <v>32131</v>
      </c>
      <c r="F46" s="3">
        <v>3</v>
      </c>
      <c r="G46" s="3">
        <v>163753</v>
      </c>
      <c r="H46" s="3">
        <v>75.599999999999994</v>
      </c>
      <c r="I46" s="3">
        <v>19.5</v>
      </c>
      <c r="J46" s="3">
        <v>4.7</v>
      </c>
      <c r="K46" s="3">
        <v>0.2</v>
      </c>
      <c r="L46" s="3">
        <v>8.5</v>
      </c>
      <c r="M46" t="str">
        <f>IF(acs2015_county_data[[#This Row],[PublicWork]]&gt;='Описательные характеристики'!$F$5,"да","нет")</f>
        <v>да</v>
      </c>
      <c r="N46" t="str">
        <f>IF(acs2015_county_data[[#This Row],[Unemployment]]&gt;='Описательные характеристики'!$I$5,"да","нет")</f>
        <v>да</v>
      </c>
    </row>
    <row r="47" spans="1:14" x14ac:dyDescent="0.35">
      <c r="A47">
        <v>1091</v>
      </c>
      <c r="B47" t="s">
        <v>14</v>
      </c>
      <c r="C47" t="s">
        <v>58</v>
      </c>
      <c r="D47" s="2">
        <v>20306</v>
      </c>
      <c r="E47" s="2">
        <v>21471</v>
      </c>
      <c r="F47" s="3">
        <v>3</v>
      </c>
      <c r="G47" s="3">
        <v>6860</v>
      </c>
      <c r="H47" s="3">
        <v>72.599999999999994</v>
      </c>
      <c r="I47" s="3">
        <v>18.8</v>
      </c>
      <c r="J47" s="3">
        <v>7.9</v>
      </c>
      <c r="K47" s="3">
        <v>0.7</v>
      </c>
      <c r="L47" s="3">
        <v>11.4</v>
      </c>
      <c r="M47" t="str">
        <f>IF(acs2015_county_data[[#This Row],[PublicWork]]&gt;='Описательные характеристики'!$F$5,"да","нет")</f>
        <v>да</v>
      </c>
      <c r="N47" t="str">
        <f>IF(acs2015_county_data[[#This Row],[Unemployment]]&gt;='Описательные характеристики'!$I$5,"да","нет")</f>
        <v>да</v>
      </c>
    </row>
    <row r="48" spans="1:14" x14ac:dyDescent="0.35">
      <c r="A48">
        <v>1093</v>
      </c>
      <c r="B48" t="s">
        <v>14</v>
      </c>
      <c r="C48" t="s">
        <v>59</v>
      </c>
      <c r="D48" s="2">
        <v>30387</v>
      </c>
      <c r="E48" s="2">
        <v>20042</v>
      </c>
      <c r="F48" s="3">
        <v>2.8</v>
      </c>
      <c r="G48" s="3">
        <v>11560</v>
      </c>
      <c r="H48" s="3">
        <v>75</v>
      </c>
      <c r="I48" s="3">
        <v>16.5</v>
      </c>
      <c r="J48" s="3">
        <v>8</v>
      </c>
      <c r="K48" s="3">
        <v>0.5</v>
      </c>
      <c r="L48" s="3">
        <v>9.9</v>
      </c>
      <c r="M48" t="str">
        <f>IF(acs2015_county_data[[#This Row],[PublicWork]]&gt;='Описательные характеристики'!$F$5,"да","нет")</f>
        <v>да</v>
      </c>
      <c r="N48" t="str">
        <f>IF(acs2015_county_data[[#This Row],[Unemployment]]&gt;='Описательные характеристики'!$I$5,"да","нет")</f>
        <v>да</v>
      </c>
    </row>
    <row r="49" spans="1:14" x14ac:dyDescent="0.35">
      <c r="A49">
        <v>1095</v>
      </c>
      <c r="B49" t="s">
        <v>14</v>
      </c>
      <c r="C49" t="s">
        <v>60</v>
      </c>
      <c r="D49" s="2">
        <v>94318</v>
      </c>
      <c r="E49" s="2">
        <v>21363</v>
      </c>
      <c r="F49" s="3">
        <v>3.1</v>
      </c>
      <c r="G49" s="3">
        <v>38140</v>
      </c>
      <c r="H49" s="3">
        <v>78</v>
      </c>
      <c r="I49" s="3">
        <v>14.8</v>
      </c>
      <c r="J49" s="3">
        <v>7.1</v>
      </c>
      <c r="K49" s="3">
        <v>0.1</v>
      </c>
      <c r="L49" s="3">
        <v>8.4</v>
      </c>
      <c r="M49" t="str">
        <f>IF(acs2015_county_data[[#This Row],[PublicWork]]&gt;='Описательные характеристики'!$F$5,"да","нет")</f>
        <v>нет</v>
      </c>
      <c r="N49" t="str">
        <f>IF(acs2015_county_data[[#This Row],[Unemployment]]&gt;='Описательные характеристики'!$I$5,"да","нет")</f>
        <v>да</v>
      </c>
    </row>
    <row r="50" spans="1:14" x14ac:dyDescent="0.35">
      <c r="A50">
        <v>1097</v>
      </c>
      <c r="B50" t="s">
        <v>14</v>
      </c>
      <c r="C50" t="s">
        <v>61</v>
      </c>
      <c r="D50" s="2">
        <v>414251</v>
      </c>
      <c r="E50" s="2">
        <v>22953</v>
      </c>
      <c r="F50" s="3">
        <v>3.7</v>
      </c>
      <c r="G50" s="3">
        <v>170900</v>
      </c>
      <c r="H50" s="3">
        <v>81.400000000000006</v>
      </c>
      <c r="I50" s="3">
        <v>13.8</v>
      </c>
      <c r="J50" s="3">
        <v>4.5999999999999996</v>
      </c>
      <c r="K50" s="3">
        <v>0.1</v>
      </c>
      <c r="L50" s="3">
        <v>9.8000000000000007</v>
      </c>
      <c r="M50" t="str">
        <f>IF(acs2015_county_data[[#This Row],[PublicWork]]&gt;='Описательные характеристики'!$F$5,"да","нет")</f>
        <v>нет</v>
      </c>
      <c r="N50" t="str">
        <f>IF(acs2015_county_data[[#This Row],[Unemployment]]&gt;='Описательные характеристики'!$I$5,"да","нет")</f>
        <v>да</v>
      </c>
    </row>
    <row r="51" spans="1:14" x14ac:dyDescent="0.35">
      <c r="A51">
        <v>1099</v>
      </c>
      <c r="B51" t="s">
        <v>14</v>
      </c>
      <c r="C51" t="s">
        <v>62</v>
      </c>
      <c r="D51" s="2">
        <v>22217</v>
      </c>
      <c r="E51" s="2">
        <v>15863</v>
      </c>
      <c r="F51" s="3">
        <v>1.7</v>
      </c>
      <c r="G51" s="3">
        <v>6551</v>
      </c>
      <c r="H51" s="3">
        <v>77.3</v>
      </c>
      <c r="I51" s="3">
        <v>18.399999999999999</v>
      </c>
      <c r="J51" s="3">
        <v>4.0999999999999996</v>
      </c>
      <c r="K51" s="3">
        <v>0.2</v>
      </c>
      <c r="L51" s="3">
        <v>20.7</v>
      </c>
      <c r="M51" t="str">
        <f>IF(acs2015_county_data[[#This Row],[PublicWork]]&gt;='Описательные характеристики'!$F$5,"да","нет")</f>
        <v>да</v>
      </c>
      <c r="N51" t="str">
        <f>IF(acs2015_county_data[[#This Row],[Unemployment]]&gt;='Описательные характеристики'!$I$5,"да","нет")</f>
        <v>да</v>
      </c>
    </row>
    <row r="52" spans="1:14" x14ac:dyDescent="0.35">
      <c r="A52">
        <v>1101</v>
      </c>
      <c r="B52" t="s">
        <v>14</v>
      </c>
      <c r="C52" t="s">
        <v>1995</v>
      </c>
      <c r="D52" s="2">
        <v>228138</v>
      </c>
      <c r="E52" s="2">
        <v>25138</v>
      </c>
      <c r="F52" s="3">
        <v>2.8</v>
      </c>
      <c r="G52" s="3">
        <v>99158</v>
      </c>
      <c r="H52" s="3">
        <v>72.599999999999994</v>
      </c>
      <c r="I52" s="3">
        <v>22.7</v>
      </c>
      <c r="J52" s="3">
        <v>4.5999999999999996</v>
      </c>
      <c r="K52" s="3">
        <v>0.1</v>
      </c>
      <c r="L52" s="3">
        <v>8.8000000000000007</v>
      </c>
      <c r="M52" t="str">
        <f>IF(acs2015_county_data[[#This Row],[PublicWork]]&gt;='Описательные характеристики'!$F$5,"да","нет")</f>
        <v>да</v>
      </c>
      <c r="N52" t="str">
        <f>IF(acs2015_county_data[[#This Row],[Unemployment]]&gt;='Описательные характеристики'!$I$5,"да","нет")</f>
        <v>да</v>
      </c>
    </row>
    <row r="53" spans="1:14" x14ac:dyDescent="0.35">
      <c r="A53">
        <v>1103</v>
      </c>
      <c r="B53" t="s">
        <v>14</v>
      </c>
      <c r="C53" t="s">
        <v>63</v>
      </c>
      <c r="D53" s="2">
        <v>119786</v>
      </c>
      <c r="E53" s="2">
        <v>24449</v>
      </c>
      <c r="F53" s="3">
        <v>1.6</v>
      </c>
      <c r="G53" s="3">
        <v>51472</v>
      </c>
      <c r="H53" s="3">
        <v>81.900000000000006</v>
      </c>
      <c r="I53" s="3">
        <v>12.1</v>
      </c>
      <c r="J53" s="3">
        <v>5.9</v>
      </c>
      <c r="K53" s="3">
        <v>0.1</v>
      </c>
      <c r="L53" s="3">
        <v>9.9</v>
      </c>
      <c r="M53" t="str">
        <f>IF(acs2015_county_data[[#This Row],[PublicWork]]&gt;='Описательные характеристики'!$F$5,"да","нет")</f>
        <v>нет</v>
      </c>
      <c r="N53" t="str">
        <f>IF(acs2015_county_data[[#This Row],[Unemployment]]&gt;='Описательные характеристики'!$I$5,"да","нет")</f>
        <v>да</v>
      </c>
    </row>
    <row r="54" spans="1:14" x14ac:dyDescent="0.35">
      <c r="A54">
        <v>1105</v>
      </c>
      <c r="B54" t="s">
        <v>14</v>
      </c>
      <c r="C54" t="s">
        <v>64</v>
      </c>
      <c r="D54" s="2">
        <v>10038</v>
      </c>
      <c r="E54" s="2">
        <v>14804</v>
      </c>
      <c r="F54" s="3">
        <v>1.1000000000000001</v>
      </c>
      <c r="G54" s="3">
        <v>2865</v>
      </c>
      <c r="H54" s="3">
        <v>76.3</v>
      </c>
      <c r="I54" s="3">
        <v>19</v>
      </c>
      <c r="J54" s="3">
        <v>4.7</v>
      </c>
      <c r="K54" s="3">
        <v>0</v>
      </c>
      <c r="L54" s="3">
        <v>11.2</v>
      </c>
      <c r="M54" t="str">
        <f>IF(acs2015_county_data[[#This Row],[PublicWork]]&gt;='Описательные характеристики'!$F$5,"да","нет")</f>
        <v>да</v>
      </c>
      <c r="N54" t="str">
        <f>IF(acs2015_county_data[[#This Row],[Unemployment]]&gt;='Описательные характеристики'!$I$5,"да","нет")</f>
        <v>да</v>
      </c>
    </row>
    <row r="55" spans="1:14" x14ac:dyDescent="0.35">
      <c r="A55">
        <v>1107</v>
      </c>
      <c r="B55" t="s">
        <v>14</v>
      </c>
      <c r="C55" t="s">
        <v>65</v>
      </c>
      <c r="D55" s="2">
        <v>19856</v>
      </c>
      <c r="E55" s="2">
        <v>17957</v>
      </c>
      <c r="F55" s="3">
        <v>3.6</v>
      </c>
      <c r="G55" s="3">
        <v>6712</v>
      </c>
      <c r="H55" s="3">
        <v>77.8</v>
      </c>
      <c r="I55" s="3">
        <v>17.899999999999999</v>
      </c>
      <c r="J55" s="3">
        <v>4.2</v>
      </c>
      <c r="K55" s="3">
        <v>0.1</v>
      </c>
      <c r="L55" s="3">
        <v>13.8</v>
      </c>
      <c r="M55" t="str">
        <f>IF(acs2015_county_data[[#This Row],[PublicWork]]&gt;='Описательные характеристики'!$F$5,"да","нет")</f>
        <v>да</v>
      </c>
      <c r="N55" t="str">
        <f>IF(acs2015_county_data[[#This Row],[Unemployment]]&gt;='Описательные характеристики'!$I$5,"да","нет")</f>
        <v>да</v>
      </c>
    </row>
    <row r="56" spans="1:14" x14ac:dyDescent="0.35">
      <c r="A56">
        <v>1109</v>
      </c>
      <c r="B56" t="s">
        <v>14</v>
      </c>
      <c r="C56" t="s">
        <v>66</v>
      </c>
      <c r="D56" s="2">
        <v>33155</v>
      </c>
      <c r="E56" s="2">
        <v>19415</v>
      </c>
      <c r="F56" s="3">
        <v>3.2</v>
      </c>
      <c r="G56" s="3">
        <v>14462</v>
      </c>
      <c r="H56" s="3">
        <v>75.8</v>
      </c>
      <c r="I56" s="3">
        <v>18.7</v>
      </c>
      <c r="J56" s="3">
        <v>5.5</v>
      </c>
      <c r="K56" s="3">
        <v>0.1</v>
      </c>
      <c r="L56" s="3">
        <v>10.199999999999999</v>
      </c>
      <c r="M56" t="str">
        <f>IF(acs2015_county_data[[#This Row],[PublicWork]]&gt;='Описательные характеристики'!$F$5,"да","нет")</f>
        <v>да</v>
      </c>
      <c r="N56" t="str">
        <f>IF(acs2015_county_data[[#This Row],[Unemployment]]&gt;='Описательные характеристики'!$I$5,"да","нет")</f>
        <v>да</v>
      </c>
    </row>
    <row r="57" spans="1:14" x14ac:dyDescent="0.35">
      <c r="A57">
        <v>1111</v>
      </c>
      <c r="B57" t="s">
        <v>14</v>
      </c>
      <c r="C57" t="s">
        <v>67</v>
      </c>
      <c r="D57" s="2">
        <v>22648</v>
      </c>
      <c r="E57" s="2">
        <v>19363</v>
      </c>
      <c r="F57" s="3">
        <v>4.0999999999999996</v>
      </c>
      <c r="G57" s="3">
        <v>8630</v>
      </c>
      <c r="H57" s="3">
        <v>76.400000000000006</v>
      </c>
      <c r="I57" s="3">
        <v>13.9</v>
      </c>
      <c r="J57" s="3">
        <v>8.9</v>
      </c>
      <c r="K57" s="3">
        <v>0.9</v>
      </c>
      <c r="L57" s="3">
        <v>10.3</v>
      </c>
      <c r="M57" t="str">
        <f>IF(acs2015_county_data[[#This Row],[PublicWork]]&gt;='Описательные характеристики'!$F$5,"да","нет")</f>
        <v>нет</v>
      </c>
      <c r="N57" t="str">
        <f>IF(acs2015_county_data[[#This Row],[Unemployment]]&gt;='Описательные характеристики'!$I$5,"да","нет")</f>
        <v>да</v>
      </c>
    </row>
    <row r="58" spans="1:14" x14ac:dyDescent="0.35">
      <c r="A58">
        <v>1113</v>
      </c>
      <c r="B58" t="s">
        <v>14</v>
      </c>
      <c r="C58" t="s">
        <v>68</v>
      </c>
      <c r="D58" s="2">
        <v>58302</v>
      </c>
      <c r="E58" s="2">
        <v>19882</v>
      </c>
      <c r="F58" s="3">
        <v>2.8</v>
      </c>
      <c r="G58" s="3">
        <v>22927</v>
      </c>
      <c r="H58" s="3">
        <v>75.5</v>
      </c>
      <c r="I58" s="3">
        <v>20.3</v>
      </c>
      <c r="J58" s="3">
        <v>4.2</v>
      </c>
      <c r="K58" s="3">
        <v>0.1</v>
      </c>
      <c r="L58" s="3">
        <v>11.1</v>
      </c>
      <c r="M58" t="str">
        <f>IF(acs2015_county_data[[#This Row],[PublicWork]]&gt;='Описательные характеристики'!$F$5,"да","нет")</f>
        <v>да</v>
      </c>
      <c r="N58" t="str">
        <f>IF(acs2015_county_data[[#This Row],[Unemployment]]&gt;='Описательные характеристики'!$I$5,"да","нет")</f>
        <v>да</v>
      </c>
    </row>
    <row r="59" spans="1:14" x14ac:dyDescent="0.35">
      <c r="A59">
        <v>1115</v>
      </c>
      <c r="B59" t="s">
        <v>14</v>
      </c>
      <c r="C59" t="s">
        <v>69</v>
      </c>
      <c r="D59" s="2">
        <v>85864</v>
      </c>
      <c r="E59" s="2">
        <v>24168</v>
      </c>
      <c r="F59" s="3">
        <v>3.5</v>
      </c>
      <c r="G59" s="3">
        <v>36977</v>
      </c>
      <c r="H59" s="3">
        <v>81.599999999999994</v>
      </c>
      <c r="I59" s="3">
        <v>12.3</v>
      </c>
      <c r="J59" s="3">
        <v>6</v>
      </c>
      <c r="K59" s="3">
        <v>0.1</v>
      </c>
      <c r="L59" s="3">
        <v>8.4</v>
      </c>
      <c r="M59" t="str">
        <f>IF(acs2015_county_data[[#This Row],[PublicWork]]&gt;='Описательные характеристики'!$F$5,"да","нет")</f>
        <v>нет</v>
      </c>
      <c r="N59" t="str">
        <f>IF(acs2015_county_data[[#This Row],[Unemployment]]&gt;='Описательные характеристики'!$I$5,"да","нет")</f>
        <v>да</v>
      </c>
    </row>
    <row r="60" spans="1:14" x14ac:dyDescent="0.35">
      <c r="A60">
        <v>1117</v>
      </c>
      <c r="B60" t="s">
        <v>14</v>
      </c>
      <c r="C60" t="s">
        <v>70</v>
      </c>
      <c r="D60" s="2">
        <v>203530</v>
      </c>
      <c r="E60" s="2">
        <v>33494</v>
      </c>
      <c r="F60" s="3">
        <v>4.9000000000000004</v>
      </c>
      <c r="G60" s="3">
        <v>101343</v>
      </c>
      <c r="H60" s="3">
        <v>82.6</v>
      </c>
      <c r="I60" s="3">
        <v>12.5</v>
      </c>
      <c r="J60" s="3">
        <v>4.8</v>
      </c>
      <c r="K60" s="3">
        <v>0.1</v>
      </c>
      <c r="L60" s="3">
        <v>5.5</v>
      </c>
      <c r="M60" t="str">
        <f>IF(acs2015_county_data[[#This Row],[PublicWork]]&gt;='Описательные характеристики'!$F$5,"да","нет")</f>
        <v>нет</v>
      </c>
      <c r="N60" t="str">
        <f>IF(acs2015_county_data[[#This Row],[Unemployment]]&gt;='Описательные характеристики'!$I$5,"да","нет")</f>
        <v>нет</v>
      </c>
    </row>
    <row r="61" spans="1:14" x14ac:dyDescent="0.35">
      <c r="A61">
        <v>1119</v>
      </c>
      <c r="B61" t="s">
        <v>14</v>
      </c>
      <c r="C61" t="s">
        <v>71</v>
      </c>
      <c r="D61" s="2">
        <v>13341</v>
      </c>
      <c r="E61" s="2">
        <v>12887</v>
      </c>
      <c r="F61" s="3">
        <v>2</v>
      </c>
      <c r="G61" s="3">
        <v>4416</v>
      </c>
      <c r="H61" s="3">
        <v>71.099999999999994</v>
      </c>
      <c r="I61" s="3">
        <v>23.8</v>
      </c>
      <c r="J61" s="3">
        <v>5.0999999999999996</v>
      </c>
      <c r="K61" s="3">
        <v>0</v>
      </c>
      <c r="L61" s="3">
        <v>16.8</v>
      </c>
      <c r="M61" t="str">
        <f>IF(acs2015_county_data[[#This Row],[PublicWork]]&gt;='Описательные характеристики'!$F$5,"да","нет")</f>
        <v>да</v>
      </c>
      <c r="N61" t="str">
        <f>IF(acs2015_county_data[[#This Row],[Unemployment]]&gt;='Описательные характеристики'!$I$5,"да","нет")</f>
        <v>да</v>
      </c>
    </row>
    <row r="62" spans="1:14" x14ac:dyDescent="0.35">
      <c r="A62">
        <v>1121</v>
      </c>
      <c r="B62" t="s">
        <v>14</v>
      </c>
      <c r="C62" t="s">
        <v>72</v>
      </c>
      <c r="D62" s="2">
        <v>81437</v>
      </c>
      <c r="E62" s="2">
        <v>19598</v>
      </c>
      <c r="F62" s="3">
        <v>1.8</v>
      </c>
      <c r="G62" s="3">
        <v>30618</v>
      </c>
      <c r="H62" s="3">
        <v>77.7</v>
      </c>
      <c r="I62" s="3">
        <v>16.600000000000001</v>
      </c>
      <c r="J62" s="3">
        <v>5.5</v>
      </c>
      <c r="K62" s="3">
        <v>0.2</v>
      </c>
      <c r="L62" s="3">
        <v>13.8</v>
      </c>
      <c r="M62" t="str">
        <f>IF(acs2015_county_data[[#This Row],[PublicWork]]&gt;='Описательные характеристики'!$F$5,"да","нет")</f>
        <v>да</v>
      </c>
      <c r="N62" t="str">
        <f>IF(acs2015_county_data[[#This Row],[Unemployment]]&gt;='Описательные характеристики'!$I$5,"да","нет")</f>
        <v>да</v>
      </c>
    </row>
    <row r="63" spans="1:14" x14ac:dyDescent="0.35">
      <c r="A63">
        <v>1123</v>
      </c>
      <c r="B63" t="s">
        <v>14</v>
      </c>
      <c r="C63" t="s">
        <v>73</v>
      </c>
      <c r="D63" s="2">
        <v>41153</v>
      </c>
      <c r="E63" s="2">
        <v>21177</v>
      </c>
      <c r="F63" s="3">
        <v>3.7</v>
      </c>
      <c r="G63" s="3">
        <v>15837</v>
      </c>
      <c r="H63" s="3">
        <v>78.400000000000006</v>
      </c>
      <c r="I63" s="3">
        <v>15.6</v>
      </c>
      <c r="J63" s="3">
        <v>5.5</v>
      </c>
      <c r="K63" s="3">
        <v>0.5</v>
      </c>
      <c r="L63" s="3">
        <v>9</v>
      </c>
      <c r="M63" t="str">
        <f>IF(acs2015_county_data[[#This Row],[PublicWork]]&gt;='Описательные характеристики'!$F$5,"да","нет")</f>
        <v>нет</v>
      </c>
      <c r="N63" t="str">
        <f>IF(acs2015_county_data[[#This Row],[Unemployment]]&gt;='Описательные характеристики'!$I$5,"да","нет")</f>
        <v>да</v>
      </c>
    </row>
    <row r="64" spans="1:14" x14ac:dyDescent="0.35">
      <c r="A64">
        <v>1125</v>
      </c>
      <c r="B64" t="s">
        <v>14</v>
      </c>
      <c r="C64" t="s">
        <v>74</v>
      </c>
      <c r="D64" s="2">
        <v>200458</v>
      </c>
      <c r="E64" s="2">
        <v>23124</v>
      </c>
      <c r="F64" s="3">
        <v>2.5</v>
      </c>
      <c r="G64" s="3">
        <v>87695</v>
      </c>
      <c r="H64" s="3">
        <v>77</v>
      </c>
      <c r="I64" s="3">
        <v>18.899999999999999</v>
      </c>
      <c r="J64" s="3">
        <v>4</v>
      </c>
      <c r="K64" s="3">
        <v>0.1</v>
      </c>
      <c r="L64" s="3">
        <v>7.6</v>
      </c>
      <c r="M64" t="str">
        <f>IF(acs2015_county_data[[#This Row],[PublicWork]]&gt;='Описательные характеристики'!$F$5,"да","нет")</f>
        <v>да</v>
      </c>
      <c r="N64" t="str">
        <f>IF(acs2015_county_data[[#This Row],[Unemployment]]&gt;='Описательные характеристики'!$I$5,"да","нет")</f>
        <v>да</v>
      </c>
    </row>
    <row r="65" spans="1:14" x14ac:dyDescent="0.35">
      <c r="A65">
        <v>1127</v>
      </c>
      <c r="B65" t="s">
        <v>14</v>
      </c>
      <c r="C65" t="s">
        <v>1995</v>
      </c>
      <c r="D65" s="2">
        <v>65923</v>
      </c>
      <c r="E65" s="2">
        <v>20166</v>
      </c>
      <c r="F65" s="3">
        <v>1.3</v>
      </c>
      <c r="G65" s="3">
        <v>24043</v>
      </c>
      <c r="H65" s="3">
        <v>78.3</v>
      </c>
      <c r="I65" s="3">
        <v>15.3</v>
      </c>
      <c r="J65" s="3">
        <v>6.2</v>
      </c>
      <c r="K65" s="3">
        <v>0.2</v>
      </c>
      <c r="L65" s="3">
        <v>11.4</v>
      </c>
      <c r="M65" t="str">
        <f>IF(acs2015_county_data[[#This Row],[PublicWork]]&gt;='Описательные характеристики'!$F$5,"да","нет")</f>
        <v>нет</v>
      </c>
      <c r="N65" t="str">
        <f>IF(acs2015_county_data[[#This Row],[Unemployment]]&gt;='Описательные характеристики'!$I$5,"да","нет")</f>
        <v>да</v>
      </c>
    </row>
    <row r="66" spans="1:14" x14ac:dyDescent="0.35">
      <c r="A66">
        <v>1129</v>
      </c>
      <c r="B66" t="s">
        <v>14</v>
      </c>
      <c r="C66" t="s">
        <v>75</v>
      </c>
      <c r="D66" s="2">
        <v>16997</v>
      </c>
      <c r="E66" s="2">
        <v>19743</v>
      </c>
      <c r="F66" s="3">
        <v>1.3</v>
      </c>
      <c r="G66" s="3">
        <v>5656</v>
      </c>
      <c r="H66" s="3">
        <v>77.400000000000006</v>
      </c>
      <c r="I66" s="3">
        <v>16.100000000000001</v>
      </c>
      <c r="J66" s="3">
        <v>6</v>
      </c>
      <c r="K66" s="3">
        <v>0.4</v>
      </c>
      <c r="L66" s="3">
        <v>20</v>
      </c>
      <c r="M66" t="str">
        <f>IF(acs2015_county_data[[#This Row],[PublicWork]]&gt;='Описательные характеристики'!$F$5,"да","нет")</f>
        <v>нет</v>
      </c>
      <c r="N66" t="str">
        <f>IF(acs2015_county_data[[#This Row],[Unemployment]]&gt;='Описательные характеристики'!$I$5,"да","нет")</f>
        <v>да</v>
      </c>
    </row>
    <row r="67" spans="1:14" x14ac:dyDescent="0.35">
      <c r="A67">
        <v>1131</v>
      </c>
      <c r="B67" t="s">
        <v>14</v>
      </c>
      <c r="C67" t="s">
        <v>76</v>
      </c>
      <c r="D67" s="2">
        <v>11235</v>
      </c>
      <c r="E67" s="2">
        <v>14170</v>
      </c>
      <c r="F67" s="3">
        <v>4.2</v>
      </c>
      <c r="G67" s="3">
        <v>2838</v>
      </c>
      <c r="H67" s="3">
        <v>68.900000000000006</v>
      </c>
      <c r="I67" s="3">
        <v>26</v>
      </c>
      <c r="J67" s="3">
        <v>5.0999999999999996</v>
      </c>
      <c r="K67" s="3">
        <v>0</v>
      </c>
      <c r="L67" s="3">
        <v>20.8</v>
      </c>
      <c r="M67" t="str">
        <f>IF(acs2015_county_data[[#This Row],[PublicWork]]&gt;='Описательные характеристики'!$F$5,"да","нет")</f>
        <v>да</v>
      </c>
      <c r="N67" t="str">
        <f>IF(acs2015_county_data[[#This Row],[Unemployment]]&gt;='Описательные характеристики'!$I$5,"да","нет")</f>
        <v>да</v>
      </c>
    </row>
    <row r="68" spans="1:14" x14ac:dyDescent="0.35">
      <c r="A68">
        <v>1133</v>
      </c>
      <c r="B68" t="s">
        <v>14</v>
      </c>
      <c r="C68" t="s">
        <v>77</v>
      </c>
      <c r="D68" s="2">
        <v>24130</v>
      </c>
      <c r="E68" s="2">
        <v>18808</v>
      </c>
      <c r="F68" s="3">
        <v>1.5</v>
      </c>
      <c r="G68" s="3">
        <v>8894</v>
      </c>
      <c r="H68" s="3">
        <v>74.3</v>
      </c>
      <c r="I68" s="3">
        <v>16</v>
      </c>
      <c r="J68" s="3">
        <v>9.6</v>
      </c>
      <c r="K68" s="3">
        <v>0.1</v>
      </c>
      <c r="L68" s="3">
        <v>9.6</v>
      </c>
      <c r="M68" t="str">
        <f>IF(acs2015_county_data[[#This Row],[PublicWork]]&gt;='Описательные характеристики'!$F$5,"да","нет")</f>
        <v>нет</v>
      </c>
      <c r="N68" t="str">
        <f>IF(acs2015_county_data[[#This Row],[Unemployment]]&gt;='Описательные характеристики'!$I$5,"да","нет")</f>
        <v>да</v>
      </c>
    </row>
    <row r="69" spans="1:14" x14ac:dyDescent="0.35">
      <c r="A69">
        <v>2013</v>
      </c>
      <c r="B69" t="s">
        <v>78</v>
      </c>
      <c r="C69" t="s">
        <v>79</v>
      </c>
      <c r="D69" s="2">
        <v>3304</v>
      </c>
      <c r="E69" s="2">
        <v>28608</v>
      </c>
      <c r="F69" s="3">
        <v>2.8</v>
      </c>
      <c r="G69" s="3">
        <v>2519</v>
      </c>
      <c r="H69" s="3">
        <v>78.599999999999994</v>
      </c>
      <c r="I69" s="3">
        <v>15.4</v>
      </c>
      <c r="J69" s="3">
        <v>5.9</v>
      </c>
      <c r="K69" s="3">
        <v>0.2</v>
      </c>
      <c r="L69" s="3">
        <v>2.9</v>
      </c>
      <c r="M69" t="str">
        <f>IF(acs2015_county_data[[#This Row],[PublicWork]]&gt;='Описательные характеристики'!$F$5,"да","нет")</f>
        <v>нет</v>
      </c>
      <c r="N69" t="str">
        <f>IF(acs2015_county_data[[#This Row],[Unemployment]]&gt;='Описательные характеристики'!$I$5,"да","нет")</f>
        <v>нет</v>
      </c>
    </row>
    <row r="70" spans="1:14" x14ac:dyDescent="0.35">
      <c r="A70">
        <v>2016</v>
      </c>
      <c r="B70" t="s">
        <v>78</v>
      </c>
      <c r="C70" t="s">
        <v>80</v>
      </c>
      <c r="D70" s="2">
        <v>5684</v>
      </c>
      <c r="E70" s="2">
        <v>31754</v>
      </c>
      <c r="F70" s="3">
        <v>4.9000000000000004</v>
      </c>
      <c r="G70" s="3">
        <v>3787</v>
      </c>
      <c r="H70" s="3">
        <v>77.900000000000006</v>
      </c>
      <c r="I70" s="3">
        <v>18.899999999999999</v>
      </c>
      <c r="J70" s="3">
        <v>3.2</v>
      </c>
      <c r="K70" s="3">
        <v>0</v>
      </c>
      <c r="L70" s="3">
        <v>2.1</v>
      </c>
      <c r="M70" t="str">
        <f>IF(acs2015_county_data[[#This Row],[PublicWork]]&gt;='Описательные характеристики'!$F$5,"да","нет")</f>
        <v>да</v>
      </c>
      <c r="N70" t="str">
        <f>IF(acs2015_county_data[[#This Row],[Unemployment]]&gt;='Описательные характеристики'!$I$5,"да","нет")</f>
        <v>нет</v>
      </c>
    </row>
    <row r="71" spans="1:14" x14ac:dyDescent="0.35">
      <c r="A71">
        <v>2020</v>
      </c>
      <c r="B71" t="s">
        <v>78</v>
      </c>
      <c r="C71" t="s">
        <v>81</v>
      </c>
      <c r="D71" s="2">
        <v>299107</v>
      </c>
      <c r="E71" s="2">
        <v>36920</v>
      </c>
      <c r="F71" s="3">
        <v>3.7</v>
      </c>
      <c r="G71" s="3">
        <v>152355</v>
      </c>
      <c r="H71" s="3">
        <v>73.3</v>
      </c>
      <c r="I71" s="3">
        <v>20.9</v>
      </c>
      <c r="J71" s="3">
        <v>5.7</v>
      </c>
      <c r="K71" s="3">
        <v>0.1</v>
      </c>
      <c r="L71" s="3">
        <v>6.7</v>
      </c>
      <c r="M71" t="str">
        <f>IF(acs2015_county_data[[#This Row],[PublicWork]]&gt;='Описательные характеристики'!$F$5,"да","нет")</f>
        <v>да</v>
      </c>
      <c r="N71" t="str">
        <f>IF(acs2015_county_data[[#This Row],[Unemployment]]&gt;='Описательные характеристики'!$I$5,"да","нет")</f>
        <v>нет</v>
      </c>
    </row>
    <row r="72" spans="1:14" x14ac:dyDescent="0.35">
      <c r="A72">
        <v>2050</v>
      </c>
      <c r="B72" t="s">
        <v>78</v>
      </c>
      <c r="C72" t="s">
        <v>82</v>
      </c>
      <c r="D72" s="2">
        <v>17776</v>
      </c>
      <c r="E72" s="2">
        <v>17746</v>
      </c>
      <c r="F72" s="3">
        <v>4.8</v>
      </c>
      <c r="G72" s="3">
        <v>6232</v>
      </c>
      <c r="H72" s="3">
        <v>53.2</v>
      </c>
      <c r="I72" s="3">
        <v>44.8</v>
      </c>
      <c r="J72" s="3">
        <v>2</v>
      </c>
      <c r="K72" s="3">
        <v>0</v>
      </c>
      <c r="L72" s="3">
        <v>17.600000000000001</v>
      </c>
      <c r="M72" t="str">
        <f>IF(acs2015_county_data[[#This Row],[PublicWork]]&gt;='Описательные характеристики'!$F$5,"да","нет")</f>
        <v>да</v>
      </c>
      <c r="N72" t="str">
        <f>IF(acs2015_county_data[[#This Row],[Unemployment]]&gt;='Описательные характеристики'!$I$5,"да","нет")</f>
        <v>да</v>
      </c>
    </row>
    <row r="73" spans="1:14" x14ac:dyDescent="0.35">
      <c r="A73">
        <v>2060</v>
      </c>
      <c r="B73" t="s">
        <v>78</v>
      </c>
      <c r="C73" t="s">
        <v>83</v>
      </c>
      <c r="D73" s="2">
        <v>970</v>
      </c>
      <c r="E73" s="2">
        <v>38267</v>
      </c>
      <c r="F73" s="3">
        <v>5</v>
      </c>
      <c r="G73" s="3">
        <v>541</v>
      </c>
      <c r="H73" s="3">
        <v>49.7</v>
      </c>
      <c r="I73" s="3">
        <v>39.200000000000003</v>
      </c>
      <c r="J73" s="3">
        <v>11.1</v>
      </c>
      <c r="K73" s="3">
        <v>0</v>
      </c>
      <c r="L73" s="3">
        <v>5.4</v>
      </c>
      <c r="M73" t="str">
        <f>IF(acs2015_county_data[[#This Row],[PublicWork]]&gt;='Описательные характеристики'!$F$5,"да","нет")</f>
        <v>да</v>
      </c>
      <c r="N73" t="str">
        <f>IF(acs2015_county_data[[#This Row],[Unemployment]]&gt;='Описательные характеристики'!$I$5,"да","нет")</f>
        <v>нет</v>
      </c>
    </row>
    <row r="74" spans="1:14" x14ac:dyDescent="0.35">
      <c r="A74">
        <v>2068</v>
      </c>
      <c r="B74" t="s">
        <v>78</v>
      </c>
      <c r="C74" t="s">
        <v>84</v>
      </c>
      <c r="D74" s="2">
        <v>2060</v>
      </c>
      <c r="E74" s="2">
        <v>35315</v>
      </c>
      <c r="F74" s="3">
        <v>26.7</v>
      </c>
      <c r="G74" s="3">
        <v>1210</v>
      </c>
      <c r="H74" s="3">
        <v>66.400000000000006</v>
      </c>
      <c r="I74" s="3">
        <v>24.5</v>
      </c>
      <c r="J74" s="3">
        <v>7.9</v>
      </c>
      <c r="K74" s="3">
        <v>1.2</v>
      </c>
      <c r="L74" s="3">
        <v>2.2999999999999998</v>
      </c>
      <c r="M74" t="str">
        <f>IF(acs2015_county_data[[#This Row],[PublicWork]]&gt;='Описательные характеристики'!$F$5,"да","нет")</f>
        <v>да</v>
      </c>
      <c r="N74" t="str">
        <f>IF(acs2015_county_data[[#This Row],[Unemployment]]&gt;='Описательные характеристики'!$I$5,"да","нет")</f>
        <v>нет</v>
      </c>
    </row>
    <row r="75" spans="1:14" x14ac:dyDescent="0.35">
      <c r="A75">
        <v>2070</v>
      </c>
      <c r="B75" t="s">
        <v>78</v>
      </c>
      <c r="C75" t="s">
        <v>85</v>
      </c>
      <c r="D75" s="2">
        <v>4979</v>
      </c>
      <c r="E75" s="2">
        <v>22257</v>
      </c>
      <c r="F75" s="3">
        <v>7.2</v>
      </c>
      <c r="G75" s="3">
        <v>1854</v>
      </c>
      <c r="H75" s="3">
        <v>58.5</v>
      </c>
      <c r="I75" s="3">
        <v>37.799999999999997</v>
      </c>
      <c r="J75" s="3">
        <v>3.7</v>
      </c>
      <c r="K75" s="3">
        <v>0</v>
      </c>
      <c r="L75" s="3">
        <v>12.5</v>
      </c>
      <c r="M75" t="str">
        <f>IF(acs2015_county_data[[#This Row],[PublicWork]]&gt;='Описательные характеристики'!$F$5,"да","нет")</f>
        <v>да</v>
      </c>
      <c r="N75" t="str">
        <f>IF(acs2015_county_data[[#This Row],[Unemployment]]&gt;='Описательные характеристики'!$I$5,"да","нет")</f>
        <v>да</v>
      </c>
    </row>
    <row r="76" spans="1:14" x14ac:dyDescent="0.35">
      <c r="A76">
        <v>2090</v>
      </c>
      <c r="B76" t="s">
        <v>78</v>
      </c>
      <c r="C76" t="s">
        <v>86</v>
      </c>
      <c r="D76" s="2">
        <v>99705</v>
      </c>
      <c r="E76" s="2">
        <v>33244</v>
      </c>
      <c r="F76" s="3">
        <v>3.4</v>
      </c>
      <c r="G76" s="3">
        <v>46661</v>
      </c>
      <c r="H76" s="3">
        <v>65.8</v>
      </c>
      <c r="I76" s="3">
        <v>29.9</v>
      </c>
      <c r="J76" s="3">
        <v>4.0999999999999996</v>
      </c>
      <c r="K76" s="3">
        <v>0.2</v>
      </c>
      <c r="L76" s="3">
        <v>7.9</v>
      </c>
      <c r="M76" t="str">
        <f>IF(acs2015_county_data[[#This Row],[PublicWork]]&gt;='Описательные характеристики'!$F$5,"да","нет")</f>
        <v>да</v>
      </c>
      <c r="N76" t="str">
        <f>IF(acs2015_county_data[[#This Row],[Unemployment]]&gt;='Описательные характеристики'!$I$5,"да","нет")</f>
        <v>да</v>
      </c>
    </row>
    <row r="77" spans="1:14" x14ac:dyDescent="0.35">
      <c r="A77">
        <v>2100</v>
      </c>
      <c r="B77" t="s">
        <v>78</v>
      </c>
      <c r="C77" t="s">
        <v>87</v>
      </c>
      <c r="D77" s="2">
        <v>2560</v>
      </c>
      <c r="E77" s="2">
        <v>33902</v>
      </c>
      <c r="F77" s="3">
        <v>7.4</v>
      </c>
      <c r="G77" s="3">
        <v>1470</v>
      </c>
      <c r="H77" s="3">
        <v>69</v>
      </c>
      <c r="I77" s="3">
        <v>19.7</v>
      </c>
      <c r="J77" s="3">
        <v>10.3</v>
      </c>
      <c r="K77" s="3">
        <v>1</v>
      </c>
      <c r="L77" s="3">
        <v>3</v>
      </c>
      <c r="M77" t="str">
        <f>IF(acs2015_county_data[[#This Row],[PublicWork]]&gt;='Описательные характеристики'!$F$5,"да","нет")</f>
        <v>да</v>
      </c>
      <c r="N77" t="str">
        <f>IF(acs2015_county_data[[#This Row],[Unemployment]]&gt;='Описательные характеристики'!$I$5,"да","нет")</f>
        <v>нет</v>
      </c>
    </row>
    <row r="78" spans="1:14" x14ac:dyDescent="0.35">
      <c r="A78">
        <v>2105</v>
      </c>
      <c r="B78" t="s">
        <v>78</v>
      </c>
      <c r="C78" t="s">
        <v>88</v>
      </c>
      <c r="D78" s="2">
        <v>2128</v>
      </c>
      <c r="E78" s="2">
        <v>30943</v>
      </c>
      <c r="F78" s="3">
        <v>11</v>
      </c>
      <c r="G78" s="3">
        <v>1086</v>
      </c>
      <c r="H78" s="3">
        <v>53.5</v>
      </c>
      <c r="I78" s="3">
        <v>30.9</v>
      </c>
      <c r="J78" s="3">
        <v>15.6</v>
      </c>
      <c r="K78" s="3">
        <v>0</v>
      </c>
      <c r="L78" s="3">
        <v>13.1</v>
      </c>
      <c r="M78" t="str">
        <f>IF(acs2015_county_data[[#This Row],[PublicWork]]&gt;='Описательные характеристики'!$F$5,"да","нет")</f>
        <v>да</v>
      </c>
      <c r="N78" t="str">
        <f>IF(acs2015_county_data[[#This Row],[Unemployment]]&gt;='Описательные характеристики'!$I$5,"да","нет")</f>
        <v>да</v>
      </c>
    </row>
    <row r="79" spans="1:14" x14ac:dyDescent="0.35">
      <c r="A79">
        <v>2110</v>
      </c>
      <c r="B79" t="s">
        <v>78</v>
      </c>
      <c r="C79" t="s">
        <v>89</v>
      </c>
      <c r="D79" s="2">
        <v>32531</v>
      </c>
      <c r="E79" s="2">
        <v>39979</v>
      </c>
      <c r="F79" s="3">
        <v>2.8</v>
      </c>
      <c r="G79" s="3">
        <v>17836</v>
      </c>
      <c r="H79" s="3">
        <v>53.3</v>
      </c>
      <c r="I79" s="3">
        <v>38.799999999999997</v>
      </c>
      <c r="J79" s="3">
        <v>7.7</v>
      </c>
      <c r="K79" s="3">
        <v>0.1</v>
      </c>
      <c r="L79" s="3">
        <v>5.2</v>
      </c>
      <c r="M79" t="str">
        <f>IF(acs2015_county_data[[#This Row],[PublicWork]]&gt;='Описательные характеристики'!$F$5,"да","нет")</f>
        <v>да</v>
      </c>
      <c r="N79" t="str">
        <f>IF(acs2015_county_data[[#This Row],[Unemployment]]&gt;='Описательные характеристики'!$I$5,"да","нет")</f>
        <v>нет</v>
      </c>
    </row>
    <row r="80" spans="1:14" x14ac:dyDescent="0.35">
      <c r="A80">
        <v>2122</v>
      </c>
      <c r="B80" t="s">
        <v>78</v>
      </c>
      <c r="C80" t="s">
        <v>90</v>
      </c>
      <c r="D80" s="2">
        <v>57221</v>
      </c>
      <c r="E80" s="2">
        <v>31537</v>
      </c>
      <c r="F80" s="3">
        <v>6.8</v>
      </c>
      <c r="G80" s="3">
        <v>25637</v>
      </c>
      <c r="H80" s="3">
        <v>72.2</v>
      </c>
      <c r="I80" s="3">
        <v>17.399999999999999</v>
      </c>
      <c r="J80" s="3">
        <v>9.8000000000000007</v>
      </c>
      <c r="K80" s="3">
        <v>0.5</v>
      </c>
      <c r="L80" s="3">
        <v>9.4</v>
      </c>
      <c r="M80" t="str">
        <f>IF(acs2015_county_data[[#This Row],[PublicWork]]&gt;='Описательные характеристики'!$F$5,"да","нет")</f>
        <v>да</v>
      </c>
      <c r="N80" t="str">
        <f>IF(acs2015_county_data[[#This Row],[Unemployment]]&gt;='Описательные характеристики'!$I$5,"да","нет")</f>
        <v>да</v>
      </c>
    </row>
    <row r="81" spans="1:14" x14ac:dyDescent="0.35">
      <c r="A81">
        <v>2130</v>
      </c>
      <c r="B81" t="s">
        <v>78</v>
      </c>
      <c r="C81" t="s">
        <v>91</v>
      </c>
      <c r="D81" s="2">
        <v>13699</v>
      </c>
      <c r="E81" s="2">
        <v>32021</v>
      </c>
      <c r="F81" s="3">
        <v>2.5</v>
      </c>
      <c r="G81" s="3">
        <v>6655</v>
      </c>
      <c r="H81" s="3">
        <v>62.7</v>
      </c>
      <c r="I81" s="3">
        <v>29.5</v>
      </c>
      <c r="J81" s="3">
        <v>7.3</v>
      </c>
      <c r="K81" s="3">
        <v>0.6</v>
      </c>
      <c r="L81" s="3">
        <v>7.9</v>
      </c>
      <c r="M81" t="str">
        <f>IF(acs2015_county_data[[#This Row],[PublicWork]]&gt;='Описательные характеристики'!$F$5,"да","нет")</f>
        <v>да</v>
      </c>
      <c r="N81" t="str">
        <f>IF(acs2015_county_data[[#This Row],[Unemployment]]&gt;='Описательные характеристики'!$I$5,"да","нет")</f>
        <v>да</v>
      </c>
    </row>
    <row r="82" spans="1:14" x14ac:dyDescent="0.35">
      <c r="A82">
        <v>2150</v>
      </c>
      <c r="B82" t="s">
        <v>78</v>
      </c>
      <c r="C82" t="s">
        <v>92</v>
      </c>
      <c r="D82" s="2">
        <v>13973</v>
      </c>
      <c r="E82" s="2">
        <v>30657</v>
      </c>
      <c r="F82" s="3">
        <v>4.3</v>
      </c>
      <c r="G82" s="3">
        <v>7032</v>
      </c>
      <c r="H82" s="3">
        <v>65</v>
      </c>
      <c r="I82" s="3">
        <v>25.3</v>
      </c>
      <c r="J82" s="3">
        <v>9.4</v>
      </c>
      <c r="K82" s="3">
        <v>0.3</v>
      </c>
      <c r="L82" s="3">
        <v>6.3</v>
      </c>
      <c r="M82" t="str">
        <f>IF(acs2015_county_data[[#This Row],[PublicWork]]&gt;='Описательные характеристики'!$F$5,"да","нет")</f>
        <v>да</v>
      </c>
      <c r="N82" t="str">
        <f>IF(acs2015_county_data[[#This Row],[Unemployment]]&gt;='Описательные характеристики'!$I$5,"да","нет")</f>
        <v>нет</v>
      </c>
    </row>
    <row r="83" spans="1:14" x14ac:dyDescent="0.35">
      <c r="A83">
        <v>2158</v>
      </c>
      <c r="B83" t="s">
        <v>78</v>
      </c>
      <c r="C83" t="s">
        <v>93</v>
      </c>
      <c r="D83" s="2">
        <v>7914</v>
      </c>
      <c r="E83" s="2">
        <v>11569</v>
      </c>
      <c r="F83" s="3">
        <v>4.7</v>
      </c>
      <c r="G83" s="3">
        <v>2067</v>
      </c>
      <c r="H83" s="3">
        <v>45.4</v>
      </c>
      <c r="I83" s="3">
        <v>53.8</v>
      </c>
      <c r="J83" s="3">
        <v>0.5</v>
      </c>
      <c r="K83" s="3">
        <v>0.3</v>
      </c>
      <c r="L83" s="3">
        <v>28.6</v>
      </c>
      <c r="M83" t="str">
        <f>IF(acs2015_county_data[[#This Row],[PublicWork]]&gt;='Описательные характеристики'!$F$5,"да","нет")</f>
        <v>да</v>
      </c>
      <c r="N83" t="str">
        <f>IF(acs2015_county_data[[#This Row],[Unemployment]]&gt;='Описательные характеристики'!$I$5,"да","нет")</f>
        <v>да</v>
      </c>
    </row>
    <row r="84" spans="1:14" x14ac:dyDescent="0.35">
      <c r="A84">
        <v>2164</v>
      </c>
      <c r="B84" t="s">
        <v>78</v>
      </c>
      <c r="C84" t="s">
        <v>94</v>
      </c>
      <c r="D84" s="2">
        <v>1474</v>
      </c>
      <c r="E84" s="2">
        <v>23041</v>
      </c>
      <c r="F84" s="3">
        <v>2.4</v>
      </c>
      <c r="G84" s="3">
        <v>657</v>
      </c>
      <c r="H84" s="3">
        <v>42.2</v>
      </c>
      <c r="I84" s="3">
        <v>51.6</v>
      </c>
      <c r="J84" s="3">
        <v>6.1</v>
      </c>
      <c r="K84" s="3">
        <v>0.2</v>
      </c>
      <c r="L84" s="3">
        <v>9.8000000000000007</v>
      </c>
      <c r="M84" t="str">
        <f>IF(acs2015_county_data[[#This Row],[PublicWork]]&gt;='Описательные характеристики'!$F$5,"да","нет")</f>
        <v>да</v>
      </c>
      <c r="N84" t="str">
        <f>IF(acs2015_county_data[[#This Row],[Unemployment]]&gt;='Описательные характеристики'!$I$5,"да","нет")</f>
        <v>да</v>
      </c>
    </row>
    <row r="85" spans="1:14" x14ac:dyDescent="0.35">
      <c r="A85">
        <v>2170</v>
      </c>
      <c r="B85" t="s">
        <v>78</v>
      </c>
      <c r="C85" t="s">
        <v>95</v>
      </c>
      <c r="D85" s="2">
        <v>96178</v>
      </c>
      <c r="E85" s="2">
        <v>29913</v>
      </c>
      <c r="F85" s="3">
        <v>5.7</v>
      </c>
      <c r="G85" s="3">
        <v>40854</v>
      </c>
      <c r="H85" s="3">
        <v>70.599999999999994</v>
      </c>
      <c r="I85" s="3">
        <v>21.5</v>
      </c>
      <c r="J85" s="3">
        <v>7.8</v>
      </c>
      <c r="K85" s="3">
        <v>0.2</v>
      </c>
      <c r="L85" s="3">
        <v>9.8000000000000007</v>
      </c>
      <c r="M85" t="str">
        <f>IF(acs2015_county_data[[#This Row],[PublicWork]]&gt;='Описательные характеристики'!$F$5,"да","нет")</f>
        <v>да</v>
      </c>
      <c r="N85" t="str">
        <f>IF(acs2015_county_data[[#This Row],[Unemployment]]&gt;='Описательные характеристики'!$I$5,"да","нет")</f>
        <v>да</v>
      </c>
    </row>
    <row r="86" spans="1:14" x14ac:dyDescent="0.35">
      <c r="A86">
        <v>2180</v>
      </c>
      <c r="B86" t="s">
        <v>78</v>
      </c>
      <c r="C86" t="s">
        <v>96</v>
      </c>
      <c r="D86" s="2">
        <v>9854</v>
      </c>
      <c r="E86" s="2">
        <v>19804</v>
      </c>
      <c r="F86" s="3">
        <v>4.3</v>
      </c>
      <c r="G86" s="3">
        <v>3654</v>
      </c>
      <c r="H86" s="3">
        <v>50.6</v>
      </c>
      <c r="I86" s="3">
        <v>44</v>
      </c>
      <c r="J86" s="3">
        <v>5.2</v>
      </c>
      <c r="K86" s="3">
        <v>0.2</v>
      </c>
      <c r="L86" s="3">
        <v>16.5</v>
      </c>
      <c r="M86" t="str">
        <f>IF(acs2015_county_data[[#This Row],[PublicWork]]&gt;='Описательные характеристики'!$F$5,"да","нет")</f>
        <v>да</v>
      </c>
      <c r="N86" t="str">
        <f>IF(acs2015_county_data[[#This Row],[Unemployment]]&gt;='Описательные характеристики'!$I$5,"да","нет")</f>
        <v>да</v>
      </c>
    </row>
    <row r="87" spans="1:14" x14ac:dyDescent="0.35">
      <c r="A87">
        <v>2185</v>
      </c>
      <c r="B87" t="s">
        <v>78</v>
      </c>
      <c r="C87" t="s">
        <v>97</v>
      </c>
      <c r="D87" s="2">
        <v>9667</v>
      </c>
      <c r="E87" s="2">
        <v>51085</v>
      </c>
      <c r="F87" s="3">
        <v>14.3</v>
      </c>
      <c r="G87" s="3">
        <v>5499</v>
      </c>
      <c r="H87" s="3">
        <v>73.8</v>
      </c>
      <c r="I87" s="3">
        <v>25.2</v>
      </c>
      <c r="J87" s="3">
        <v>0.9</v>
      </c>
      <c r="K87" s="3">
        <v>0</v>
      </c>
      <c r="L87" s="3">
        <v>9.3000000000000007</v>
      </c>
      <c r="M87" t="str">
        <f>IF(acs2015_county_data[[#This Row],[PublicWork]]&gt;='Описательные характеристики'!$F$5,"да","нет")</f>
        <v>да</v>
      </c>
      <c r="N87" t="str">
        <f>IF(acs2015_county_data[[#This Row],[Unemployment]]&gt;='Описательные характеристики'!$I$5,"да","нет")</f>
        <v>да</v>
      </c>
    </row>
    <row r="88" spans="1:14" x14ac:dyDescent="0.35">
      <c r="A88">
        <v>2188</v>
      </c>
      <c r="B88" t="s">
        <v>78</v>
      </c>
      <c r="C88" t="s">
        <v>98</v>
      </c>
      <c r="D88" s="2">
        <v>7732</v>
      </c>
      <c r="E88" s="2">
        <v>21101</v>
      </c>
      <c r="F88" s="3">
        <v>4.5999999999999996</v>
      </c>
      <c r="G88" s="3">
        <v>2593</v>
      </c>
      <c r="H88" s="3">
        <v>54</v>
      </c>
      <c r="I88" s="3">
        <v>43.7</v>
      </c>
      <c r="J88" s="3">
        <v>2.1</v>
      </c>
      <c r="K88" s="3">
        <v>0.2</v>
      </c>
      <c r="L88" s="3">
        <v>21.9</v>
      </c>
      <c r="M88" t="str">
        <f>IF(acs2015_county_data[[#This Row],[PublicWork]]&gt;='Описательные характеристики'!$F$5,"да","нет")</f>
        <v>да</v>
      </c>
      <c r="N88" t="str">
        <f>IF(acs2015_county_data[[#This Row],[Unemployment]]&gt;='Описательные характеристики'!$I$5,"да","нет")</f>
        <v>да</v>
      </c>
    </row>
    <row r="89" spans="1:14" x14ac:dyDescent="0.35">
      <c r="A89">
        <v>2195</v>
      </c>
      <c r="B89" t="s">
        <v>78</v>
      </c>
      <c r="C89" t="s">
        <v>99</v>
      </c>
      <c r="D89" s="2">
        <v>3221</v>
      </c>
      <c r="E89" s="2">
        <v>34884</v>
      </c>
      <c r="F89" s="3">
        <v>2.5</v>
      </c>
      <c r="G89" s="3">
        <v>1665</v>
      </c>
      <c r="H89" s="3">
        <v>54.8</v>
      </c>
      <c r="I89" s="3">
        <v>33.200000000000003</v>
      </c>
      <c r="J89" s="3">
        <v>11.5</v>
      </c>
      <c r="K89" s="3">
        <v>0.5</v>
      </c>
      <c r="L89" s="3">
        <v>8.4</v>
      </c>
      <c r="M89" t="str">
        <f>IF(acs2015_county_data[[#This Row],[PublicWork]]&gt;='Описательные характеристики'!$F$5,"да","нет")</f>
        <v>да</v>
      </c>
      <c r="N89" t="str">
        <f>IF(acs2015_county_data[[#This Row],[Unemployment]]&gt;='Описательные характеристики'!$I$5,"да","нет")</f>
        <v>да</v>
      </c>
    </row>
    <row r="90" spans="1:14" x14ac:dyDescent="0.35">
      <c r="A90">
        <v>2198</v>
      </c>
      <c r="B90" t="s">
        <v>78</v>
      </c>
      <c r="C90" t="s">
        <v>100</v>
      </c>
      <c r="D90" s="2">
        <v>6376</v>
      </c>
      <c r="E90" s="2">
        <v>25205</v>
      </c>
      <c r="F90" s="3">
        <v>4.5999999999999996</v>
      </c>
      <c r="G90" s="3">
        <v>2819</v>
      </c>
      <c r="H90" s="3">
        <v>50.4</v>
      </c>
      <c r="I90" s="3">
        <v>37.700000000000003</v>
      </c>
      <c r="J90" s="3">
        <v>11.8</v>
      </c>
      <c r="K90" s="3">
        <v>0.1</v>
      </c>
      <c r="L90" s="3">
        <v>13.9</v>
      </c>
      <c r="M90" t="str">
        <f>IF(acs2015_county_data[[#This Row],[PublicWork]]&gt;='Описательные характеристики'!$F$5,"да","нет")</f>
        <v>да</v>
      </c>
      <c r="N90" t="str">
        <f>IF(acs2015_county_data[[#This Row],[Unemployment]]&gt;='Описательные характеристики'!$I$5,"да","нет")</f>
        <v>да</v>
      </c>
    </row>
    <row r="91" spans="1:14" x14ac:dyDescent="0.35">
      <c r="A91">
        <v>2220</v>
      </c>
      <c r="B91" t="s">
        <v>78</v>
      </c>
      <c r="C91" t="s">
        <v>101</v>
      </c>
      <c r="D91" s="2">
        <v>8943</v>
      </c>
      <c r="E91" s="2">
        <v>33890</v>
      </c>
      <c r="F91" s="3">
        <v>5.0999999999999996</v>
      </c>
      <c r="G91" s="3">
        <v>4756</v>
      </c>
      <c r="H91" s="3">
        <v>60.1</v>
      </c>
      <c r="I91" s="3">
        <v>28.2</v>
      </c>
      <c r="J91" s="3">
        <v>11.7</v>
      </c>
      <c r="K91" s="3">
        <v>0</v>
      </c>
      <c r="L91" s="3">
        <v>3.8</v>
      </c>
      <c r="M91" t="str">
        <f>IF(acs2015_county_data[[#This Row],[PublicWork]]&gt;='Описательные характеристики'!$F$5,"да","нет")</f>
        <v>да</v>
      </c>
      <c r="N91" t="str">
        <f>IF(acs2015_county_data[[#This Row],[Unemployment]]&gt;='Описательные характеристики'!$I$5,"да","нет")</f>
        <v>нет</v>
      </c>
    </row>
    <row r="92" spans="1:14" x14ac:dyDescent="0.35">
      <c r="A92">
        <v>2230</v>
      </c>
      <c r="B92" t="s">
        <v>78</v>
      </c>
      <c r="C92" t="s">
        <v>102</v>
      </c>
      <c r="D92" s="2">
        <v>999</v>
      </c>
      <c r="E92" s="2">
        <v>38696</v>
      </c>
      <c r="F92" s="3">
        <v>5.0999999999999996</v>
      </c>
      <c r="G92" s="3">
        <v>676</v>
      </c>
      <c r="H92" s="3">
        <v>68.2</v>
      </c>
      <c r="I92" s="3">
        <v>22.5</v>
      </c>
      <c r="J92" s="3">
        <v>7.5</v>
      </c>
      <c r="K92" s="3">
        <v>1.8</v>
      </c>
      <c r="L92" s="3">
        <v>7.8</v>
      </c>
      <c r="M92" t="str">
        <f>IF(acs2015_county_data[[#This Row],[PublicWork]]&gt;='Описательные характеристики'!$F$5,"да","нет")</f>
        <v>да</v>
      </c>
      <c r="N92" t="str">
        <f>IF(acs2015_county_data[[#This Row],[Unemployment]]&gt;='Описательные характеристики'!$I$5,"да","нет")</f>
        <v>да</v>
      </c>
    </row>
    <row r="93" spans="1:14" x14ac:dyDescent="0.35">
      <c r="A93">
        <v>2240</v>
      </c>
      <c r="B93" t="s">
        <v>78</v>
      </c>
      <c r="C93" t="s">
        <v>103</v>
      </c>
      <c r="D93" s="2">
        <v>7029</v>
      </c>
      <c r="E93" s="2">
        <v>30079</v>
      </c>
      <c r="F93" s="3">
        <v>15.1</v>
      </c>
      <c r="G93" s="3">
        <v>3038</v>
      </c>
      <c r="H93" s="3">
        <v>64</v>
      </c>
      <c r="I93" s="3">
        <v>27.8</v>
      </c>
      <c r="J93" s="3">
        <v>7.8</v>
      </c>
      <c r="K93" s="3">
        <v>0.4</v>
      </c>
      <c r="L93" s="3">
        <v>9.4</v>
      </c>
      <c r="M93" t="str">
        <f>IF(acs2015_county_data[[#This Row],[PublicWork]]&gt;='Описательные характеристики'!$F$5,"да","нет")</f>
        <v>да</v>
      </c>
      <c r="N93" t="str">
        <f>IF(acs2015_county_data[[#This Row],[Unemployment]]&gt;='Описательные характеристики'!$I$5,"да","нет")</f>
        <v>да</v>
      </c>
    </row>
    <row r="94" spans="1:14" x14ac:dyDescent="0.35">
      <c r="A94">
        <v>2261</v>
      </c>
      <c r="B94" t="s">
        <v>78</v>
      </c>
      <c r="C94" t="s">
        <v>104</v>
      </c>
      <c r="D94" s="2">
        <v>9617</v>
      </c>
      <c r="E94" s="2">
        <v>33293</v>
      </c>
      <c r="F94" s="3">
        <v>6.7</v>
      </c>
      <c r="G94" s="3">
        <v>4415</v>
      </c>
      <c r="H94" s="3">
        <v>56.6</v>
      </c>
      <c r="I94" s="3">
        <v>32.9</v>
      </c>
      <c r="J94" s="3">
        <v>10.1</v>
      </c>
      <c r="K94" s="3">
        <v>0.4</v>
      </c>
      <c r="L94" s="3">
        <v>10.7</v>
      </c>
      <c r="M94" t="str">
        <f>IF(acs2015_county_data[[#This Row],[PublicWork]]&gt;='Описательные характеристики'!$F$5,"да","нет")</f>
        <v>да</v>
      </c>
      <c r="N94" t="str">
        <f>IF(acs2015_county_data[[#This Row],[Unemployment]]&gt;='Описательные характеристики'!$I$5,"да","нет")</f>
        <v>да</v>
      </c>
    </row>
    <row r="95" spans="1:14" x14ac:dyDescent="0.35">
      <c r="A95">
        <v>2275</v>
      </c>
      <c r="B95" t="s">
        <v>78</v>
      </c>
      <c r="C95" t="s">
        <v>105</v>
      </c>
      <c r="D95" s="2">
        <v>2387</v>
      </c>
      <c r="E95" s="2">
        <v>30089</v>
      </c>
      <c r="F95" s="3">
        <v>6</v>
      </c>
      <c r="G95" s="3">
        <v>1088</v>
      </c>
      <c r="H95" s="3">
        <v>54</v>
      </c>
      <c r="I95" s="3">
        <v>32.5</v>
      </c>
      <c r="J95" s="3">
        <v>13.4</v>
      </c>
      <c r="K95" s="3">
        <v>0</v>
      </c>
      <c r="L95" s="3">
        <v>7.5</v>
      </c>
      <c r="M95" t="str">
        <f>IF(acs2015_county_data[[#This Row],[PublicWork]]&gt;='Описательные характеристики'!$F$5,"да","нет")</f>
        <v>да</v>
      </c>
      <c r="N95" t="str">
        <f>IF(acs2015_county_data[[#This Row],[Unemployment]]&gt;='Описательные характеристики'!$I$5,"да","нет")</f>
        <v>нет</v>
      </c>
    </row>
    <row r="96" spans="1:14" x14ac:dyDescent="0.35">
      <c r="A96">
        <v>2282</v>
      </c>
      <c r="B96" t="s">
        <v>78</v>
      </c>
      <c r="C96" t="s">
        <v>106</v>
      </c>
      <c r="D96" s="2">
        <v>643</v>
      </c>
      <c r="E96" s="2">
        <v>33159</v>
      </c>
      <c r="F96" s="3">
        <v>5.0999999999999996</v>
      </c>
      <c r="G96" s="3">
        <v>375</v>
      </c>
      <c r="H96" s="3">
        <v>52.8</v>
      </c>
      <c r="I96" s="3">
        <v>37.1</v>
      </c>
      <c r="J96" s="3">
        <v>10.1</v>
      </c>
      <c r="K96" s="3">
        <v>0</v>
      </c>
      <c r="L96" s="3">
        <v>7.9</v>
      </c>
      <c r="M96" t="str">
        <f>IF(acs2015_county_data[[#This Row],[PublicWork]]&gt;='Описательные характеристики'!$F$5,"да","нет")</f>
        <v>да</v>
      </c>
      <c r="N96" t="str">
        <f>IF(acs2015_county_data[[#This Row],[Unemployment]]&gt;='Описательные характеристики'!$I$5,"да","нет")</f>
        <v>да</v>
      </c>
    </row>
    <row r="97" spans="1:14" x14ac:dyDescent="0.35">
      <c r="A97">
        <v>2290</v>
      </c>
      <c r="B97" t="s">
        <v>78</v>
      </c>
      <c r="C97" t="s">
        <v>107</v>
      </c>
      <c r="D97" s="2">
        <v>5644</v>
      </c>
      <c r="E97" s="2">
        <v>20698</v>
      </c>
      <c r="F97" s="3">
        <v>4.9000000000000004</v>
      </c>
      <c r="G97" s="3">
        <v>2077</v>
      </c>
      <c r="H97" s="3">
        <v>33.299999999999997</v>
      </c>
      <c r="I97" s="3">
        <v>61.7</v>
      </c>
      <c r="J97" s="3">
        <v>5.0999999999999996</v>
      </c>
      <c r="K97" s="3">
        <v>0</v>
      </c>
      <c r="L97" s="3">
        <v>18.2</v>
      </c>
      <c r="M97" t="str">
        <f>IF(acs2015_county_data[[#This Row],[PublicWork]]&gt;='Описательные характеристики'!$F$5,"да","нет")</f>
        <v>да</v>
      </c>
      <c r="N97" t="str">
        <f>IF(acs2015_county_data[[#This Row],[Unemployment]]&gt;='Описательные характеристики'!$I$5,"да","нет")</f>
        <v>да</v>
      </c>
    </row>
    <row r="98" spans="1:14" x14ac:dyDescent="0.35">
      <c r="A98">
        <v>4001</v>
      </c>
      <c r="B98" t="s">
        <v>108</v>
      </c>
      <c r="C98" t="s">
        <v>109</v>
      </c>
      <c r="D98" s="2">
        <v>72124</v>
      </c>
      <c r="E98" s="2">
        <v>13011</v>
      </c>
      <c r="F98" s="3">
        <v>6.3</v>
      </c>
      <c r="G98" s="3">
        <v>18334</v>
      </c>
      <c r="H98" s="3">
        <v>50.2</v>
      </c>
      <c r="I98" s="3">
        <v>45</v>
      </c>
      <c r="J98" s="3">
        <v>4.7</v>
      </c>
      <c r="K98" s="3">
        <v>0.1</v>
      </c>
      <c r="L98" s="3">
        <v>18.2</v>
      </c>
      <c r="M98" t="str">
        <f>IF(acs2015_county_data[[#This Row],[PublicWork]]&gt;='Описательные характеристики'!$F$5,"да","нет")</f>
        <v>да</v>
      </c>
      <c r="N98" t="str">
        <f>IF(acs2015_county_data[[#This Row],[Unemployment]]&gt;='Описательные характеристики'!$I$5,"да","нет")</f>
        <v>да</v>
      </c>
    </row>
    <row r="99" spans="1:14" x14ac:dyDescent="0.35">
      <c r="A99">
        <v>4003</v>
      </c>
      <c r="B99" t="s">
        <v>108</v>
      </c>
      <c r="C99" t="s">
        <v>110</v>
      </c>
      <c r="D99" s="2">
        <v>129647</v>
      </c>
      <c r="E99" s="2">
        <v>23506</v>
      </c>
      <c r="F99" s="3">
        <v>5.5</v>
      </c>
      <c r="G99" s="3">
        <v>43776</v>
      </c>
      <c r="H99" s="3">
        <v>63.2</v>
      </c>
      <c r="I99" s="3">
        <v>30.5</v>
      </c>
      <c r="J99" s="3">
        <v>6.1</v>
      </c>
      <c r="K99" s="3">
        <v>0.2</v>
      </c>
      <c r="L99" s="3">
        <v>8.6999999999999993</v>
      </c>
      <c r="M99" t="str">
        <f>IF(acs2015_county_data[[#This Row],[PublicWork]]&gt;='Описательные характеристики'!$F$5,"да","нет")</f>
        <v>да</v>
      </c>
      <c r="N99" t="str">
        <f>IF(acs2015_county_data[[#This Row],[Unemployment]]&gt;='Описательные характеристики'!$I$5,"да","нет")</f>
        <v>да</v>
      </c>
    </row>
    <row r="100" spans="1:14" x14ac:dyDescent="0.35">
      <c r="A100">
        <v>4005</v>
      </c>
      <c r="B100" t="s">
        <v>108</v>
      </c>
      <c r="C100" t="s">
        <v>111</v>
      </c>
      <c r="D100" s="2">
        <v>136701</v>
      </c>
      <c r="E100" s="2">
        <v>24308</v>
      </c>
      <c r="F100" s="3">
        <v>5</v>
      </c>
      <c r="G100" s="3">
        <v>64844</v>
      </c>
      <c r="H100" s="3">
        <v>72.2</v>
      </c>
      <c r="I100" s="3">
        <v>23.3</v>
      </c>
      <c r="J100" s="3">
        <v>4.4000000000000004</v>
      </c>
      <c r="K100" s="3">
        <v>0.1</v>
      </c>
      <c r="L100" s="3">
        <v>8.8000000000000007</v>
      </c>
      <c r="M100" t="str">
        <f>IF(acs2015_county_data[[#This Row],[PublicWork]]&gt;='Описательные характеристики'!$F$5,"да","нет")</f>
        <v>да</v>
      </c>
      <c r="N100" t="str">
        <f>IF(acs2015_county_data[[#This Row],[Unemployment]]&gt;='Описательные характеристики'!$I$5,"да","нет")</f>
        <v>да</v>
      </c>
    </row>
    <row r="101" spans="1:14" x14ac:dyDescent="0.35">
      <c r="A101">
        <v>4007</v>
      </c>
      <c r="B101" t="s">
        <v>108</v>
      </c>
      <c r="C101" t="s">
        <v>112</v>
      </c>
      <c r="D101" s="2">
        <v>53165</v>
      </c>
      <c r="E101" s="2">
        <v>20583</v>
      </c>
      <c r="F101" s="3">
        <v>4.8</v>
      </c>
      <c r="G101" s="3">
        <v>17961</v>
      </c>
      <c r="H101" s="3">
        <v>72.2</v>
      </c>
      <c r="I101" s="3">
        <v>23.1</v>
      </c>
      <c r="J101" s="3">
        <v>4.5999999999999996</v>
      </c>
      <c r="K101" s="3">
        <v>0.2</v>
      </c>
      <c r="L101" s="3">
        <v>12.8</v>
      </c>
      <c r="M101" t="str">
        <f>IF(acs2015_county_data[[#This Row],[PublicWork]]&gt;='Описательные характеристики'!$F$5,"да","нет")</f>
        <v>да</v>
      </c>
      <c r="N101" t="str">
        <f>IF(acs2015_county_data[[#This Row],[Unemployment]]&gt;='Описательные характеристики'!$I$5,"да","нет")</f>
        <v>да</v>
      </c>
    </row>
    <row r="102" spans="1:14" x14ac:dyDescent="0.35">
      <c r="A102">
        <v>4009</v>
      </c>
      <c r="B102" t="s">
        <v>108</v>
      </c>
      <c r="C102" t="s">
        <v>113</v>
      </c>
      <c r="D102" s="2">
        <v>37407</v>
      </c>
      <c r="E102" s="2">
        <v>17481</v>
      </c>
      <c r="F102" s="3">
        <v>3.7</v>
      </c>
      <c r="G102" s="3">
        <v>11954</v>
      </c>
      <c r="H102" s="3">
        <v>71.099999999999994</v>
      </c>
      <c r="I102" s="3">
        <v>25</v>
      </c>
      <c r="J102" s="3">
        <v>3.8</v>
      </c>
      <c r="K102" s="3">
        <v>0.1</v>
      </c>
      <c r="L102" s="3">
        <v>14.1</v>
      </c>
      <c r="M102" t="str">
        <f>IF(acs2015_county_data[[#This Row],[PublicWork]]&gt;='Описательные характеристики'!$F$5,"да","нет")</f>
        <v>да</v>
      </c>
      <c r="N102" t="str">
        <f>IF(acs2015_county_data[[#This Row],[Unemployment]]&gt;='Описательные характеристики'!$I$5,"да","нет")</f>
        <v>да</v>
      </c>
    </row>
    <row r="103" spans="1:14" x14ac:dyDescent="0.35">
      <c r="A103">
        <v>4011</v>
      </c>
      <c r="B103" t="s">
        <v>108</v>
      </c>
      <c r="C103" t="s">
        <v>114</v>
      </c>
      <c r="D103" s="2">
        <v>9023</v>
      </c>
      <c r="E103" s="2">
        <v>21994</v>
      </c>
      <c r="F103" s="3">
        <v>3</v>
      </c>
      <c r="G103" s="3">
        <v>3346</v>
      </c>
      <c r="H103" s="3">
        <v>81.5</v>
      </c>
      <c r="I103" s="3">
        <v>14.3</v>
      </c>
      <c r="J103" s="3">
        <v>4.2</v>
      </c>
      <c r="K103" s="3">
        <v>0</v>
      </c>
      <c r="L103" s="3">
        <v>10</v>
      </c>
      <c r="M103" t="str">
        <f>IF(acs2015_county_data[[#This Row],[PublicWork]]&gt;='Описательные характеристики'!$F$5,"да","нет")</f>
        <v>нет</v>
      </c>
      <c r="N103" t="str">
        <f>IF(acs2015_county_data[[#This Row],[Unemployment]]&gt;='Описательные характеристики'!$I$5,"да","нет")</f>
        <v>да</v>
      </c>
    </row>
    <row r="104" spans="1:14" x14ac:dyDescent="0.35">
      <c r="A104">
        <v>4012</v>
      </c>
      <c r="B104" t="s">
        <v>108</v>
      </c>
      <c r="C104" t="s">
        <v>115</v>
      </c>
      <c r="D104" s="2">
        <v>20335</v>
      </c>
      <c r="E104" s="2">
        <v>20439</v>
      </c>
      <c r="F104" s="3">
        <v>7.4</v>
      </c>
      <c r="G104" s="3">
        <v>6386</v>
      </c>
      <c r="H104" s="3">
        <v>60.8</v>
      </c>
      <c r="I104" s="3">
        <v>31.3</v>
      </c>
      <c r="J104" s="3">
        <v>7.9</v>
      </c>
      <c r="K104" s="3">
        <v>0</v>
      </c>
      <c r="L104" s="3">
        <v>11.2</v>
      </c>
      <c r="M104" t="str">
        <f>IF(acs2015_county_data[[#This Row],[PublicWork]]&gt;='Описательные характеристики'!$F$5,"да","нет")</f>
        <v>да</v>
      </c>
      <c r="N104" t="str">
        <f>IF(acs2015_county_data[[#This Row],[Unemployment]]&gt;='Описательные характеристики'!$I$5,"да","нет")</f>
        <v>да</v>
      </c>
    </row>
    <row r="105" spans="1:14" x14ac:dyDescent="0.35">
      <c r="A105">
        <v>4013</v>
      </c>
      <c r="B105" t="s">
        <v>108</v>
      </c>
      <c r="C105" t="s">
        <v>116</v>
      </c>
      <c r="D105" s="2">
        <v>4018143</v>
      </c>
      <c r="E105" s="2">
        <v>27832</v>
      </c>
      <c r="F105" s="3">
        <v>5.9</v>
      </c>
      <c r="G105" s="3">
        <v>1821038</v>
      </c>
      <c r="H105" s="3">
        <v>82.5</v>
      </c>
      <c r="I105" s="3">
        <v>11.7</v>
      </c>
      <c r="J105" s="3">
        <v>5.7</v>
      </c>
      <c r="K105" s="3">
        <v>0.2</v>
      </c>
      <c r="L105" s="3">
        <v>7.7</v>
      </c>
      <c r="M105" t="str">
        <f>IF(acs2015_county_data[[#This Row],[PublicWork]]&gt;='Описательные характеристики'!$F$5,"да","нет")</f>
        <v>нет</v>
      </c>
      <c r="N105" t="str">
        <f>IF(acs2015_county_data[[#This Row],[Unemployment]]&gt;='Описательные характеристики'!$I$5,"да","нет")</f>
        <v>да</v>
      </c>
    </row>
    <row r="106" spans="1:14" x14ac:dyDescent="0.35">
      <c r="A106">
        <v>4015</v>
      </c>
      <c r="B106" t="s">
        <v>108</v>
      </c>
      <c r="C106" t="s">
        <v>117</v>
      </c>
      <c r="D106" s="2">
        <v>203362</v>
      </c>
      <c r="E106" s="2">
        <v>20974</v>
      </c>
      <c r="F106" s="3">
        <v>2.8</v>
      </c>
      <c r="G106" s="3">
        <v>66880</v>
      </c>
      <c r="H106" s="3">
        <v>78.3</v>
      </c>
      <c r="I106" s="3">
        <v>15</v>
      </c>
      <c r="J106" s="3">
        <v>6.4</v>
      </c>
      <c r="K106" s="3">
        <v>0.3</v>
      </c>
      <c r="L106" s="3">
        <v>13.2</v>
      </c>
      <c r="M106" t="str">
        <f>IF(acs2015_county_data[[#This Row],[PublicWork]]&gt;='Описательные характеристики'!$F$5,"да","нет")</f>
        <v>нет</v>
      </c>
      <c r="N106" t="str">
        <f>IF(acs2015_county_data[[#This Row],[Unemployment]]&gt;='Описательные характеристики'!$I$5,"да","нет")</f>
        <v>да</v>
      </c>
    </row>
    <row r="107" spans="1:14" x14ac:dyDescent="0.35">
      <c r="A107">
        <v>4017</v>
      </c>
      <c r="B107" t="s">
        <v>108</v>
      </c>
      <c r="C107" t="s">
        <v>118</v>
      </c>
      <c r="D107" s="2">
        <v>107656</v>
      </c>
      <c r="E107" s="2">
        <v>16486</v>
      </c>
      <c r="F107" s="3">
        <v>7.3</v>
      </c>
      <c r="G107" s="3">
        <v>31955</v>
      </c>
      <c r="H107" s="3">
        <v>61.1</v>
      </c>
      <c r="I107" s="3">
        <v>31.3</v>
      </c>
      <c r="J107" s="3">
        <v>7.4</v>
      </c>
      <c r="K107" s="3">
        <v>0.3</v>
      </c>
      <c r="L107" s="3">
        <v>19.8</v>
      </c>
      <c r="M107" t="str">
        <f>IF(acs2015_county_data[[#This Row],[PublicWork]]&gt;='Описательные характеристики'!$F$5,"да","нет")</f>
        <v>да</v>
      </c>
      <c r="N107" t="str">
        <f>IF(acs2015_county_data[[#This Row],[Unemployment]]&gt;='Описательные характеристики'!$I$5,"да","нет")</f>
        <v>да</v>
      </c>
    </row>
    <row r="108" spans="1:14" x14ac:dyDescent="0.35">
      <c r="A108">
        <v>4019</v>
      </c>
      <c r="B108" t="s">
        <v>108</v>
      </c>
      <c r="C108" t="s">
        <v>119</v>
      </c>
      <c r="D108" s="2">
        <v>998537</v>
      </c>
      <c r="E108" s="2">
        <v>25729</v>
      </c>
      <c r="F108" s="3">
        <v>4.5999999999999996</v>
      </c>
      <c r="G108" s="3">
        <v>422371</v>
      </c>
      <c r="H108" s="3">
        <v>74.900000000000006</v>
      </c>
      <c r="I108" s="3">
        <v>18.3</v>
      </c>
      <c r="J108" s="3">
        <v>6.6</v>
      </c>
      <c r="K108" s="3">
        <v>0.2</v>
      </c>
      <c r="L108" s="3">
        <v>10</v>
      </c>
      <c r="M108" t="str">
        <f>IF(acs2015_county_data[[#This Row],[PublicWork]]&gt;='Описательные характеристики'!$F$5,"да","нет")</f>
        <v>да</v>
      </c>
      <c r="N108" t="str">
        <f>IF(acs2015_county_data[[#This Row],[Unemployment]]&gt;='Описательные характеристики'!$I$5,"да","нет")</f>
        <v>да</v>
      </c>
    </row>
    <row r="109" spans="1:14" x14ac:dyDescent="0.35">
      <c r="A109">
        <v>4021</v>
      </c>
      <c r="B109" t="s">
        <v>108</v>
      </c>
      <c r="C109" t="s">
        <v>120</v>
      </c>
      <c r="D109" s="2">
        <v>389772</v>
      </c>
      <c r="E109" s="2">
        <v>21130</v>
      </c>
      <c r="F109" s="3">
        <v>5.5</v>
      </c>
      <c r="G109" s="3">
        <v>134182</v>
      </c>
      <c r="H109" s="3">
        <v>76.2</v>
      </c>
      <c r="I109" s="3">
        <v>18.5</v>
      </c>
      <c r="J109" s="3">
        <v>5</v>
      </c>
      <c r="K109" s="3">
        <v>0.2</v>
      </c>
      <c r="L109" s="3">
        <v>10.6</v>
      </c>
      <c r="M109" t="str">
        <f>IF(acs2015_county_data[[#This Row],[PublicWork]]&gt;='Описательные характеристики'!$F$5,"да","нет")</f>
        <v>да</v>
      </c>
      <c r="N109" t="str">
        <f>IF(acs2015_county_data[[#This Row],[Unemployment]]&gt;='Описательные характеристики'!$I$5,"да","нет")</f>
        <v>да</v>
      </c>
    </row>
    <row r="110" spans="1:14" x14ac:dyDescent="0.35">
      <c r="A110">
        <v>4023</v>
      </c>
      <c r="B110" t="s">
        <v>108</v>
      </c>
      <c r="C110" t="s">
        <v>121</v>
      </c>
      <c r="D110" s="2">
        <v>47073</v>
      </c>
      <c r="E110" s="2">
        <v>17795</v>
      </c>
      <c r="F110" s="3">
        <v>5.3</v>
      </c>
      <c r="G110" s="3">
        <v>17246</v>
      </c>
      <c r="H110" s="3">
        <v>68</v>
      </c>
      <c r="I110" s="3">
        <v>20.5</v>
      </c>
      <c r="J110" s="3">
        <v>11</v>
      </c>
      <c r="K110" s="3">
        <v>0.5</v>
      </c>
      <c r="L110" s="3">
        <v>11.3</v>
      </c>
      <c r="M110" t="str">
        <f>IF(acs2015_county_data[[#This Row],[PublicWork]]&gt;='Описательные характеристики'!$F$5,"да","нет")</f>
        <v>да</v>
      </c>
      <c r="N110" t="str">
        <f>IF(acs2015_county_data[[#This Row],[Unemployment]]&gt;='Описательные характеристики'!$I$5,"да","нет")</f>
        <v>да</v>
      </c>
    </row>
    <row r="111" spans="1:14" x14ac:dyDescent="0.35">
      <c r="A111">
        <v>4025</v>
      </c>
      <c r="B111" t="s">
        <v>108</v>
      </c>
      <c r="C111" t="s">
        <v>122</v>
      </c>
      <c r="D111" s="2">
        <v>215996</v>
      </c>
      <c r="E111" s="2">
        <v>25418</v>
      </c>
      <c r="F111" s="3">
        <v>7.2</v>
      </c>
      <c r="G111" s="3">
        <v>81511</v>
      </c>
      <c r="H111" s="3">
        <v>76.3</v>
      </c>
      <c r="I111" s="3">
        <v>14.2</v>
      </c>
      <c r="J111" s="3">
        <v>9.4</v>
      </c>
      <c r="K111" s="3">
        <v>0.1</v>
      </c>
      <c r="L111" s="3">
        <v>10</v>
      </c>
      <c r="M111" t="str">
        <f>IF(acs2015_county_data[[#This Row],[PublicWork]]&gt;='Описательные характеристики'!$F$5,"да","нет")</f>
        <v>нет</v>
      </c>
      <c r="N111" t="str">
        <f>IF(acs2015_county_data[[#This Row],[Unemployment]]&gt;='Описательные характеристики'!$I$5,"да","нет")</f>
        <v>да</v>
      </c>
    </row>
    <row r="112" spans="1:14" x14ac:dyDescent="0.35">
      <c r="A112">
        <v>4027</v>
      </c>
      <c r="B112" t="s">
        <v>108</v>
      </c>
      <c r="C112" t="s">
        <v>123</v>
      </c>
      <c r="D112" s="2">
        <v>202987</v>
      </c>
      <c r="E112" s="2">
        <v>19102</v>
      </c>
      <c r="F112" s="3">
        <v>3.3</v>
      </c>
      <c r="G112" s="3">
        <v>71622</v>
      </c>
      <c r="H112" s="3">
        <v>73.099999999999994</v>
      </c>
      <c r="I112" s="3">
        <v>21.9</v>
      </c>
      <c r="J112" s="3">
        <v>4.9000000000000004</v>
      </c>
      <c r="K112" s="3">
        <v>0.1</v>
      </c>
      <c r="L112" s="3">
        <v>13.1</v>
      </c>
      <c r="M112" t="str">
        <f>IF(acs2015_county_data[[#This Row],[PublicWork]]&gt;='Описательные характеристики'!$F$5,"да","нет")</f>
        <v>да</v>
      </c>
      <c r="N112" t="str">
        <f>IF(acs2015_county_data[[#This Row],[Unemployment]]&gt;='Описательные характеристики'!$I$5,"да","нет")</f>
        <v>да</v>
      </c>
    </row>
    <row r="113" spans="1:14" x14ac:dyDescent="0.35">
      <c r="A113">
        <v>5001</v>
      </c>
      <c r="B113" t="s">
        <v>124</v>
      </c>
      <c r="C113" t="s">
        <v>124</v>
      </c>
      <c r="D113" s="2">
        <v>18731</v>
      </c>
      <c r="E113" s="2">
        <v>22473</v>
      </c>
      <c r="F113" s="3">
        <v>2.4</v>
      </c>
      <c r="G113" s="3">
        <v>8088</v>
      </c>
      <c r="H113" s="3">
        <v>76.400000000000006</v>
      </c>
      <c r="I113" s="3">
        <v>15.3</v>
      </c>
      <c r="J113" s="3">
        <v>7.7</v>
      </c>
      <c r="K113" s="3">
        <v>0.6</v>
      </c>
      <c r="L113" s="3">
        <v>8.3000000000000007</v>
      </c>
      <c r="M113" t="str">
        <f>IF(acs2015_county_data[[#This Row],[PublicWork]]&gt;='Описательные характеристики'!$F$5,"да","нет")</f>
        <v>нет</v>
      </c>
      <c r="N113" t="str">
        <f>IF(acs2015_county_data[[#This Row],[Unemployment]]&gt;='Описательные характеристики'!$I$5,"да","нет")</f>
        <v>да</v>
      </c>
    </row>
    <row r="114" spans="1:14" x14ac:dyDescent="0.35">
      <c r="A114">
        <v>5003</v>
      </c>
      <c r="B114" t="s">
        <v>124</v>
      </c>
      <c r="C114" t="s">
        <v>125</v>
      </c>
      <c r="D114" s="2">
        <v>21229</v>
      </c>
      <c r="E114" s="2">
        <v>19891</v>
      </c>
      <c r="F114" s="3">
        <v>2.7</v>
      </c>
      <c r="G114" s="3">
        <v>7840</v>
      </c>
      <c r="H114" s="3">
        <v>76.599999999999994</v>
      </c>
      <c r="I114" s="3">
        <v>18</v>
      </c>
      <c r="J114" s="3">
        <v>4.8</v>
      </c>
      <c r="K114" s="3">
        <v>0.5</v>
      </c>
      <c r="L114" s="3">
        <v>11.8</v>
      </c>
      <c r="M114" t="str">
        <f>IF(acs2015_county_data[[#This Row],[PublicWork]]&gt;='Описательные характеристики'!$F$5,"да","нет")</f>
        <v>да</v>
      </c>
      <c r="N114" t="str">
        <f>IF(acs2015_county_data[[#This Row],[Unemployment]]&gt;='Описательные характеристики'!$I$5,"да","нет")</f>
        <v>да</v>
      </c>
    </row>
    <row r="115" spans="1:14" x14ac:dyDescent="0.35">
      <c r="A115">
        <v>5005</v>
      </c>
      <c r="B115" t="s">
        <v>124</v>
      </c>
      <c r="C115" t="s">
        <v>126</v>
      </c>
      <c r="D115" s="2">
        <v>41040</v>
      </c>
      <c r="E115" s="2">
        <v>22475</v>
      </c>
      <c r="F115" s="3">
        <v>4</v>
      </c>
      <c r="G115" s="3">
        <v>15229</v>
      </c>
      <c r="H115" s="3">
        <v>78.900000000000006</v>
      </c>
      <c r="I115" s="3">
        <v>12.8</v>
      </c>
      <c r="J115" s="3">
        <v>8.3000000000000007</v>
      </c>
      <c r="K115" s="3">
        <v>0</v>
      </c>
      <c r="L115" s="3">
        <v>7.6</v>
      </c>
      <c r="M115" t="str">
        <f>IF(acs2015_county_data[[#This Row],[PublicWork]]&gt;='Описательные характеристики'!$F$5,"да","нет")</f>
        <v>нет</v>
      </c>
      <c r="N115" t="str">
        <f>IF(acs2015_county_data[[#This Row],[Unemployment]]&gt;='Описательные характеристики'!$I$5,"да","нет")</f>
        <v>да</v>
      </c>
    </row>
    <row r="116" spans="1:14" x14ac:dyDescent="0.35">
      <c r="A116">
        <v>5007</v>
      </c>
      <c r="B116" t="s">
        <v>124</v>
      </c>
      <c r="C116" t="s">
        <v>127</v>
      </c>
      <c r="D116" s="2">
        <v>238198</v>
      </c>
      <c r="E116" s="2">
        <v>27934</v>
      </c>
      <c r="F116" s="3">
        <v>4.5</v>
      </c>
      <c r="G116" s="3">
        <v>109788</v>
      </c>
      <c r="H116" s="3">
        <v>85.9</v>
      </c>
      <c r="I116" s="3">
        <v>8</v>
      </c>
      <c r="J116" s="3">
        <v>5.9</v>
      </c>
      <c r="K116" s="3">
        <v>0.1</v>
      </c>
      <c r="L116" s="3">
        <v>4.2</v>
      </c>
      <c r="M116" t="str">
        <f>IF(acs2015_county_data[[#This Row],[PublicWork]]&gt;='Описательные характеристики'!$F$5,"да","нет")</f>
        <v>нет</v>
      </c>
      <c r="N116" t="str">
        <f>IF(acs2015_county_data[[#This Row],[Unemployment]]&gt;='Описательные характеристики'!$I$5,"да","нет")</f>
        <v>нет</v>
      </c>
    </row>
    <row r="117" spans="1:14" x14ac:dyDescent="0.35">
      <c r="A117">
        <v>5009</v>
      </c>
      <c r="B117" t="s">
        <v>124</v>
      </c>
      <c r="C117" t="s">
        <v>128</v>
      </c>
      <c r="D117" s="2">
        <v>37227</v>
      </c>
      <c r="E117" s="2">
        <v>21946</v>
      </c>
      <c r="F117" s="3">
        <v>2.5</v>
      </c>
      <c r="G117" s="3">
        <v>15368</v>
      </c>
      <c r="H117" s="3">
        <v>78</v>
      </c>
      <c r="I117" s="3">
        <v>12.6</v>
      </c>
      <c r="J117" s="3">
        <v>8.9</v>
      </c>
      <c r="K117" s="3">
        <v>0.5</v>
      </c>
      <c r="L117" s="3">
        <v>8.4</v>
      </c>
      <c r="M117" t="str">
        <f>IF(acs2015_county_data[[#This Row],[PublicWork]]&gt;='Описательные характеристики'!$F$5,"да","нет")</f>
        <v>нет</v>
      </c>
      <c r="N117" t="str">
        <f>IF(acs2015_county_data[[#This Row],[Unemployment]]&gt;='Описательные характеристики'!$I$5,"да","нет")</f>
        <v>да</v>
      </c>
    </row>
    <row r="118" spans="1:14" x14ac:dyDescent="0.35">
      <c r="A118">
        <v>5011</v>
      </c>
      <c r="B118" t="s">
        <v>124</v>
      </c>
      <c r="C118" t="s">
        <v>1995</v>
      </c>
      <c r="D118" s="2">
        <v>11206</v>
      </c>
      <c r="E118" s="2">
        <v>20252</v>
      </c>
      <c r="F118" s="3">
        <v>5.6</v>
      </c>
      <c r="G118" s="3">
        <v>4180</v>
      </c>
      <c r="H118" s="3">
        <v>72.8</v>
      </c>
      <c r="I118" s="3">
        <v>21.6</v>
      </c>
      <c r="J118" s="3">
        <v>5.6</v>
      </c>
      <c r="K118" s="3">
        <v>0</v>
      </c>
      <c r="L118" s="3">
        <v>9.4</v>
      </c>
      <c r="M118" t="str">
        <f>IF(acs2015_county_data[[#This Row],[PublicWork]]&gt;='Описательные характеристики'!$F$5,"да","нет")</f>
        <v>да</v>
      </c>
      <c r="N118" t="str">
        <f>IF(acs2015_county_data[[#This Row],[Unemployment]]&gt;='Описательные характеристики'!$I$5,"да","нет")</f>
        <v>да</v>
      </c>
    </row>
    <row r="119" spans="1:14" x14ac:dyDescent="0.35">
      <c r="A119">
        <v>5013</v>
      </c>
      <c r="B119" t="s">
        <v>124</v>
      </c>
      <c r="C119" t="s">
        <v>22</v>
      </c>
      <c r="D119" s="2">
        <v>5245</v>
      </c>
      <c r="E119" s="2">
        <v>20537</v>
      </c>
      <c r="F119" s="3">
        <v>3</v>
      </c>
      <c r="G119" s="3">
        <v>2243</v>
      </c>
      <c r="H119" s="3">
        <v>74.900000000000006</v>
      </c>
      <c r="I119" s="3">
        <v>17.7</v>
      </c>
      <c r="J119" s="3">
        <v>7.4</v>
      </c>
      <c r="K119" s="3">
        <v>0</v>
      </c>
      <c r="L119" s="3">
        <v>7.2</v>
      </c>
      <c r="M119" t="str">
        <f>IF(acs2015_county_data[[#This Row],[PublicWork]]&gt;='Описательные характеристики'!$F$5,"да","нет")</f>
        <v>да</v>
      </c>
      <c r="N119" t="str">
        <f>IF(acs2015_county_data[[#This Row],[Unemployment]]&gt;='Описательные характеристики'!$I$5,"да","нет")</f>
        <v>нет</v>
      </c>
    </row>
    <row r="120" spans="1:14" x14ac:dyDescent="0.35">
      <c r="A120">
        <v>5015</v>
      </c>
      <c r="B120" t="s">
        <v>124</v>
      </c>
      <c r="C120" t="s">
        <v>129</v>
      </c>
      <c r="D120" s="2">
        <v>27635</v>
      </c>
      <c r="E120" s="2">
        <v>20195</v>
      </c>
      <c r="F120" s="3">
        <v>4.8</v>
      </c>
      <c r="G120" s="3">
        <v>11454</v>
      </c>
      <c r="H120" s="3">
        <v>78.5</v>
      </c>
      <c r="I120" s="3">
        <v>11.1</v>
      </c>
      <c r="J120" s="3">
        <v>10.199999999999999</v>
      </c>
      <c r="K120" s="3">
        <v>0.2</v>
      </c>
      <c r="L120" s="3">
        <v>6.2</v>
      </c>
      <c r="M120" t="str">
        <f>IF(acs2015_county_data[[#This Row],[PublicWork]]&gt;='Описательные характеристики'!$F$5,"да","нет")</f>
        <v>нет</v>
      </c>
      <c r="N120" t="str">
        <f>IF(acs2015_county_data[[#This Row],[Unemployment]]&gt;='Описательные характеристики'!$I$5,"да","нет")</f>
        <v>нет</v>
      </c>
    </row>
    <row r="121" spans="1:14" x14ac:dyDescent="0.35">
      <c r="A121">
        <v>5017</v>
      </c>
      <c r="B121" t="s">
        <v>124</v>
      </c>
      <c r="C121" t="s">
        <v>130</v>
      </c>
      <c r="D121" s="2">
        <v>11353</v>
      </c>
      <c r="E121" s="2">
        <v>19053</v>
      </c>
      <c r="F121" s="3">
        <v>0.4</v>
      </c>
      <c r="G121" s="3">
        <v>3769</v>
      </c>
      <c r="H121" s="3">
        <v>66.599999999999994</v>
      </c>
      <c r="I121" s="3">
        <v>24.8</v>
      </c>
      <c r="J121" s="3">
        <v>8.6</v>
      </c>
      <c r="K121" s="3">
        <v>0</v>
      </c>
      <c r="L121" s="3">
        <v>11.5</v>
      </c>
      <c r="M121" t="str">
        <f>IF(acs2015_county_data[[#This Row],[PublicWork]]&gt;='Описательные характеристики'!$F$5,"да","нет")</f>
        <v>да</v>
      </c>
      <c r="N121" t="str">
        <f>IF(acs2015_county_data[[#This Row],[Unemployment]]&gt;='Описательные характеристики'!$I$5,"да","нет")</f>
        <v>да</v>
      </c>
    </row>
    <row r="122" spans="1:14" x14ac:dyDescent="0.35">
      <c r="A122">
        <v>5019</v>
      </c>
      <c r="B122" t="s">
        <v>124</v>
      </c>
      <c r="C122" t="s">
        <v>131</v>
      </c>
      <c r="D122" s="2">
        <v>22751</v>
      </c>
      <c r="E122" s="2">
        <v>19555</v>
      </c>
      <c r="F122" s="3">
        <v>4.3</v>
      </c>
      <c r="G122" s="3">
        <v>9780</v>
      </c>
      <c r="H122" s="3">
        <v>73.099999999999994</v>
      </c>
      <c r="I122" s="3">
        <v>21.2</v>
      </c>
      <c r="J122" s="3">
        <v>5.3</v>
      </c>
      <c r="K122" s="3">
        <v>0.3</v>
      </c>
      <c r="L122" s="3">
        <v>8.4</v>
      </c>
      <c r="M122" t="str">
        <f>IF(acs2015_county_data[[#This Row],[PublicWork]]&gt;='Описательные характеристики'!$F$5,"да","нет")</f>
        <v>да</v>
      </c>
      <c r="N122" t="str">
        <f>IF(acs2015_county_data[[#This Row],[Unemployment]]&gt;='Описательные характеристики'!$I$5,"да","нет")</f>
        <v>да</v>
      </c>
    </row>
    <row r="123" spans="1:14" x14ac:dyDescent="0.35">
      <c r="A123">
        <v>5021</v>
      </c>
      <c r="B123" t="s">
        <v>124</v>
      </c>
      <c r="C123" t="s">
        <v>28</v>
      </c>
      <c r="D123" s="2">
        <v>15400</v>
      </c>
      <c r="E123" s="2">
        <v>19166</v>
      </c>
      <c r="F123" s="3">
        <v>2</v>
      </c>
      <c r="G123" s="3">
        <v>6283</v>
      </c>
      <c r="H123" s="3">
        <v>78.599999999999994</v>
      </c>
      <c r="I123" s="3">
        <v>13.4</v>
      </c>
      <c r="J123" s="3">
        <v>7.9</v>
      </c>
      <c r="K123" s="3">
        <v>0.1</v>
      </c>
      <c r="L123" s="3">
        <v>9.5</v>
      </c>
      <c r="M123" t="str">
        <f>IF(acs2015_county_data[[#This Row],[PublicWork]]&gt;='Описательные характеристики'!$F$5,"да","нет")</f>
        <v>нет</v>
      </c>
      <c r="N123" t="str">
        <f>IF(acs2015_county_data[[#This Row],[Unemployment]]&gt;='Описательные характеристики'!$I$5,"да","нет")</f>
        <v>да</v>
      </c>
    </row>
    <row r="124" spans="1:14" x14ac:dyDescent="0.35">
      <c r="A124">
        <v>5023</v>
      </c>
      <c r="B124" t="s">
        <v>124</v>
      </c>
      <c r="C124" t="s">
        <v>29</v>
      </c>
      <c r="D124" s="2">
        <v>25711</v>
      </c>
      <c r="E124" s="2">
        <v>24912</v>
      </c>
      <c r="F124" s="3">
        <v>4.2</v>
      </c>
      <c r="G124" s="3">
        <v>9699</v>
      </c>
      <c r="H124" s="3">
        <v>75.400000000000006</v>
      </c>
      <c r="I124" s="3">
        <v>15.3</v>
      </c>
      <c r="J124" s="3">
        <v>8.9</v>
      </c>
      <c r="K124" s="3">
        <v>0.4</v>
      </c>
      <c r="L124" s="3">
        <v>10.199999999999999</v>
      </c>
      <c r="M124" t="str">
        <f>IF(acs2015_county_data[[#This Row],[PublicWork]]&gt;='Описательные характеристики'!$F$5,"да","нет")</f>
        <v>нет</v>
      </c>
      <c r="N124" t="str">
        <f>IF(acs2015_county_data[[#This Row],[Unemployment]]&gt;='Описательные характеристики'!$I$5,"да","нет")</f>
        <v>да</v>
      </c>
    </row>
    <row r="125" spans="1:14" x14ac:dyDescent="0.35">
      <c r="A125">
        <v>5025</v>
      </c>
      <c r="B125" t="s">
        <v>124</v>
      </c>
      <c r="C125" t="s">
        <v>132</v>
      </c>
      <c r="D125" s="2">
        <v>8510</v>
      </c>
      <c r="E125" s="2">
        <v>21905</v>
      </c>
      <c r="F125" s="3">
        <v>1.7</v>
      </c>
      <c r="G125" s="3">
        <v>3256</v>
      </c>
      <c r="H125" s="3">
        <v>70.2</v>
      </c>
      <c r="I125" s="3">
        <v>24.5</v>
      </c>
      <c r="J125" s="3">
        <v>5.3</v>
      </c>
      <c r="K125" s="3">
        <v>0</v>
      </c>
      <c r="L125" s="3">
        <v>9.6999999999999993</v>
      </c>
      <c r="M125" t="str">
        <f>IF(acs2015_county_data[[#This Row],[PublicWork]]&gt;='Описательные характеристики'!$F$5,"да","нет")</f>
        <v>да</v>
      </c>
      <c r="N125" t="str">
        <f>IF(acs2015_county_data[[#This Row],[Unemployment]]&gt;='Описательные характеристики'!$I$5,"да","нет")</f>
        <v>да</v>
      </c>
    </row>
    <row r="126" spans="1:14" x14ac:dyDescent="0.35">
      <c r="A126">
        <v>5027</v>
      </c>
      <c r="B126" t="s">
        <v>124</v>
      </c>
      <c r="C126" t="s">
        <v>133</v>
      </c>
      <c r="D126" s="2">
        <v>24327</v>
      </c>
      <c r="E126" s="2">
        <v>20045</v>
      </c>
      <c r="F126" s="3">
        <v>2.5</v>
      </c>
      <c r="G126" s="3">
        <v>10491</v>
      </c>
      <c r="H126" s="3">
        <v>76.099999999999994</v>
      </c>
      <c r="I126" s="3">
        <v>19.600000000000001</v>
      </c>
      <c r="J126" s="3">
        <v>4.3</v>
      </c>
      <c r="K126" s="3">
        <v>0.1</v>
      </c>
      <c r="L126" s="3">
        <v>10.1</v>
      </c>
      <c r="M126" t="str">
        <f>IF(acs2015_county_data[[#This Row],[PublicWork]]&gt;='Описательные характеристики'!$F$5,"да","нет")</f>
        <v>да</v>
      </c>
      <c r="N126" t="str">
        <f>IF(acs2015_county_data[[#This Row],[Unemployment]]&gt;='Описательные характеристики'!$I$5,"да","нет")</f>
        <v>да</v>
      </c>
    </row>
    <row r="127" spans="1:14" x14ac:dyDescent="0.35">
      <c r="A127">
        <v>5029</v>
      </c>
      <c r="B127" t="s">
        <v>124</v>
      </c>
      <c r="C127" t="s">
        <v>134</v>
      </c>
      <c r="D127" s="2">
        <v>21110</v>
      </c>
      <c r="E127" s="2">
        <v>21897</v>
      </c>
      <c r="F127" s="3">
        <v>2.2000000000000002</v>
      </c>
      <c r="G127" s="3">
        <v>8306</v>
      </c>
      <c r="H127" s="3">
        <v>76.5</v>
      </c>
      <c r="I127" s="3">
        <v>16.899999999999999</v>
      </c>
      <c r="J127" s="3">
        <v>6.4</v>
      </c>
      <c r="K127" s="3">
        <v>0.2</v>
      </c>
      <c r="L127" s="3">
        <v>8.1</v>
      </c>
      <c r="M127" t="str">
        <f>IF(acs2015_county_data[[#This Row],[PublicWork]]&gt;='Описательные характеристики'!$F$5,"да","нет")</f>
        <v>да</v>
      </c>
      <c r="N127" t="str">
        <f>IF(acs2015_county_data[[#This Row],[Unemployment]]&gt;='Описательные характеристики'!$I$5,"да","нет")</f>
        <v>да</v>
      </c>
    </row>
    <row r="128" spans="1:14" x14ac:dyDescent="0.35">
      <c r="A128">
        <v>5031</v>
      </c>
      <c r="B128" t="s">
        <v>124</v>
      </c>
      <c r="C128" t="s">
        <v>135</v>
      </c>
      <c r="D128" s="2">
        <v>101409</v>
      </c>
      <c r="E128" s="2">
        <v>23091</v>
      </c>
      <c r="F128" s="3">
        <v>3.4</v>
      </c>
      <c r="G128" s="3">
        <v>45526</v>
      </c>
      <c r="H128" s="3">
        <v>78.3</v>
      </c>
      <c r="I128" s="3">
        <v>14.7</v>
      </c>
      <c r="J128" s="3">
        <v>6.9</v>
      </c>
      <c r="K128" s="3">
        <v>0.1</v>
      </c>
      <c r="L128" s="3">
        <v>7.5</v>
      </c>
      <c r="M128" t="str">
        <f>IF(acs2015_county_data[[#This Row],[PublicWork]]&gt;='Описательные характеристики'!$F$5,"да","нет")</f>
        <v>нет</v>
      </c>
      <c r="N128" t="str">
        <f>IF(acs2015_county_data[[#This Row],[Unemployment]]&gt;='Описательные характеристики'!$I$5,"да","нет")</f>
        <v>нет</v>
      </c>
    </row>
    <row r="129" spans="1:14" x14ac:dyDescent="0.35">
      <c r="A129">
        <v>5033</v>
      </c>
      <c r="B129" t="s">
        <v>124</v>
      </c>
      <c r="C129" t="s">
        <v>136</v>
      </c>
      <c r="D129" s="2">
        <v>61748</v>
      </c>
      <c r="E129" s="2">
        <v>20849</v>
      </c>
      <c r="F129" s="3">
        <v>2</v>
      </c>
      <c r="G129" s="3">
        <v>25099</v>
      </c>
      <c r="H129" s="3">
        <v>80.400000000000006</v>
      </c>
      <c r="I129" s="3">
        <v>14.7</v>
      </c>
      <c r="J129" s="3">
        <v>4.8</v>
      </c>
      <c r="K129" s="3">
        <v>0.1</v>
      </c>
      <c r="L129" s="3">
        <v>7.9</v>
      </c>
      <c r="M129" t="str">
        <f>IF(acs2015_county_data[[#This Row],[PublicWork]]&gt;='Описательные характеристики'!$F$5,"да","нет")</f>
        <v>нет</v>
      </c>
      <c r="N129" t="str">
        <f>IF(acs2015_county_data[[#This Row],[Unemployment]]&gt;='Описательные характеристики'!$I$5,"да","нет")</f>
        <v>да</v>
      </c>
    </row>
    <row r="130" spans="1:14" x14ac:dyDescent="0.35">
      <c r="A130">
        <v>5035</v>
      </c>
      <c r="B130" t="s">
        <v>124</v>
      </c>
      <c r="C130" t="s">
        <v>137</v>
      </c>
      <c r="D130" s="2">
        <v>49765</v>
      </c>
      <c r="E130" s="2">
        <v>19682</v>
      </c>
      <c r="F130" s="3">
        <v>1.8</v>
      </c>
      <c r="G130" s="3">
        <v>20336</v>
      </c>
      <c r="H130" s="3">
        <v>77.7</v>
      </c>
      <c r="I130" s="3">
        <v>16.8</v>
      </c>
      <c r="J130" s="3">
        <v>5.2</v>
      </c>
      <c r="K130" s="3">
        <v>0.3</v>
      </c>
      <c r="L130" s="3">
        <v>9.9</v>
      </c>
      <c r="M130" t="str">
        <f>IF(acs2015_county_data[[#This Row],[PublicWork]]&gt;='Описательные характеристики'!$F$5,"да","нет")</f>
        <v>да</v>
      </c>
      <c r="N130" t="str">
        <f>IF(acs2015_county_data[[#This Row],[Unemployment]]&gt;='Описательные характеристики'!$I$5,"да","нет")</f>
        <v>да</v>
      </c>
    </row>
    <row r="131" spans="1:14" x14ac:dyDescent="0.35">
      <c r="A131">
        <v>5037</v>
      </c>
      <c r="B131" t="s">
        <v>124</v>
      </c>
      <c r="C131" t="s">
        <v>138</v>
      </c>
      <c r="D131" s="2">
        <v>17467</v>
      </c>
      <c r="E131" s="2">
        <v>19543</v>
      </c>
      <c r="F131" s="3">
        <v>3.9</v>
      </c>
      <c r="G131" s="3">
        <v>7140</v>
      </c>
      <c r="H131" s="3">
        <v>73</v>
      </c>
      <c r="I131" s="3">
        <v>19.899999999999999</v>
      </c>
      <c r="J131" s="3">
        <v>6.3</v>
      </c>
      <c r="K131" s="3">
        <v>0.8</v>
      </c>
      <c r="L131" s="3">
        <v>8.6</v>
      </c>
      <c r="M131" t="str">
        <f>IF(acs2015_county_data[[#This Row],[PublicWork]]&gt;='Описательные характеристики'!$F$5,"да","нет")</f>
        <v>да</v>
      </c>
      <c r="N131" t="str">
        <f>IF(acs2015_county_data[[#This Row],[Unemployment]]&gt;='Описательные характеристики'!$I$5,"да","нет")</f>
        <v>да</v>
      </c>
    </row>
    <row r="132" spans="1:14" x14ac:dyDescent="0.35">
      <c r="A132">
        <v>5039</v>
      </c>
      <c r="B132" t="s">
        <v>124</v>
      </c>
      <c r="C132" t="s">
        <v>37</v>
      </c>
      <c r="D132" s="2">
        <v>7868</v>
      </c>
      <c r="E132" s="2">
        <v>17868</v>
      </c>
      <c r="F132" s="3">
        <v>2</v>
      </c>
      <c r="G132" s="3">
        <v>3031</v>
      </c>
      <c r="H132" s="3">
        <v>72.2</v>
      </c>
      <c r="I132" s="3">
        <v>22.2</v>
      </c>
      <c r="J132" s="3">
        <v>4.8</v>
      </c>
      <c r="K132" s="3">
        <v>0.7</v>
      </c>
      <c r="L132" s="3">
        <v>8.3000000000000007</v>
      </c>
      <c r="M132" t="str">
        <f>IF(acs2015_county_data[[#This Row],[PublicWork]]&gt;='Описательные характеристики'!$F$5,"да","нет")</f>
        <v>да</v>
      </c>
      <c r="N132" t="str">
        <f>IF(acs2015_county_data[[#This Row],[Unemployment]]&gt;='Описательные характеристики'!$I$5,"да","нет")</f>
        <v>да</v>
      </c>
    </row>
    <row r="133" spans="1:14" x14ac:dyDescent="0.35">
      <c r="A133">
        <v>5041</v>
      </c>
      <c r="B133" t="s">
        <v>124</v>
      </c>
      <c r="C133" t="s">
        <v>139</v>
      </c>
      <c r="D133" s="2">
        <v>12379</v>
      </c>
      <c r="E133" s="2">
        <v>17788</v>
      </c>
      <c r="F133" s="3">
        <v>1.3</v>
      </c>
      <c r="G133" s="3">
        <v>4355</v>
      </c>
      <c r="H133" s="3">
        <v>69.900000000000006</v>
      </c>
      <c r="I133" s="3">
        <v>25.7</v>
      </c>
      <c r="J133" s="3">
        <v>4.5</v>
      </c>
      <c r="K133" s="3">
        <v>0</v>
      </c>
      <c r="L133" s="3">
        <v>17.7</v>
      </c>
      <c r="M133" t="str">
        <f>IF(acs2015_county_data[[#This Row],[PublicWork]]&gt;='Описательные характеристики'!$F$5,"да","нет")</f>
        <v>да</v>
      </c>
      <c r="N133" t="str">
        <f>IF(acs2015_county_data[[#This Row],[Unemployment]]&gt;='Описательные характеристики'!$I$5,"да","нет")</f>
        <v>да</v>
      </c>
    </row>
    <row r="134" spans="1:14" x14ac:dyDescent="0.35">
      <c r="A134">
        <v>5043</v>
      </c>
      <c r="B134" t="s">
        <v>124</v>
      </c>
      <c r="C134" t="s">
        <v>140</v>
      </c>
      <c r="D134" s="2">
        <v>18740</v>
      </c>
      <c r="E134" s="2">
        <v>17481</v>
      </c>
      <c r="F134" s="3">
        <v>2.2999999999999998</v>
      </c>
      <c r="G134" s="3">
        <v>7361</v>
      </c>
      <c r="H134" s="3">
        <v>69.900000000000006</v>
      </c>
      <c r="I134" s="3">
        <v>22.5</v>
      </c>
      <c r="J134" s="3">
        <v>7.5</v>
      </c>
      <c r="K134" s="3">
        <v>0.1</v>
      </c>
      <c r="L134" s="3">
        <v>14.3</v>
      </c>
      <c r="M134" t="str">
        <f>IF(acs2015_county_data[[#This Row],[PublicWork]]&gt;='Описательные характеристики'!$F$5,"да","нет")</f>
        <v>да</v>
      </c>
      <c r="N134" t="str">
        <f>IF(acs2015_county_data[[#This Row],[Unemployment]]&gt;='Описательные характеристики'!$I$5,"да","нет")</f>
        <v>да</v>
      </c>
    </row>
    <row r="135" spans="1:14" x14ac:dyDescent="0.35">
      <c r="A135">
        <v>5045</v>
      </c>
      <c r="B135" t="s">
        <v>124</v>
      </c>
      <c r="C135" t="s">
        <v>141</v>
      </c>
      <c r="D135" s="2">
        <v>119343</v>
      </c>
      <c r="E135" s="2">
        <v>24603</v>
      </c>
      <c r="F135" s="3">
        <v>3</v>
      </c>
      <c r="G135" s="3">
        <v>57108</v>
      </c>
      <c r="H135" s="3">
        <v>76.900000000000006</v>
      </c>
      <c r="I135" s="3">
        <v>17.899999999999999</v>
      </c>
      <c r="J135" s="3">
        <v>5.0999999999999996</v>
      </c>
      <c r="K135" s="3">
        <v>0.1</v>
      </c>
      <c r="L135" s="3">
        <v>6.6</v>
      </c>
      <c r="M135" t="str">
        <f>IF(acs2015_county_data[[#This Row],[PublicWork]]&gt;='Описательные характеристики'!$F$5,"да","нет")</f>
        <v>да</v>
      </c>
      <c r="N135" t="str">
        <f>IF(acs2015_county_data[[#This Row],[Unemployment]]&gt;='Описательные характеристики'!$I$5,"да","нет")</f>
        <v>нет</v>
      </c>
    </row>
    <row r="136" spans="1:14" x14ac:dyDescent="0.35">
      <c r="A136">
        <v>5047</v>
      </c>
      <c r="B136" t="s">
        <v>124</v>
      </c>
      <c r="C136" t="s">
        <v>43</v>
      </c>
      <c r="D136" s="2">
        <v>17866</v>
      </c>
      <c r="E136" s="2">
        <v>19550</v>
      </c>
      <c r="F136" s="3">
        <v>7.1</v>
      </c>
      <c r="G136" s="3">
        <v>6592</v>
      </c>
      <c r="H136" s="3">
        <v>71.5</v>
      </c>
      <c r="I136" s="3">
        <v>20.100000000000001</v>
      </c>
      <c r="J136" s="3">
        <v>7.8</v>
      </c>
      <c r="K136" s="3">
        <v>0.5</v>
      </c>
      <c r="L136" s="3">
        <v>11</v>
      </c>
      <c r="M136" t="str">
        <f>IF(acs2015_county_data[[#This Row],[PublicWork]]&gt;='Описательные характеристики'!$F$5,"да","нет")</f>
        <v>да</v>
      </c>
      <c r="N136" t="str">
        <f>IF(acs2015_county_data[[#This Row],[Unemployment]]&gt;='Описательные характеристики'!$I$5,"да","нет")</f>
        <v>да</v>
      </c>
    </row>
    <row r="137" spans="1:14" x14ac:dyDescent="0.35">
      <c r="A137">
        <v>5049</v>
      </c>
      <c r="B137" t="s">
        <v>124</v>
      </c>
      <c r="C137" t="s">
        <v>142</v>
      </c>
      <c r="D137" s="2">
        <v>12224</v>
      </c>
      <c r="E137" s="2">
        <v>19163</v>
      </c>
      <c r="F137" s="3">
        <v>3.7</v>
      </c>
      <c r="G137" s="3">
        <v>4498</v>
      </c>
      <c r="H137" s="3">
        <v>73.5</v>
      </c>
      <c r="I137" s="3">
        <v>14.9</v>
      </c>
      <c r="J137" s="3">
        <v>11</v>
      </c>
      <c r="K137" s="3">
        <v>0.6</v>
      </c>
      <c r="L137" s="3">
        <v>7.6</v>
      </c>
      <c r="M137" t="str">
        <f>IF(acs2015_county_data[[#This Row],[PublicWork]]&gt;='Описательные характеристики'!$F$5,"да","нет")</f>
        <v>нет</v>
      </c>
      <c r="N137" t="str">
        <f>IF(acs2015_county_data[[#This Row],[Unemployment]]&gt;='Описательные характеристики'!$I$5,"да","нет")</f>
        <v>да</v>
      </c>
    </row>
    <row r="138" spans="1:14" x14ac:dyDescent="0.35">
      <c r="A138">
        <v>5051</v>
      </c>
      <c r="B138" t="s">
        <v>124</v>
      </c>
      <c r="C138" t="s">
        <v>143</v>
      </c>
      <c r="D138" s="2">
        <v>96954</v>
      </c>
      <c r="E138" s="2">
        <v>24070</v>
      </c>
      <c r="F138" s="3">
        <v>4.9000000000000004</v>
      </c>
      <c r="G138" s="3">
        <v>39729</v>
      </c>
      <c r="H138" s="3">
        <v>77.599999999999994</v>
      </c>
      <c r="I138" s="3">
        <v>14.3</v>
      </c>
      <c r="J138" s="3">
        <v>8</v>
      </c>
      <c r="K138" s="3">
        <v>0.1</v>
      </c>
      <c r="L138" s="3">
        <v>9.1999999999999993</v>
      </c>
      <c r="M138" t="str">
        <f>IF(acs2015_county_data[[#This Row],[PublicWork]]&gt;='Описательные характеристики'!$F$5,"да","нет")</f>
        <v>нет</v>
      </c>
      <c r="N138" t="str">
        <f>IF(acs2015_county_data[[#This Row],[Unemployment]]&gt;='Описательные характеристики'!$I$5,"да","нет")</f>
        <v>да</v>
      </c>
    </row>
    <row r="139" spans="1:14" x14ac:dyDescent="0.35">
      <c r="A139">
        <v>5053</v>
      </c>
      <c r="B139" t="s">
        <v>124</v>
      </c>
      <c r="C139" t="s">
        <v>144</v>
      </c>
      <c r="D139" s="2">
        <v>18054</v>
      </c>
      <c r="E139" s="2">
        <v>23686</v>
      </c>
      <c r="F139" s="3">
        <v>2.9</v>
      </c>
      <c r="G139" s="3">
        <v>7608</v>
      </c>
      <c r="H139" s="3">
        <v>77.099999999999994</v>
      </c>
      <c r="I139" s="3">
        <v>18.100000000000001</v>
      </c>
      <c r="J139" s="3">
        <v>4.8</v>
      </c>
      <c r="K139" s="3">
        <v>0</v>
      </c>
      <c r="L139" s="3">
        <v>9.4</v>
      </c>
      <c r="M139" t="str">
        <f>IF(acs2015_county_data[[#This Row],[PublicWork]]&gt;='Описательные характеристики'!$F$5,"да","нет")</f>
        <v>да</v>
      </c>
      <c r="N139" t="str">
        <f>IF(acs2015_county_data[[#This Row],[Unemployment]]&gt;='Описательные характеристики'!$I$5,"да","нет")</f>
        <v>да</v>
      </c>
    </row>
    <row r="140" spans="1:14" x14ac:dyDescent="0.35">
      <c r="A140">
        <v>5055</v>
      </c>
      <c r="B140" t="s">
        <v>124</v>
      </c>
      <c r="C140" t="s">
        <v>45</v>
      </c>
      <c r="D140" s="2">
        <v>43382</v>
      </c>
      <c r="E140" s="2">
        <v>20689</v>
      </c>
      <c r="F140" s="3">
        <v>2.4</v>
      </c>
      <c r="G140" s="3">
        <v>17659</v>
      </c>
      <c r="H140" s="3">
        <v>78.5</v>
      </c>
      <c r="I140" s="3">
        <v>14.5</v>
      </c>
      <c r="J140" s="3">
        <v>6.9</v>
      </c>
      <c r="K140" s="3">
        <v>0.1</v>
      </c>
      <c r="L140" s="3">
        <v>9</v>
      </c>
      <c r="M140" t="str">
        <f>IF(acs2015_county_data[[#This Row],[PublicWork]]&gt;='Описательные характеристики'!$F$5,"да","нет")</f>
        <v>нет</v>
      </c>
      <c r="N140" t="str">
        <f>IF(acs2015_county_data[[#This Row],[Unemployment]]&gt;='Описательные характеристики'!$I$5,"да","нет")</f>
        <v>да</v>
      </c>
    </row>
    <row r="141" spans="1:14" x14ac:dyDescent="0.35">
      <c r="A141">
        <v>5057</v>
      </c>
      <c r="B141" t="s">
        <v>124</v>
      </c>
      <c r="C141" t="s">
        <v>145</v>
      </c>
      <c r="D141" s="2">
        <v>22336</v>
      </c>
      <c r="E141" s="2">
        <v>17049</v>
      </c>
      <c r="F141" s="3">
        <v>3.6</v>
      </c>
      <c r="G141" s="3">
        <v>8699</v>
      </c>
      <c r="H141" s="3">
        <v>73.599999999999994</v>
      </c>
      <c r="I141" s="3">
        <v>20.3</v>
      </c>
      <c r="J141" s="3">
        <v>6.1</v>
      </c>
      <c r="K141" s="3">
        <v>0</v>
      </c>
      <c r="L141" s="3">
        <v>7.9</v>
      </c>
      <c r="M141" t="str">
        <f>IF(acs2015_county_data[[#This Row],[PublicWork]]&gt;='Описательные характеристики'!$F$5,"да","нет")</f>
        <v>да</v>
      </c>
      <c r="N141" t="str">
        <f>IF(acs2015_county_data[[#This Row],[Unemployment]]&gt;='Описательные характеристики'!$I$5,"да","нет")</f>
        <v>да</v>
      </c>
    </row>
    <row r="142" spans="1:14" x14ac:dyDescent="0.35">
      <c r="A142">
        <v>5059</v>
      </c>
      <c r="B142" t="s">
        <v>124</v>
      </c>
      <c r="C142" t="s">
        <v>146</v>
      </c>
      <c r="D142" s="2">
        <v>33316</v>
      </c>
      <c r="E142" s="2">
        <v>18956</v>
      </c>
      <c r="F142" s="3">
        <v>1.7</v>
      </c>
      <c r="G142" s="3">
        <v>13293</v>
      </c>
      <c r="H142" s="3">
        <v>75.7</v>
      </c>
      <c r="I142" s="3">
        <v>18.7</v>
      </c>
      <c r="J142" s="3">
        <v>5.6</v>
      </c>
      <c r="K142" s="3">
        <v>0</v>
      </c>
      <c r="L142" s="3">
        <v>7.6</v>
      </c>
      <c r="M142" t="str">
        <f>IF(acs2015_county_data[[#This Row],[PublicWork]]&gt;='Описательные характеристики'!$F$5,"да","нет")</f>
        <v>да</v>
      </c>
      <c r="N142" t="str">
        <f>IF(acs2015_county_data[[#This Row],[Unemployment]]&gt;='Описательные характеристики'!$I$5,"да","нет")</f>
        <v>да</v>
      </c>
    </row>
    <row r="143" spans="1:14" x14ac:dyDescent="0.35">
      <c r="A143">
        <v>5061</v>
      </c>
      <c r="B143" t="s">
        <v>124</v>
      </c>
      <c r="C143" t="s">
        <v>147</v>
      </c>
      <c r="D143" s="2">
        <v>13555</v>
      </c>
      <c r="E143" s="2">
        <v>21273</v>
      </c>
      <c r="F143" s="3">
        <v>4.4000000000000004</v>
      </c>
      <c r="G143" s="3">
        <v>5596</v>
      </c>
      <c r="H143" s="3">
        <v>77.5</v>
      </c>
      <c r="I143" s="3">
        <v>15.1</v>
      </c>
      <c r="J143" s="3">
        <v>7.4</v>
      </c>
      <c r="K143" s="3">
        <v>0</v>
      </c>
      <c r="L143" s="3">
        <v>8.5</v>
      </c>
      <c r="M143" t="str">
        <f>IF(acs2015_county_data[[#This Row],[PublicWork]]&gt;='Описательные характеристики'!$F$5,"да","нет")</f>
        <v>нет</v>
      </c>
      <c r="N143" t="str">
        <f>IF(acs2015_county_data[[#This Row],[Unemployment]]&gt;='Описательные характеристики'!$I$5,"да","нет")</f>
        <v>да</v>
      </c>
    </row>
    <row r="144" spans="1:14" x14ac:dyDescent="0.35">
      <c r="A144">
        <v>5063</v>
      </c>
      <c r="B144" t="s">
        <v>124</v>
      </c>
      <c r="C144" t="s">
        <v>148</v>
      </c>
      <c r="D144" s="2">
        <v>36952</v>
      </c>
      <c r="E144" s="2">
        <v>20242</v>
      </c>
      <c r="F144" s="3">
        <v>1.7</v>
      </c>
      <c r="G144" s="3">
        <v>15303</v>
      </c>
      <c r="H144" s="3">
        <v>77.099999999999994</v>
      </c>
      <c r="I144" s="3">
        <v>15.9</v>
      </c>
      <c r="J144" s="3">
        <v>6.9</v>
      </c>
      <c r="K144" s="3">
        <v>0.2</v>
      </c>
      <c r="L144" s="3">
        <v>6.9</v>
      </c>
      <c r="M144" t="str">
        <f>IF(acs2015_county_data[[#This Row],[PublicWork]]&gt;='Описательные характеристики'!$F$5,"да","нет")</f>
        <v>нет</v>
      </c>
      <c r="N144" t="str">
        <f>IF(acs2015_county_data[[#This Row],[Unemployment]]&gt;='Описательные характеристики'!$I$5,"да","нет")</f>
        <v>нет</v>
      </c>
    </row>
    <row r="145" spans="1:14" x14ac:dyDescent="0.35">
      <c r="A145">
        <v>5065</v>
      </c>
      <c r="B145" t="s">
        <v>124</v>
      </c>
      <c r="C145" t="s">
        <v>149</v>
      </c>
      <c r="D145" s="2">
        <v>13480</v>
      </c>
      <c r="E145" s="2">
        <v>18995</v>
      </c>
      <c r="F145" s="3">
        <v>3.8</v>
      </c>
      <c r="G145" s="3">
        <v>4607</v>
      </c>
      <c r="H145" s="3">
        <v>72.2</v>
      </c>
      <c r="I145" s="3">
        <v>16.600000000000001</v>
      </c>
      <c r="J145" s="3">
        <v>11</v>
      </c>
      <c r="K145" s="3">
        <v>0.1</v>
      </c>
      <c r="L145" s="3">
        <v>10</v>
      </c>
      <c r="M145" t="str">
        <f>IF(acs2015_county_data[[#This Row],[PublicWork]]&gt;='Описательные характеристики'!$F$5,"да","нет")</f>
        <v>да</v>
      </c>
      <c r="N145" t="str">
        <f>IF(acs2015_county_data[[#This Row],[Unemployment]]&gt;='Описательные характеристики'!$I$5,"да","нет")</f>
        <v>да</v>
      </c>
    </row>
    <row r="146" spans="1:14" x14ac:dyDescent="0.35">
      <c r="A146">
        <v>5067</v>
      </c>
      <c r="B146" t="s">
        <v>124</v>
      </c>
      <c r="C146" t="s">
        <v>49</v>
      </c>
      <c r="D146" s="2">
        <v>17597</v>
      </c>
      <c r="E146" s="2">
        <v>17797</v>
      </c>
      <c r="F146" s="3">
        <v>2.7</v>
      </c>
      <c r="G146" s="3">
        <v>5585</v>
      </c>
      <c r="H146" s="3">
        <v>75.7</v>
      </c>
      <c r="I146" s="3">
        <v>17.8</v>
      </c>
      <c r="J146" s="3">
        <v>6.1</v>
      </c>
      <c r="K146" s="3">
        <v>0.4</v>
      </c>
      <c r="L146" s="3">
        <v>7.9</v>
      </c>
      <c r="M146" t="str">
        <f>IF(acs2015_county_data[[#This Row],[PublicWork]]&gt;='Описательные характеристики'!$F$5,"да","нет")</f>
        <v>да</v>
      </c>
      <c r="N146" t="str">
        <f>IF(acs2015_county_data[[#This Row],[Unemployment]]&gt;='Описательные характеристики'!$I$5,"да","нет")</f>
        <v>да</v>
      </c>
    </row>
    <row r="147" spans="1:14" x14ac:dyDescent="0.35">
      <c r="A147">
        <v>5069</v>
      </c>
      <c r="B147" t="s">
        <v>124</v>
      </c>
      <c r="C147" t="s">
        <v>50</v>
      </c>
      <c r="D147" s="2">
        <v>73548</v>
      </c>
      <c r="E147" s="2">
        <v>19885</v>
      </c>
      <c r="F147" s="3">
        <v>2.4</v>
      </c>
      <c r="G147" s="3">
        <v>28119</v>
      </c>
      <c r="H147" s="3">
        <v>69.599999999999994</v>
      </c>
      <c r="I147" s="3">
        <v>26.3</v>
      </c>
      <c r="J147" s="3">
        <v>3.9</v>
      </c>
      <c r="K147" s="3">
        <v>0.1</v>
      </c>
      <c r="L147" s="3">
        <v>11.2</v>
      </c>
      <c r="M147" t="str">
        <f>IF(acs2015_county_data[[#This Row],[PublicWork]]&gt;='Описательные характеристики'!$F$5,"да","нет")</f>
        <v>да</v>
      </c>
      <c r="N147" t="str">
        <f>IF(acs2015_county_data[[#This Row],[Unemployment]]&gt;='Описательные характеристики'!$I$5,"да","нет")</f>
        <v>да</v>
      </c>
    </row>
    <row r="148" spans="1:14" x14ac:dyDescent="0.35">
      <c r="A148">
        <v>5071</v>
      </c>
      <c r="B148" t="s">
        <v>124</v>
      </c>
      <c r="C148" t="s">
        <v>150</v>
      </c>
      <c r="D148" s="2">
        <v>25930</v>
      </c>
      <c r="E148" s="2">
        <v>19341</v>
      </c>
      <c r="F148" s="3">
        <v>4.9000000000000004</v>
      </c>
      <c r="G148" s="3">
        <v>10376</v>
      </c>
      <c r="H148" s="3">
        <v>80.3</v>
      </c>
      <c r="I148" s="3">
        <v>14</v>
      </c>
      <c r="J148" s="3">
        <v>5.5</v>
      </c>
      <c r="K148" s="3">
        <v>0.2</v>
      </c>
      <c r="L148" s="3">
        <v>6.2</v>
      </c>
      <c r="M148" t="str">
        <f>IF(acs2015_county_data[[#This Row],[PublicWork]]&gt;='Описательные характеристики'!$F$5,"да","нет")</f>
        <v>нет</v>
      </c>
      <c r="N148" t="str">
        <f>IF(acs2015_county_data[[#This Row],[Unemployment]]&gt;='Описательные характеристики'!$I$5,"да","нет")</f>
        <v>нет</v>
      </c>
    </row>
    <row r="149" spans="1:14" x14ac:dyDescent="0.35">
      <c r="A149">
        <v>5073</v>
      </c>
      <c r="B149" t="s">
        <v>124</v>
      </c>
      <c r="C149" t="s">
        <v>151</v>
      </c>
      <c r="D149" s="2">
        <v>7270</v>
      </c>
      <c r="E149" s="2">
        <v>20904</v>
      </c>
      <c r="F149" s="3">
        <v>4.8</v>
      </c>
      <c r="G149" s="3">
        <v>2527</v>
      </c>
      <c r="H149" s="3">
        <v>65.3</v>
      </c>
      <c r="I149" s="3">
        <v>20.8</v>
      </c>
      <c r="J149" s="3">
        <v>11.5</v>
      </c>
      <c r="K149" s="3">
        <v>2.5</v>
      </c>
      <c r="L149" s="3">
        <v>12.5</v>
      </c>
      <c r="M149" t="str">
        <f>IF(acs2015_county_data[[#This Row],[PublicWork]]&gt;='Описательные характеристики'!$F$5,"да","нет")</f>
        <v>да</v>
      </c>
      <c r="N149" t="str">
        <f>IF(acs2015_county_data[[#This Row],[Unemployment]]&gt;='Описательные характеристики'!$I$5,"да","нет")</f>
        <v>да</v>
      </c>
    </row>
    <row r="150" spans="1:14" x14ac:dyDescent="0.35">
      <c r="A150">
        <v>5075</v>
      </c>
      <c r="B150" t="s">
        <v>124</v>
      </c>
      <c r="C150" t="s">
        <v>52</v>
      </c>
      <c r="D150" s="2">
        <v>17029</v>
      </c>
      <c r="E150" s="2">
        <v>17312</v>
      </c>
      <c r="F150" s="3">
        <v>4</v>
      </c>
      <c r="G150" s="3">
        <v>6527</v>
      </c>
      <c r="H150" s="3">
        <v>71.400000000000006</v>
      </c>
      <c r="I150" s="3">
        <v>19.899999999999999</v>
      </c>
      <c r="J150" s="3">
        <v>7.8</v>
      </c>
      <c r="K150" s="3">
        <v>0.9</v>
      </c>
      <c r="L150" s="3">
        <v>6.9</v>
      </c>
      <c r="M150" t="str">
        <f>IF(acs2015_county_data[[#This Row],[PublicWork]]&gt;='Описательные характеристики'!$F$5,"да","нет")</f>
        <v>да</v>
      </c>
      <c r="N150" t="str">
        <f>IF(acs2015_county_data[[#This Row],[Unemployment]]&gt;='Описательные характеристики'!$I$5,"да","нет")</f>
        <v>нет</v>
      </c>
    </row>
    <row r="151" spans="1:14" x14ac:dyDescent="0.35">
      <c r="A151">
        <v>5077</v>
      </c>
      <c r="B151" t="s">
        <v>124</v>
      </c>
      <c r="C151" t="s">
        <v>53</v>
      </c>
      <c r="D151" s="2">
        <v>9966</v>
      </c>
      <c r="E151" s="2">
        <v>14298</v>
      </c>
      <c r="F151" s="3">
        <v>1.9</v>
      </c>
      <c r="G151" s="3">
        <v>2910</v>
      </c>
      <c r="H151" s="3">
        <v>64.900000000000006</v>
      </c>
      <c r="I151" s="3">
        <v>25.7</v>
      </c>
      <c r="J151" s="3">
        <v>9.4</v>
      </c>
      <c r="K151" s="3">
        <v>0</v>
      </c>
      <c r="L151" s="3">
        <v>17.3</v>
      </c>
      <c r="M151" t="str">
        <f>IF(acs2015_county_data[[#This Row],[PublicWork]]&gt;='Описательные характеристики'!$F$5,"да","нет")</f>
        <v>да</v>
      </c>
      <c r="N151" t="str">
        <f>IF(acs2015_county_data[[#This Row],[Unemployment]]&gt;='Описательные характеристики'!$I$5,"да","нет")</f>
        <v>да</v>
      </c>
    </row>
    <row r="152" spans="1:14" x14ac:dyDescent="0.35">
      <c r="A152">
        <v>5079</v>
      </c>
      <c r="B152" t="s">
        <v>124</v>
      </c>
      <c r="C152" t="s">
        <v>152</v>
      </c>
      <c r="D152" s="2">
        <v>14062</v>
      </c>
      <c r="E152" s="2">
        <v>14377</v>
      </c>
      <c r="F152" s="3">
        <v>2.4</v>
      </c>
      <c r="G152" s="3">
        <v>3666</v>
      </c>
      <c r="H152" s="3">
        <v>68.2</v>
      </c>
      <c r="I152" s="3">
        <v>23.5</v>
      </c>
      <c r="J152" s="3">
        <v>7.9</v>
      </c>
      <c r="K152" s="3">
        <v>0.4</v>
      </c>
      <c r="L152" s="3">
        <v>14.2</v>
      </c>
      <c r="M152" t="str">
        <f>IF(acs2015_county_data[[#This Row],[PublicWork]]&gt;='Описательные характеристики'!$F$5,"да","нет")</f>
        <v>да</v>
      </c>
      <c r="N152" t="str">
        <f>IF(acs2015_county_data[[#This Row],[Unemployment]]&gt;='Описательные характеристики'!$I$5,"да","нет")</f>
        <v>да</v>
      </c>
    </row>
    <row r="153" spans="1:14" x14ac:dyDescent="0.35">
      <c r="A153">
        <v>5081</v>
      </c>
      <c r="B153" t="s">
        <v>124</v>
      </c>
      <c r="C153" t="s">
        <v>153</v>
      </c>
      <c r="D153" s="2">
        <v>12720</v>
      </c>
      <c r="E153" s="2">
        <v>19858</v>
      </c>
      <c r="F153" s="3">
        <v>0.3</v>
      </c>
      <c r="G153" s="3">
        <v>4805</v>
      </c>
      <c r="H153" s="3">
        <v>74</v>
      </c>
      <c r="I153" s="3">
        <v>22.1</v>
      </c>
      <c r="J153" s="3">
        <v>3.9</v>
      </c>
      <c r="K153" s="3">
        <v>0</v>
      </c>
      <c r="L153" s="3">
        <v>8.8000000000000007</v>
      </c>
      <c r="M153" t="str">
        <f>IF(acs2015_county_data[[#This Row],[PublicWork]]&gt;='Описательные характеристики'!$F$5,"да","нет")</f>
        <v>да</v>
      </c>
      <c r="N153" t="str">
        <f>IF(acs2015_county_data[[#This Row],[Unemployment]]&gt;='Описательные характеристики'!$I$5,"да","нет")</f>
        <v>да</v>
      </c>
    </row>
    <row r="154" spans="1:14" x14ac:dyDescent="0.35">
      <c r="A154">
        <v>5083</v>
      </c>
      <c r="B154" t="s">
        <v>124</v>
      </c>
      <c r="C154" t="s">
        <v>154</v>
      </c>
      <c r="D154" s="2">
        <v>22001</v>
      </c>
      <c r="E154" s="2">
        <v>20011</v>
      </c>
      <c r="F154" s="3">
        <v>4.5999999999999996</v>
      </c>
      <c r="G154" s="3">
        <v>8718</v>
      </c>
      <c r="H154" s="3">
        <v>72.7</v>
      </c>
      <c r="I154" s="3">
        <v>19</v>
      </c>
      <c r="J154" s="3">
        <v>8</v>
      </c>
      <c r="K154" s="3">
        <v>0.3</v>
      </c>
      <c r="L154" s="3">
        <v>8.1</v>
      </c>
      <c r="M154" t="str">
        <f>IF(acs2015_county_data[[#This Row],[PublicWork]]&gt;='Описательные характеристики'!$F$5,"да","нет")</f>
        <v>да</v>
      </c>
      <c r="N154" t="str">
        <f>IF(acs2015_county_data[[#This Row],[Unemployment]]&gt;='Описательные характеристики'!$I$5,"да","нет")</f>
        <v>да</v>
      </c>
    </row>
    <row r="155" spans="1:14" x14ac:dyDescent="0.35">
      <c r="A155">
        <v>5085</v>
      </c>
      <c r="B155" t="s">
        <v>124</v>
      </c>
      <c r="C155" t="s">
        <v>155</v>
      </c>
      <c r="D155" s="2">
        <v>70691</v>
      </c>
      <c r="E155" s="2">
        <v>23555</v>
      </c>
      <c r="F155" s="3">
        <v>2.5</v>
      </c>
      <c r="G155" s="3">
        <v>31944</v>
      </c>
      <c r="H155" s="3">
        <v>76.8</v>
      </c>
      <c r="I155" s="3">
        <v>18</v>
      </c>
      <c r="J155" s="3">
        <v>5.0999999999999996</v>
      </c>
      <c r="K155" s="3">
        <v>0.2</v>
      </c>
      <c r="L155" s="3">
        <v>5.9</v>
      </c>
      <c r="M155" t="str">
        <f>IF(acs2015_county_data[[#This Row],[PublicWork]]&gt;='Описательные характеристики'!$F$5,"да","нет")</f>
        <v>да</v>
      </c>
      <c r="N155" t="str">
        <f>IF(acs2015_county_data[[#This Row],[Unemployment]]&gt;='Описательные характеристики'!$I$5,"да","нет")</f>
        <v>нет</v>
      </c>
    </row>
    <row r="156" spans="1:14" x14ac:dyDescent="0.35">
      <c r="A156">
        <v>5087</v>
      </c>
      <c r="B156" t="s">
        <v>124</v>
      </c>
      <c r="C156" t="s">
        <v>57</v>
      </c>
      <c r="D156" s="2">
        <v>15702</v>
      </c>
      <c r="E156" s="2">
        <v>20693</v>
      </c>
      <c r="F156" s="3">
        <v>6</v>
      </c>
      <c r="G156" s="3">
        <v>6751</v>
      </c>
      <c r="H156" s="3">
        <v>70.5</v>
      </c>
      <c r="I156" s="3">
        <v>15.6</v>
      </c>
      <c r="J156" s="3">
        <v>13.8</v>
      </c>
      <c r="K156" s="3">
        <v>0.1</v>
      </c>
      <c r="L156" s="3">
        <v>7.3</v>
      </c>
      <c r="M156" t="str">
        <f>IF(acs2015_county_data[[#This Row],[PublicWork]]&gt;='Описательные характеристики'!$F$5,"да","нет")</f>
        <v>нет</v>
      </c>
      <c r="N156" t="str">
        <f>IF(acs2015_county_data[[#This Row],[Unemployment]]&gt;='Описательные характеристики'!$I$5,"да","нет")</f>
        <v>нет</v>
      </c>
    </row>
    <row r="157" spans="1:14" x14ac:dyDescent="0.35">
      <c r="A157">
        <v>5089</v>
      </c>
      <c r="B157" t="s">
        <v>124</v>
      </c>
      <c r="C157" t="s">
        <v>59</v>
      </c>
      <c r="D157" s="2">
        <v>16458</v>
      </c>
      <c r="E157" s="2">
        <v>17779</v>
      </c>
      <c r="F157" s="3">
        <v>3.5</v>
      </c>
      <c r="G157" s="3">
        <v>5679</v>
      </c>
      <c r="H157" s="3">
        <v>72.900000000000006</v>
      </c>
      <c r="I157" s="3">
        <v>15.3</v>
      </c>
      <c r="J157" s="3">
        <v>11.8</v>
      </c>
      <c r="K157" s="3">
        <v>0</v>
      </c>
      <c r="L157" s="3">
        <v>10.9</v>
      </c>
      <c r="M157" t="str">
        <f>IF(acs2015_county_data[[#This Row],[PublicWork]]&gt;='Описательные характеристики'!$F$5,"да","нет")</f>
        <v>нет</v>
      </c>
      <c r="N157" t="str">
        <f>IF(acs2015_county_data[[#This Row],[Unemployment]]&gt;='Описательные характеристики'!$I$5,"да","нет")</f>
        <v>да</v>
      </c>
    </row>
    <row r="158" spans="1:14" x14ac:dyDescent="0.35">
      <c r="A158">
        <v>5091</v>
      </c>
      <c r="B158" t="s">
        <v>124</v>
      </c>
      <c r="C158" t="s">
        <v>156</v>
      </c>
      <c r="D158" s="2">
        <v>43652</v>
      </c>
      <c r="E158" s="2">
        <v>21104</v>
      </c>
      <c r="F158" s="3">
        <v>1.5</v>
      </c>
      <c r="G158" s="3">
        <v>18429</v>
      </c>
      <c r="H158" s="3">
        <v>75.3</v>
      </c>
      <c r="I158" s="3">
        <v>16.8</v>
      </c>
      <c r="J158" s="3">
        <v>7.8</v>
      </c>
      <c r="K158" s="3">
        <v>0</v>
      </c>
      <c r="L158" s="3">
        <v>9.6</v>
      </c>
      <c r="M158" t="str">
        <f>IF(acs2015_county_data[[#This Row],[PublicWork]]&gt;='Описательные характеристики'!$F$5,"да","нет")</f>
        <v>да</v>
      </c>
      <c r="N158" t="str">
        <f>IF(acs2015_county_data[[#This Row],[Unemployment]]&gt;='Описательные характеристики'!$I$5,"да","нет")</f>
        <v>да</v>
      </c>
    </row>
    <row r="159" spans="1:14" x14ac:dyDescent="0.35">
      <c r="A159">
        <v>5093</v>
      </c>
      <c r="B159" t="s">
        <v>124</v>
      </c>
      <c r="C159" t="s">
        <v>157</v>
      </c>
      <c r="D159" s="2">
        <v>44864</v>
      </c>
      <c r="E159" s="2">
        <v>19073</v>
      </c>
      <c r="F159" s="3">
        <v>1.9</v>
      </c>
      <c r="G159" s="3">
        <v>17164</v>
      </c>
      <c r="H159" s="3">
        <v>75.5</v>
      </c>
      <c r="I159" s="3">
        <v>18</v>
      </c>
      <c r="J159" s="3">
        <v>6.4</v>
      </c>
      <c r="K159" s="3">
        <v>0</v>
      </c>
      <c r="L159" s="3">
        <v>12</v>
      </c>
      <c r="M159" t="str">
        <f>IF(acs2015_county_data[[#This Row],[PublicWork]]&gt;='Описательные характеристики'!$F$5,"да","нет")</f>
        <v>да</v>
      </c>
      <c r="N159" t="str">
        <f>IF(acs2015_county_data[[#This Row],[Unemployment]]&gt;='Описательные характеристики'!$I$5,"да","нет")</f>
        <v>да</v>
      </c>
    </row>
    <row r="160" spans="1:14" x14ac:dyDescent="0.35">
      <c r="A160">
        <v>5095</v>
      </c>
      <c r="B160" t="s">
        <v>124</v>
      </c>
      <c r="C160" t="s">
        <v>62</v>
      </c>
      <c r="D160" s="2">
        <v>7713</v>
      </c>
      <c r="E160" s="2">
        <v>17470</v>
      </c>
      <c r="F160" s="3">
        <v>3.9</v>
      </c>
      <c r="G160" s="3">
        <v>2815</v>
      </c>
      <c r="H160" s="3">
        <v>69.599999999999994</v>
      </c>
      <c r="I160" s="3">
        <v>20.7</v>
      </c>
      <c r="J160" s="3">
        <v>9.6999999999999993</v>
      </c>
      <c r="K160" s="3">
        <v>0</v>
      </c>
      <c r="L160" s="3">
        <v>12.8</v>
      </c>
      <c r="M160" t="str">
        <f>IF(acs2015_county_data[[#This Row],[PublicWork]]&gt;='Описательные характеристики'!$F$5,"да","нет")</f>
        <v>да</v>
      </c>
      <c r="N160" t="str">
        <f>IF(acs2015_county_data[[#This Row],[Unemployment]]&gt;='Описательные характеристики'!$I$5,"да","нет")</f>
        <v>да</v>
      </c>
    </row>
    <row r="161" spans="1:14" x14ac:dyDescent="0.35">
      <c r="A161">
        <v>5097</v>
      </c>
      <c r="B161" t="s">
        <v>124</v>
      </c>
      <c r="C161" t="s">
        <v>158</v>
      </c>
      <c r="D161" s="2">
        <v>9197</v>
      </c>
      <c r="E161" s="2">
        <v>19975</v>
      </c>
      <c r="F161" s="3">
        <v>2.9</v>
      </c>
      <c r="G161" s="3">
        <v>3636</v>
      </c>
      <c r="H161" s="3">
        <v>68.5</v>
      </c>
      <c r="I161" s="3">
        <v>18.399999999999999</v>
      </c>
      <c r="J161" s="3">
        <v>13.1</v>
      </c>
      <c r="K161" s="3">
        <v>0</v>
      </c>
      <c r="L161" s="3">
        <v>4.3</v>
      </c>
      <c r="M161" t="str">
        <f>IF(acs2015_county_data[[#This Row],[PublicWork]]&gt;='Описательные характеристики'!$F$5,"да","нет")</f>
        <v>да</v>
      </c>
      <c r="N161" t="str">
        <f>IF(acs2015_county_data[[#This Row],[Unemployment]]&gt;='Описательные характеристики'!$I$5,"да","нет")</f>
        <v>нет</v>
      </c>
    </row>
    <row r="162" spans="1:14" x14ac:dyDescent="0.35">
      <c r="A162">
        <v>5099</v>
      </c>
      <c r="B162" t="s">
        <v>124</v>
      </c>
      <c r="C162" t="s">
        <v>159</v>
      </c>
      <c r="D162" s="2">
        <v>8793</v>
      </c>
      <c r="E162" s="2">
        <v>17277</v>
      </c>
      <c r="F162" s="3">
        <v>3.4</v>
      </c>
      <c r="G162" s="3">
        <v>3265</v>
      </c>
      <c r="H162" s="3">
        <v>68.599999999999994</v>
      </c>
      <c r="I162" s="3">
        <v>22.6</v>
      </c>
      <c r="J162" s="3">
        <v>8.8000000000000007</v>
      </c>
      <c r="K162" s="3">
        <v>0</v>
      </c>
      <c r="L162" s="3">
        <v>9.5</v>
      </c>
      <c r="M162" t="str">
        <f>IF(acs2015_county_data[[#This Row],[PublicWork]]&gt;='Описательные характеристики'!$F$5,"да","нет")</f>
        <v>да</v>
      </c>
      <c r="N162" t="str">
        <f>IF(acs2015_county_data[[#This Row],[Unemployment]]&gt;='Описательные характеристики'!$I$5,"да","нет")</f>
        <v>да</v>
      </c>
    </row>
    <row r="163" spans="1:14" x14ac:dyDescent="0.35">
      <c r="A163">
        <v>5101</v>
      </c>
      <c r="B163" t="s">
        <v>124</v>
      </c>
      <c r="C163" t="s">
        <v>160</v>
      </c>
      <c r="D163" s="2">
        <v>8052</v>
      </c>
      <c r="E163" s="2">
        <v>18038</v>
      </c>
      <c r="F163" s="3">
        <v>5.8</v>
      </c>
      <c r="G163" s="3">
        <v>3228</v>
      </c>
      <c r="H163" s="3">
        <v>64.599999999999994</v>
      </c>
      <c r="I163" s="3">
        <v>21.1</v>
      </c>
      <c r="J163" s="3">
        <v>14.3</v>
      </c>
      <c r="K163" s="3">
        <v>0</v>
      </c>
      <c r="L163" s="3">
        <v>4.4000000000000004</v>
      </c>
      <c r="M163" t="str">
        <f>IF(acs2015_county_data[[#This Row],[PublicWork]]&gt;='Описательные характеристики'!$F$5,"да","нет")</f>
        <v>да</v>
      </c>
      <c r="N163" t="str">
        <f>IF(acs2015_county_data[[#This Row],[Unemployment]]&gt;='Описательные характеристики'!$I$5,"да","нет")</f>
        <v>нет</v>
      </c>
    </row>
    <row r="164" spans="1:14" x14ac:dyDescent="0.35">
      <c r="A164">
        <v>5103</v>
      </c>
      <c r="B164" t="s">
        <v>124</v>
      </c>
      <c r="C164" t="s">
        <v>161</v>
      </c>
      <c r="D164" s="2">
        <v>25044</v>
      </c>
      <c r="E164" s="2">
        <v>19810</v>
      </c>
      <c r="F164" s="3">
        <v>0.9</v>
      </c>
      <c r="G164" s="3">
        <v>10415</v>
      </c>
      <c r="H164" s="3">
        <v>74.400000000000006</v>
      </c>
      <c r="I164" s="3">
        <v>20.7</v>
      </c>
      <c r="J164" s="3">
        <v>4.9000000000000004</v>
      </c>
      <c r="K164" s="3">
        <v>0</v>
      </c>
      <c r="L164" s="3">
        <v>8.3000000000000007</v>
      </c>
      <c r="M164" t="str">
        <f>IF(acs2015_county_data[[#This Row],[PublicWork]]&gt;='Описательные характеристики'!$F$5,"да","нет")</f>
        <v>да</v>
      </c>
      <c r="N164" t="str">
        <f>IF(acs2015_county_data[[#This Row],[Unemployment]]&gt;='Описательные характеристики'!$I$5,"да","нет")</f>
        <v>да</v>
      </c>
    </row>
    <row r="165" spans="1:14" x14ac:dyDescent="0.35">
      <c r="A165">
        <v>5105</v>
      </c>
      <c r="B165" t="s">
        <v>124</v>
      </c>
      <c r="C165" t="s">
        <v>64</v>
      </c>
      <c r="D165" s="2">
        <v>10300</v>
      </c>
      <c r="E165" s="2">
        <v>22328</v>
      </c>
      <c r="F165" s="3">
        <v>6</v>
      </c>
      <c r="G165" s="3">
        <v>4184</v>
      </c>
      <c r="H165" s="3">
        <v>72.3</v>
      </c>
      <c r="I165" s="3">
        <v>18.5</v>
      </c>
      <c r="J165" s="3">
        <v>8.6999999999999993</v>
      </c>
      <c r="K165" s="3">
        <v>0.4</v>
      </c>
      <c r="L165" s="3">
        <v>6.8</v>
      </c>
      <c r="M165" t="str">
        <f>IF(acs2015_county_data[[#This Row],[PublicWork]]&gt;='Описательные характеристики'!$F$5,"да","нет")</f>
        <v>да</v>
      </c>
      <c r="N165" t="str">
        <f>IF(acs2015_county_data[[#This Row],[Unemployment]]&gt;='Описательные характеристики'!$I$5,"да","нет")</f>
        <v>нет</v>
      </c>
    </row>
    <row r="166" spans="1:14" x14ac:dyDescent="0.35">
      <c r="A166">
        <v>5107</v>
      </c>
      <c r="B166" t="s">
        <v>124</v>
      </c>
      <c r="C166" t="s">
        <v>162</v>
      </c>
      <c r="D166" s="2">
        <v>20391</v>
      </c>
      <c r="E166" s="2">
        <v>16700</v>
      </c>
      <c r="F166" s="3">
        <v>2.8</v>
      </c>
      <c r="G166" s="3">
        <v>6932</v>
      </c>
      <c r="H166" s="3">
        <v>69.400000000000006</v>
      </c>
      <c r="I166" s="3">
        <v>23.6</v>
      </c>
      <c r="J166" s="3">
        <v>7</v>
      </c>
      <c r="K166" s="3">
        <v>0</v>
      </c>
      <c r="L166" s="3">
        <v>18.100000000000001</v>
      </c>
      <c r="M166" t="str">
        <f>IF(acs2015_county_data[[#This Row],[PublicWork]]&gt;='Описательные характеристики'!$F$5,"да","нет")</f>
        <v>да</v>
      </c>
      <c r="N166" t="str">
        <f>IF(acs2015_county_data[[#This Row],[Unemployment]]&gt;='Описательные характеристики'!$I$5,"да","нет")</f>
        <v>да</v>
      </c>
    </row>
    <row r="167" spans="1:14" x14ac:dyDescent="0.35">
      <c r="A167">
        <v>5109</v>
      </c>
      <c r="B167" t="s">
        <v>124</v>
      </c>
      <c r="C167" t="s">
        <v>66</v>
      </c>
      <c r="D167" s="2">
        <v>11087</v>
      </c>
      <c r="E167" s="2">
        <v>19294</v>
      </c>
      <c r="F167" s="3">
        <v>2.1</v>
      </c>
      <c r="G167" s="3">
        <v>4476</v>
      </c>
      <c r="H167" s="3">
        <v>71.900000000000006</v>
      </c>
      <c r="I167" s="3">
        <v>16.3</v>
      </c>
      <c r="J167" s="3">
        <v>11.5</v>
      </c>
      <c r="K167" s="3">
        <v>0.3</v>
      </c>
      <c r="L167" s="3">
        <v>6.6</v>
      </c>
      <c r="M167" t="str">
        <f>IF(acs2015_county_data[[#This Row],[PublicWork]]&gt;='Описательные характеристики'!$F$5,"да","нет")</f>
        <v>да</v>
      </c>
      <c r="N167" t="str">
        <f>IF(acs2015_county_data[[#This Row],[Unemployment]]&gt;='Описательные характеристики'!$I$5,"да","нет")</f>
        <v>нет</v>
      </c>
    </row>
    <row r="168" spans="1:14" x14ac:dyDescent="0.35">
      <c r="A168">
        <v>5111</v>
      </c>
      <c r="B168" t="s">
        <v>124</v>
      </c>
      <c r="C168" t="s">
        <v>163</v>
      </c>
      <c r="D168" s="2">
        <v>24210</v>
      </c>
      <c r="E168" s="2">
        <v>17202</v>
      </c>
      <c r="F168" s="3">
        <v>2.9</v>
      </c>
      <c r="G168" s="3">
        <v>9053</v>
      </c>
      <c r="H168" s="3">
        <v>78.8</v>
      </c>
      <c r="I168" s="3">
        <v>13.7</v>
      </c>
      <c r="J168" s="3">
        <v>7.5</v>
      </c>
      <c r="K168" s="3">
        <v>0</v>
      </c>
      <c r="L168" s="3">
        <v>10</v>
      </c>
      <c r="M168" t="str">
        <f>IF(acs2015_county_data[[#This Row],[PublicWork]]&gt;='Описательные характеристики'!$F$5,"да","нет")</f>
        <v>нет</v>
      </c>
      <c r="N168" t="str">
        <f>IF(acs2015_county_data[[#This Row],[Unemployment]]&gt;='Описательные характеристики'!$I$5,"да","нет")</f>
        <v>да</v>
      </c>
    </row>
    <row r="169" spans="1:14" x14ac:dyDescent="0.35">
      <c r="A169">
        <v>5113</v>
      </c>
      <c r="B169" t="s">
        <v>124</v>
      </c>
      <c r="C169" t="s">
        <v>164</v>
      </c>
      <c r="D169" s="2">
        <v>20364</v>
      </c>
      <c r="E169" s="2">
        <v>19004</v>
      </c>
      <c r="F169" s="3">
        <v>4.2</v>
      </c>
      <c r="G169" s="3">
        <v>7473</v>
      </c>
      <c r="H169" s="3">
        <v>72.3</v>
      </c>
      <c r="I169" s="3">
        <v>16.7</v>
      </c>
      <c r="J169" s="3">
        <v>10.9</v>
      </c>
      <c r="K169" s="3">
        <v>0.1</v>
      </c>
      <c r="L169" s="3">
        <v>9</v>
      </c>
      <c r="M169" t="str">
        <f>IF(acs2015_county_data[[#This Row],[PublicWork]]&gt;='Описательные характеристики'!$F$5,"да","нет")</f>
        <v>да</v>
      </c>
      <c r="N169" t="str">
        <f>IF(acs2015_county_data[[#This Row],[Unemployment]]&gt;='Описательные характеристики'!$I$5,"да","нет")</f>
        <v>да</v>
      </c>
    </row>
    <row r="170" spans="1:14" x14ac:dyDescent="0.35">
      <c r="A170">
        <v>5115</v>
      </c>
      <c r="B170" t="s">
        <v>124</v>
      </c>
      <c r="C170" t="s">
        <v>165</v>
      </c>
      <c r="D170" s="2">
        <v>62830</v>
      </c>
      <c r="E170" s="2">
        <v>20047</v>
      </c>
      <c r="F170" s="3">
        <v>2.2999999999999998</v>
      </c>
      <c r="G170" s="3">
        <v>27407</v>
      </c>
      <c r="H170" s="3">
        <v>79.5</v>
      </c>
      <c r="I170" s="3">
        <v>14.3</v>
      </c>
      <c r="J170" s="3">
        <v>6.1</v>
      </c>
      <c r="K170" s="3">
        <v>0.1</v>
      </c>
      <c r="L170" s="3">
        <v>7.6</v>
      </c>
      <c r="M170" t="str">
        <f>IF(acs2015_county_data[[#This Row],[PublicWork]]&gt;='Описательные характеристики'!$F$5,"да","нет")</f>
        <v>нет</v>
      </c>
      <c r="N170" t="str">
        <f>IF(acs2015_county_data[[#This Row],[Unemployment]]&gt;='Описательные характеристики'!$I$5,"да","нет")</f>
        <v>да</v>
      </c>
    </row>
    <row r="171" spans="1:14" x14ac:dyDescent="0.35">
      <c r="A171">
        <v>5117</v>
      </c>
      <c r="B171" t="s">
        <v>124</v>
      </c>
      <c r="C171" t="s">
        <v>1995</v>
      </c>
      <c r="D171" s="2">
        <v>8402</v>
      </c>
      <c r="E171" s="2">
        <v>19329</v>
      </c>
      <c r="F171" s="3">
        <v>5.0999999999999996</v>
      </c>
      <c r="G171" s="3">
        <v>3513</v>
      </c>
      <c r="H171" s="3">
        <v>73.900000000000006</v>
      </c>
      <c r="I171" s="3">
        <v>15.1</v>
      </c>
      <c r="J171" s="3">
        <v>11.1</v>
      </c>
      <c r="K171" s="3">
        <v>0</v>
      </c>
      <c r="L171" s="3">
        <v>6.2</v>
      </c>
      <c r="M171" t="str">
        <f>IF(acs2015_county_data[[#This Row],[PublicWork]]&gt;='Описательные характеристики'!$F$5,"да","нет")</f>
        <v>нет</v>
      </c>
      <c r="N171" t="str">
        <f>IF(acs2015_county_data[[#This Row],[Unemployment]]&gt;='Описательные характеристики'!$I$5,"да","нет")</f>
        <v>нет</v>
      </c>
    </row>
    <row r="172" spans="1:14" x14ac:dyDescent="0.35">
      <c r="A172">
        <v>5119</v>
      </c>
      <c r="B172" t="s">
        <v>124</v>
      </c>
      <c r="C172" t="s">
        <v>166</v>
      </c>
      <c r="D172" s="2">
        <v>390463</v>
      </c>
      <c r="E172" s="2">
        <v>27708</v>
      </c>
      <c r="F172" s="3">
        <v>2.9</v>
      </c>
      <c r="G172" s="3">
        <v>180430</v>
      </c>
      <c r="H172" s="3">
        <v>74.599999999999994</v>
      </c>
      <c r="I172" s="3">
        <v>20.6</v>
      </c>
      <c r="J172" s="3">
        <v>4.7</v>
      </c>
      <c r="K172" s="3">
        <v>0.2</v>
      </c>
      <c r="L172" s="3">
        <v>7.5</v>
      </c>
      <c r="M172" t="str">
        <f>IF(acs2015_county_data[[#This Row],[PublicWork]]&gt;='Описательные характеристики'!$F$5,"да","нет")</f>
        <v>да</v>
      </c>
      <c r="N172" t="str">
        <f>IF(acs2015_county_data[[#This Row],[Unemployment]]&gt;='Описательные характеристики'!$I$5,"да","нет")</f>
        <v>нет</v>
      </c>
    </row>
    <row r="173" spans="1:14" x14ac:dyDescent="0.35">
      <c r="A173">
        <v>5121</v>
      </c>
      <c r="B173" t="s">
        <v>124</v>
      </c>
      <c r="C173" t="s">
        <v>67</v>
      </c>
      <c r="D173" s="2">
        <v>17695</v>
      </c>
      <c r="E173" s="2">
        <v>19011</v>
      </c>
      <c r="F173" s="3">
        <v>1.3</v>
      </c>
      <c r="G173" s="3">
        <v>6714</v>
      </c>
      <c r="H173" s="3">
        <v>79.2</v>
      </c>
      <c r="I173" s="3">
        <v>13.6</v>
      </c>
      <c r="J173" s="3">
        <v>6.7</v>
      </c>
      <c r="K173" s="3">
        <v>0.5</v>
      </c>
      <c r="L173" s="3">
        <v>5.4</v>
      </c>
      <c r="M173" t="str">
        <f>IF(acs2015_county_data[[#This Row],[PublicWork]]&gt;='Описательные характеристики'!$F$5,"да","нет")</f>
        <v>нет</v>
      </c>
      <c r="N173" t="str">
        <f>IF(acs2015_county_data[[#This Row],[Unemployment]]&gt;='Описательные характеристики'!$I$5,"да","нет")</f>
        <v>нет</v>
      </c>
    </row>
    <row r="174" spans="1:14" x14ac:dyDescent="0.35">
      <c r="A174">
        <v>5123</v>
      </c>
      <c r="B174" t="s">
        <v>124</v>
      </c>
      <c r="C174" t="s">
        <v>167</v>
      </c>
      <c r="D174" s="2">
        <v>27345</v>
      </c>
      <c r="E174" s="2">
        <v>15971</v>
      </c>
      <c r="F174" s="3">
        <v>2.4</v>
      </c>
      <c r="G174" s="3">
        <v>9259</v>
      </c>
      <c r="H174" s="3">
        <v>70.7</v>
      </c>
      <c r="I174" s="3">
        <v>22.1</v>
      </c>
      <c r="J174" s="3">
        <v>6.9</v>
      </c>
      <c r="K174" s="3">
        <v>0.3</v>
      </c>
      <c r="L174" s="3">
        <v>11.7</v>
      </c>
      <c r="M174" t="str">
        <f>IF(acs2015_county_data[[#This Row],[PublicWork]]&gt;='Описательные характеристики'!$F$5,"да","нет")</f>
        <v>да</v>
      </c>
      <c r="N174" t="str">
        <f>IF(acs2015_county_data[[#This Row],[Unemployment]]&gt;='Описательные характеристики'!$I$5,"да","нет")</f>
        <v>да</v>
      </c>
    </row>
    <row r="175" spans="1:14" x14ac:dyDescent="0.35">
      <c r="A175">
        <v>5125</v>
      </c>
      <c r="B175" t="s">
        <v>124</v>
      </c>
      <c r="C175" t="s">
        <v>168</v>
      </c>
      <c r="D175" s="2">
        <v>113833</v>
      </c>
      <c r="E175" s="2">
        <v>26050</v>
      </c>
      <c r="F175" s="3">
        <v>2.7</v>
      </c>
      <c r="G175" s="3">
        <v>53363</v>
      </c>
      <c r="H175" s="3">
        <v>76.400000000000006</v>
      </c>
      <c r="I175" s="3">
        <v>18.399999999999999</v>
      </c>
      <c r="J175" s="3">
        <v>5</v>
      </c>
      <c r="K175" s="3">
        <v>0.2</v>
      </c>
      <c r="L175" s="3">
        <v>5.3</v>
      </c>
      <c r="M175" t="str">
        <f>IF(acs2015_county_data[[#This Row],[PublicWork]]&gt;='Описательные характеристики'!$F$5,"да","нет")</f>
        <v>да</v>
      </c>
      <c r="N175" t="str">
        <f>IF(acs2015_county_data[[#This Row],[Unemployment]]&gt;='Описательные характеристики'!$I$5,"да","нет")</f>
        <v>нет</v>
      </c>
    </row>
    <row r="176" spans="1:14" x14ac:dyDescent="0.35">
      <c r="A176">
        <v>5127</v>
      </c>
      <c r="B176" t="s">
        <v>124</v>
      </c>
      <c r="C176" t="s">
        <v>169</v>
      </c>
      <c r="D176" s="2">
        <v>10870</v>
      </c>
      <c r="E176" s="2">
        <v>17833</v>
      </c>
      <c r="F176" s="3">
        <v>6</v>
      </c>
      <c r="G176" s="3">
        <v>4250</v>
      </c>
      <c r="H176" s="3">
        <v>70.900000000000006</v>
      </c>
      <c r="I176" s="3">
        <v>20</v>
      </c>
      <c r="J176" s="3">
        <v>9</v>
      </c>
      <c r="K176" s="3">
        <v>0</v>
      </c>
      <c r="L176" s="3">
        <v>10.9</v>
      </c>
      <c r="M176" t="str">
        <f>IF(acs2015_county_data[[#This Row],[PublicWork]]&gt;='Описательные характеристики'!$F$5,"да","нет")</f>
        <v>да</v>
      </c>
      <c r="N176" t="str">
        <f>IF(acs2015_county_data[[#This Row],[Unemployment]]&gt;='Описательные характеристики'!$I$5,"да","нет")</f>
        <v>да</v>
      </c>
    </row>
    <row r="177" spans="1:14" x14ac:dyDescent="0.35">
      <c r="A177">
        <v>5129</v>
      </c>
      <c r="B177" t="s">
        <v>124</v>
      </c>
      <c r="C177" t="s">
        <v>170</v>
      </c>
      <c r="D177" s="2">
        <v>7965</v>
      </c>
      <c r="E177" s="2">
        <v>18533</v>
      </c>
      <c r="F177" s="3">
        <v>3.4</v>
      </c>
      <c r="G177" s="3">
        <v>2836</v>
      </c>
      <c r="H177" s="3">
        <v>68.900000000000006</v>
      </c>
      <c r="I177" s="3">
        <v>13.5</v>
      </c>
      <c r="J177" s="3">
        <v>17.600000000000001</v>
      </c>
      <c r="K177" s="3">
        <v>0</v>
      </c>
      <c r="L177" s="3">
        <v>5.9</v>
      </c>
      <c r="M177" t="str">
        <f>IF(acs2015_county_data[[#This Row],[PublicWork]]&gt;='Описательные характеристики'!$F$5,"да","нет")</f>
        <v>нет</v>
      </c>
      <c r="N177" t="str">
        <f>IF(acs2015_county_data[[#This Row],[Unemployment]]&gt;='Описательные характеристики'!$I$5,"да","нет")</f>
        <v>нет</v>
      </c>
    </row>
    <row r="178" spans="1:14" x14ac:dyDescent="0.35">
      <c r="A178">
        <v>5131</v>
      </c>
      <c r="B178" t="s">
        <v>124</v>
      </c>
      <c r="C178" t="s">
        <v>171</v>
      </c>
      <c r="D178" s="2">
        <v>127273</v>
      </c>
      <c r="E178" s="2">
        <v>23182</v>
      </c>
      <c r="F178" s="3">
        <v>1.9</v>
      </c>
      <c r="G178" s="3">
        <v>54852</v>
      </c>
      <c r="H178" s="3">
        <v>84.8</v>
      </c>
      <c r="I178" s="3">
        <v>10.6</v>
      </c>
      <c r="J178" s="3">
        <v>4.3</v>
      </c>
      <c r="K178" s="3">
        <v>0.3</v>
      </c>
      <c r="L178" s="3">
        <v>6.1</v>
      </c>
      <c r="M178" t="str">
        <f>IF(acs2015_county_data[[#This Row],[PublicWork]]&gt;='Описательные характеристики'!$F$5,"да","нет")</f>
        <v>нет</v>
      </c>
      <c r="N178" t="str">
        <f>IF(acs2015_county_data[[#This Row],[Unemployment]]&gt;='Описательные характеристики'!$I$5,"да","нет")</f>
        <v>нет</v>
      </c>
    </row>
    <row r="179" spans="1:14" x14ac:dyDescent="0.35">
      <c r="A179">
        <v>5133</v>
      </c>
      <c r="B179" t="s">
        <v>124</v>
      </c>
      <c r="C179" t="s">
        <v>172</v>
      </c>
      <c r="D179" s="2">
        <v>17268</v>
      </c>
      <c r="E179" s="2">
        <v>17371</v>
      </c>
      <c r="F179" s="3">
        <v>3.4</v>
      </c>
      <c r="G179" s="3">
        <v>7173</v>
      </c>
      <c r="H179" s="3">
        <v>77.599999999999994</v>
      </c>
      <c r="I179" s="3">
        <v>14.6</v>
      </c>
      <c r="J179" s="3">
        <v>7.8</v>
      </c>
      <c r="K179" s="3">
        <v>0</v>
      </c>
      <c r="L179" s="3">
        <v>9.3000000000000007</v>
      </c>
      <c r="M179" t="str">
        <f>IF(acs2015_county_data[[#This Row],[PublicWork]]&gt;='Описательные характеристики'!$F$5,"да","нет")</f>
        <v>нет</v>
      </c>
      <c r="N179" t="str">
        <f>IF(acs2015_county_data[[#This Row],[Unemployment]]&gt;='Описательные характеристики'!$I$5,"да","нет")</f>
        <v>да</v>
      </c>
    </row>
    <row r="180" spans="1:14" x14ac:dyDescent="0.35">
      <c r="A180">
        <v>5135</v>
      </c>
      <c r="B180" t="s">
        <v>124</v>
      </c>
      <c r="C180" t="s">
        <v>173</v>
      </c>
      <c r="D180" s="2">
        <v>17055</v>
      </c>
      <c r="E180" s="2">
        <v>16848</v>
      </c>
      <c r="F180" s="3">
        <v>3.5</v>
      </c>
      <c r="G180" s="3">
        <v>5764</v>
      </c>
      <c r="H180" s="3">
        <v>74.599999999999994</v>
      </c>
      <c r="I180" s="3">
        <v>14.1</v>
      </c>
      <c r="J180" s="3">
        <v>11.2</v>
      </c>
      <c r="K180" s="3">
        <v>0</v>
      </c>
      <c r="L180" s="3">
        <v>8.8000000000000007</v>
      </c>
      <c r="M180" t="str">
        <f>IF(acs2015_county_data[[#This Row],[PublicWork]]&gt;='Описательные характеристики'!$F$5,"да","нет")</f>
        <v>нет</v>
      </c>
      <c r="N180" t="str">
        <f>IF(acs2015_county_data[[#This Row],[Unemployment]]&gt;='Описательные характеристики'!$I$5,"да","нет")</f>
        <v>да</v>
      </c>
    </row>
    <row r="181" spans="1:14" x14ac:dyDescent="0.35">
      <c r="A181">
        <v>5137</v>
      </c>
      <c r="B181" t="s">
        <v>124</v>
      </c>
      <c r="C181" t="s">
        <v>174</v>
      </c>
      <c r="D181" s="2">
        <v>12512</v>
      </c>
      <c r="E181" s="2">
        <v>18944</v>
      </c>
      <c r="F181" s="3">
        <v>6.2</v>
      </c>
      <c r="G181" s="3">
        <v>4332</v>
      </c>
      <c r="H181" s="3">
        <v>62.9</v>
      </c>
      <c r="I181" s="3">
        <v>19.2</v>
      </c>
      <c r="J181" s="3">
        <v>17.7</v>
      </c>
      <c r="K181" s="3">
        <v>0.2</v>
      </c>
      <c r="L181" s="3">
        <v>7</v>
      </c>
      <c r="M181" t="str">
        <f>IF(acs2015_county_data[[#This Row],[PublicWork]]&gt;='Описательные характеристики'!$F$5,"да","нет")</f>
        <v>да</v>
      </c>
      <c r="N181" t="str">
        <f>IF(acs2015_county_data[[#This Row],[Unemployment]]&gt;='Описательные характеристики'!$I$5,"да","нет")</f>
        <v>нет</v>
      </c>
    </row>
    <row r="182" spans="1:14" x14ac:dyDescent="0.35">
      <c r="A182">
        <v>5139</v>
      </c>
      <c r="B182" t="s">
        <v>124</v>
      </c>
      <c r="C182" t="s">
        <v>175</v>
      </c>
      <c r="D182" s="2">
        <v>40633</v>
      </c>
      <c r="E182" s="2">
        <v>21779</v>
      </c>
      <c r="F182" s="3">
        <v>0.9</v>
      </c>
      <c r="G182" s="3">
        <v>16418</v>
      </c>
      <c r="H182" s="3">
        <v>81.5</v>
      </c>
      <c r="I182" s="3">
        <v>13.6</v>
      </c>
      <c r="J182" s="3">
        <v>4.9000000000000004</v>
      </c>
      <c r="K182" s="3">
        <v>0</v>
      </c>
      <c r="L182" s="3">
        <v>9.6999999999999993</v>
      </c>
      <c r="M182" t="str">
        <f>IF(acs2015_county_data[[#This Row],[PublicWork]]&gt;='Описательные характеристики'!$F$5,"да","нет")</f>
        <v>нет</v>
      </c>
      <c r="N182" t="str">
        <f>IF(acs2015_county_data[[#This Row],[Unemployment]]&gt;='Описательные характеристики'!$I$5,"да","нет")</f>
        <v>да</v>
      </c>
    </row>
    <row r="183" spans="1:14" x14ac:dyDescent="0.35">
      <c r="A183">
        <v>5141</v>
      </c>
      <c r="B183" t="s">
        <v>124</v>
      </c>
      <c r="C183" t="s">
        <v>176</v>
      </c>
      <c r="D183" s="2">
        <v>17002</v>
      </c>
      <c r="E183" s="2">
        <v>19047</v>
      </c>
      <c r="F183" s="3">
        <v>3.3</v>
      </c>
      <c r="G183" s="3">
        <v>5478</v>
      </c>
      <c r="H183" s="3">
        <v>71.7</v>
      </c>
      <c r="I183" s="3">
        <v>17</v>
      </c>
      <c r="J183" s="3">
        <v>11.3</v>
      </c>
      <c r="K183" s="3">
        <v>0</v>
      </c>
      <c r="L183" s="3">
        <v>11.2</v>
      </c>
      <c r="M183" t="str">
        <f>IF(acs2015_county_data[[#This Row],[PublicWork]]&gt;='Описательные характеристики'!$F$5,"да","нет")</f>
        <v>да</v>
      </c>
      <c r="N183" t="str">
        <f>IF(acs2015_county_data[[#This Row],[Unemployment]]&gt;='Описательные характеристики'!$I$5,"да","нет")</f>
        <v>да</v>
      </c>
    </row>
    <row r="184" spans="1:14" x14ac:dyDescent="0.35">
      <c r="A184">
        <v>5143</v>
      </c>
      <c r="B184" t="s">
        <v>124</v>
      </c>
      <c r="C184" t="s">
        <v>75</v>
      </c>
      <c r="D184" s="2">
        <v>216432</v>
      </c>
      <c r="E184" s="2">
        <v>24638</v>
      </c>
      <c r="F184" s="3">
        <v>4.5999999999999996</v>
      </c>
      <c r="G184" s="3">
        <v>102944</v>
      </c>
      <c r="H184" s="3">
        <v>78.7</v>
      </c>
      <c r="I184" s="3">
        <v>14.7</v>
      </c>
      <c r="J184" s="3">
        <v>6.3</v>
      </c>
      <c r="K184" s="3">
        <v>0.3</v>
      </c>
      <c r="L184" s="3">
        <v>6.2</v>
      </c>
      <c r="M184" t="str">
        <f>IF(acs2015_county_data[[#This Row],[PublicWork]]&gt;='Описательные характеристики'!$F$5,"да","нет")</f>
        <v>нет</v>
      </c>
      <c r="N184" t="str">
        <f>IF(acs2015_county_data[[#This Row],[Unemployment]]&gt;='Описательные характеристики'!$I$5,"да","нет")</f>
        <v>нет</v>
      </c>
    </row>
    <row r="185" spans="1:14" x14ac:dyDescent="0.35">
      <c r="A185">
        <v>5145</v>
      </c>
      <c r="B185" t="s">
        <v>124</v>
      </c>
      <c r="C185" t="s">
        <v>4</v>
      </c>
      <c r="D185" s="2">
        <v>78660</v>
      </c>
      <c r="E185" s="2">
        <v>22547</v>
      </c>
      <c r="F185" s="3">
        <v>3.3</v>
      </c>
      <c r="G185" s="3">
        <v>32318</v>
      </c>
      <c r="H185" s="3">
        <v>79.2</v>
      </c>
      <c r="I185" s="3">
        <v>14.7</v>
      </c>
      <c r="J185" s="3">
        <v>5.7</v>
      </c>
      <c r="K185" s="3">
        <v>0.4</v>
      </c>
      <c r="L185" s="3">
        <v>7.1</v>
      </c>
      <c r="M185" t="str">
        <f>IF(acs2015_county_data[[#This Row],[PublicWork]]&gt;='Описательные характеристики'!$F$5,"да","нет")</f>
        <v>нет</v>
      </c>
      <c r="N185" t="str">
        <f>IF(acs2015_county_data[[#This Row],[Unemployment]]&gt;='Описательные характеристики'!$I$5,"да","нет")</f>
        <v>нет</v>
      </c>
    </row>
    <row r="186" spans="1:14" x14ac:dyDescent="0.35">
      <c r="A186">
        <v>5147</v>
      </c>
      <c r="B186" t="s">
        <v>124</v>
      </c>
      <c r="C186" t="s">
        <v>177</v>
      </c>
      <c r="D186" s="2">
        <v>6983</v>
      </c>
      <c r="E186" s="2">
        <v>18377</v>
      </c>
      <c r="F186" s="3">
        <v>2.2999999999999998</v>
      </c>
      <c r="G186" s="3">
        <v>2472</v>
      </c>
      <c r="H186" s="3">
        <v>76.900000000000006</v>
      </c>
      <c r="I186" s="3">
        <v>17.2</v>
      </c>
      <c r="J186" s="3">
        <v>6</v>
      </c>
      <c r="K186" s="3">
        <v>0</v>
      </c>
      <c r="L186" s="3">
        <v>12.4</v>
      </c>
      <c r="M186" t="str">
        <f>IF(acs2015_county_data[[#This Row],[PublicWork]]&gt;='Описательные характеристики'!$F$5,"да","нет")</f>
        <v>да</v>
      </c>
      <c r="N186" t="str">
        <f>IF(acs2015_county_data[[#This Row],[Unemployment]]&gt;='Описательные характеристики'!$I$5,"да","нет")</f>
        <v>да</v>
      </c>
    </row>
    <row r="187" spans="1:14" x14ac:dyDescent="0.35">
      <c r="A187">
        <v>5149</v>
      </c>
      <c r="B187" t="s">
        <v>124</v>
      </c>
      <c r="C187" t="s">
        <v>178</v>
      </c>
      <c r="D187" s="2">
        <v>21835</v>
      </c>
      <c r="E187" s="2">
        <v>18288</v>
      </c>
      <c r="F187" s="3">
        <v>4.7</v>
      </c>
      <c r="G187" s="3">
        <v>8567</v>
      </c>
      <c r="H187" s="3">
        <v>77.8</v>
      </c>
      <c r="I187" s="3">
        <v>13.8</v>
      </c>
      <c r="J187" s="3">
        <v>7.4</v>
      </c>
      <c r="K187" s="3">
        <v>1.1000000000000001</v>
      </c>
      <c r="L187" s="3">
        <v>8.3000000000000007</v>
      </c>
      <c r="M187" t="str">
        <f>IF(acs2015_county_data[[#This Row],[PublicWork]]&gt;='Описательные характеристики'!$F$5,"да","нет")</f>
        <v>нет</v>
      </c>
      <c r="N187" t="str">
        <f>IF(acs2015_county_data[[#This Row],[Unemployment]]&gt;='Описательные характеристики'!$I$5,"да","нет")</f>
        <v>да</v>
      </c>
    </row>
    <row r="188" spans="1:14" x14ac:dyDescent="0.35">
      <c r="A188">
        <v>6001</v>
      </c>
      <c r="B188" t="s">
        <v>179</v>
      </c>
      <c r="C188" t="s">
        <v>180</v>
      </c>
      <c r="D188" s="2">
        <v>1584983</v>
      </c>
      <c r="E188" s="2">
        <v>37285</v>
      </c>
      <c r="F188" s="3">
        <v>5.6</v>
      </c>
      <c r="G188" s="3">
        <v>778132</v>
      </c>
      <c r="H188" s="3">
        <v>78.7</v>
      </c>
      <c r="I188" s="3">
        <v>13.8</v>
      </c>
      <c r="J188" s="3">
        <v>7.4</v>
      </c>
      <c r="K188" s="3">
        <v>0.1</v>
      </c>
      <c r="L188" s="3">
        <v>8.3000000000000007</v>
      </c>
      <c r="M188" t="str">
        <f>IF(acs2015_county_data[[#This Row],[PublicWork]]&gt;='Описательные характеристики'!$F$5,"да","нет")</f>
        <v>нет</v>
      </c>
      <c r="N188" t="str">
        <f>IF(acs2015_county_data[[#This Row],[Unemployment]]&gt;='Описательные характеристики'!$I$5,"да","нет")</f>
        <v>да</v>
      </c>
    </row>
    <row r="189" spans="1:14" x14ac:dyDescent="0.35">
      <c r="A189">
        <v>6003</v>
      </c>
      <c r="B189" t="s">
        <v>179</v>
      </c>
      <c r="C189" t="s">
        <v>181</v>
      </c>
      <c r="D189" s="2">
        <v>1131</v>
      </c>
      <c r="E189" s="2">
        <v>21415</v>
      </c>
      <c r="F189" s="3">
        <v>13.7</v>
      </c>
      <c r="G189" s="3">
        <v>408</v>
      </c>
      <c r="H189" s="3">
        <v>57.4</v>
      </c>
      <c r="I189" s="3">
        <v>32.799999999999997</v>
      </c>
      <c r="J189" s="3">
        <v>9.8000000000000007</v>
      </c>
      <c r="K189" s="3">
        <v>0</v>
      </c>
      <c r="L189" s="3">
        <v>10.7</v>
      </c>
      <c r="M189" t="str">
        <f>IF(acs2015_county_data[[#This Row],[PublicWork]]&gt;='Описательные характеристики'!$F$5,"да","нет")</f>
        <v>да</v>
      </c>
      <c r="N189" t="str">
        <f>IF(acs2015_county_data[[#This Row],[Unemployment]]&gt;='Описательные характеристики'!$I$5,"да","нет")</f>
        <v>да</v>
      </c>
    </row>
    <row r="190" spans="1:14" x14ac:dyDescent="0.35">
      <c r="A190">
        <v>6005</v>
      </c>
      <c r="B190" t="s">
        <v>179</v>
      </c>
      <c r="C190" t="s">
        <v>182</v>
      </c>
      <c r="D190" s="2">
        <v>36995</v>
      </c>
      <c r="E190" s="2">
        <v>27473</v>
      </c>
      <c r="F190" s="3">
        <v>5.6</v>
      </c>
      <c r="G190" s="3">
        <v>12573</v>
      </c>
      <c r="H190" s="3">
        <v>64.5</v>
      </c>
      <c r="I190" s="3">
        <v>23.4</v>
      </c>
      <c r="J190" s="3">
        <v>11.8</v>
      </c>
      <c r="K190" s="3">
        <v>0.3</v>
      </c>
      <c r="L190" s="3">
        <v>14</v>
      </c>
      <c r="M190" t="str">
        <f>IF(acs2015_county_data[[#This Row],[PublicWork]]&gt;='Описательные характеристики'!$F$5,"да","нет")</f>
        <v>да</v>
      </c>
      <c r="N190" t="str">
        <f>IF(acs2015_county_data[[#This Row],[Unemployment]]&gt;='Описательные характеристики'!$I$5,"да","нет")</f>
        <v>да</v>
      </c>
    </row>
    <row r="191" spans="1:14" x14ac:dyDescent="0.35">
      <c r="A191">
        <v>6007</v>
      </c>
      <c r="B191" t="s">
        <v>179</v>
      </c>
      <c r="C191" t="s">
        <v>183</v>
      </c>
      <c r="D191" s="2">
        <v>222564</v>
      </c>
      <c r="E191" s="2">
        <v>24259</v>
      </c>
      <c r="F191" s="3">
        <v>5.8</v>
      </c>
      <c r="G191" s="3">
        <v>89411</v>
      </c>
      <c r="H191" s="3">
        <v>71.8</v>
      </c>
      <c r="I191" s="3">
        <v>17.3</v>
      </c>
      <c r="J191" s="3">
        <v>10.5</v>
      </c>
      <c r="K191" s="3">
        <v>0.5</v>
      </c>
      <c r="L191" s="3">
        <v>12.1</v>
      </c>
      <c r="M191" t="str">
        <f>IF(acs2015_county_data[[#This Row],[PublicWork]]&gt;='Описательные характеристики'!$F$5,"да","нет")</f>
        <v>да</v>
      </c>
      <c r="N191" t="str">
        <f>IF(acs2015_county_data[[#This Row],[Unemployment]]&gt;='Описательные характеристики'!$I$5,"да","нет")</f>
        <v>да</v>
      </c>
    </row>
    <row r="192" spans="1:14" x14ac:dyDescent="0.35">
      <c r="A192">
        <v>6009</v>
      </c>
      <c r="B192" t="s">
        <v>179</v>
      </c>
      <c r="C192" t="s">
        <v>184</v>
      </c>
      <c r="D192" s="2">
        <v>44767</v>
      </c>
      <c r="E192" s="2">
        <v>29553</v>
      </c>
      <c r="F192" s="3">
        <v>7.5</v>
      </c>
      <c r="G192" s="3">
        <v>16248</v>
      </c>
      <c r="H192" s="3">
        <v>65.2</v>
      </c>
      <c r="I192" s="3">
        <v>20.3</v>
      </c>
      <c r="J192" s="3">
        <v>13.9</v>
      </c>
      <c r="K192" s="3">
        <v>0.6</v>
      </c>
      <c r="L192" s="3">
        <v>12.1</v>
      </c>
      <c r="M192" t="str">
        <f>IF(acs2015_county_data[[#This Row],[PublicWork]]&gt;='Описательные характеристики'!$F$5,"да","нет")</f>
        <v>да</v>
      </c>
      <c r="N192" t="str">
        <f>IF(acs2015_county_data[[#This Row],[Unemployment]]&gt;='Описательные характеристики'!$I$5,"да","нет")</f>
        <v>да</v>
      </c>
    </row>
    <row r="193" spans="1:14" x14ac:dyDescent="0.35">
      <c r="A193">
        <v>6011</v>
      </c>
      <c r="B193" t="s">
        <v>179</v>
      </c>
      <c r="C193" t="s">
        <v>185</v>
      </c>
      <c r="D193" s="2">
        <v>21396</v>
      </c>
      <c r="E193" s="2">
        <v>21897</v>
      </c>
      <c r="F193" s="3">
        <v>4.9000000000000004</v>
      </c>
      <c r="G193" s="3">
        <v>8837</v>
      </c>
      <c r="H193" s="3">
        <v>75.599999999999994</v>
      </c>
      <c r="I193" s="3">
        <v>15.5</v>
      </c>
      <c r="J193" s="3">
        <v>8.8000000000000007</v>
      </c>
      <c r="K193" s="3">
        <v>0.1</v>
      </c>
      <c r="L193" s="3">
        <v>10.4</v>
      </c>
      <c r="M193" t="str">
        <f>IF(acs2015_county_data[[#This Row],[PublicWork]]&gt;='Описательные характеристики'!$F$5,"да","нет")</f>
        <v>нет</v>
      </c>
      <c r="N193" t="str">
        <f>IF(acs2015_county_data[[#This Row],[Unemployment]]&gt;='Описательные характеристики'!$I$5,"да","нет")</f>
        <v>да</v>
      </c>
    </row>
    <row r="194" spans="1:14" x14ac:dyDescent="0.35">
      <c r="A194">
        <v>6013</v>
      </c>
      <c r="B194" t="s">
        <v>179</v>
      </c>
      <c r="C194" t="s">
        <v>186</v>
      </c>
      <c r="D194" s="2">
        <v>1096068</v>
      </c>
      <c r="E194" s="2">
        <v>39313</v>
      </c>
      <c r="F194" s="3">
        <v>5.8</v>
      </c>
      <c r="G194" s="3">
        <v>509920</v>
      </c>
      <c r="H194" s="3">
        <v>77.5</v>
      </c>
      <c r="I194" s="3">
        <v>13.6</v>
      </c>
      <c r="J194" s="3">
        <v>8.6999999999999993</v>
      </c>
      <c r="K194" s="3">
        <v>0.2</v>
      </c>
      <c r="L194" s="3">
        <v>8.8000000000000007</v>
      </c>
      <c r="M194" t="str">
        <f>IF(acs2015_county_data[[#This Row],[PublicWork]]&gt;='Описательные характеристики'!$F$5,"да","нет")</f>
        <v>нет</v>
      </c>
      <c r="N194" t="str">
        <f>IF(acs2015_county_data[[#This Row],[Unemployment]]&gt;='Описательные характеристики'!$I$5,"да","нет")</f>
        <v>да</v>
      </c>
    </row>
    <row r="195" spans="1:14" x14ac:dyDescent="0.35">
      <c r="A195">
        <v>6015</v>
      </c>
      <c r="B195" t="s">
        <v>179</v>
      </c>
      <c r="C195" t="s">
        <v>187</v>
      </c>
      <c r="D195" s="2">
        <v>27788</v>
      </c>
      <c r="E195" s="2">
        <v>19560</v>
      </c>
      <c r="F195" s="3">
        <v>5.9</v>
      </c>
      <c r="G195" s="3">
        <v>8612</v>
      </c>
      <c r="H195" s="3">
        <v>57</v>
      </c>
      <c r="I195" s="3">
        <v>32.700000000000003</v>
      </c>
      <c r="J195" s="3">
        <v>10</v>
      </c>
      <c r="K195" s="3">
        <v>0.4</v>
      </c>
      <c r="L195" s="3">
        <v>11.5</v>
      </c>
      <c r="M195" t="str">
        <f>IF(acs2015_county_data[[#This Row],[PublicWork]]&gt;='Описательные характеристики'!$F$5,"да","нет")</f>
        <v>да</v>
      </c>
      <c r="N195" t="str">
        <f>IF(acs2015_county_data[[#This Row],[Unemployment]]&gt;='Описательные характеристики'!$I$5,"да","нет")</f>
        <v>да</v>
      </c>
    </row>
    <row r="196" spans="1:14" x14ac:dyDescent="0.35">
      <c r="A196">
        <v>6017</v>
      </c>
      <c r="B196" t="s">
        <v>179</v>
      </c>
      <c r="C196" t="s">
        <v>188</v>
      </c>
      <c r="D196" s="2">
        <v>182093</v>
      </c>
      <c r="E196" s="2">
        <v>35588</v>
      </c>
      <c r="F196" s="3">
        <v>7.8</v>
      </c>
      <c r="G196" s="3">
        <v>79568</v>
      </c>
      <c r="H196" s="3">
        <v>71.8</v>
      </c>
      <c r="I196" s="3">
        <v>16.8</v>
      </c>
      <c r="J196" s="3">
        <v>11.1</v>
      </c>
      <c r="K196" s="3">
        <v>0.2</v>
      </c>
      <c r="L196" s="3">
        <v>11.1</v>
      </c>
      <c r="M196" t="str">
        <f>IF(acs2015_county_data[[#This Row],[PublicWork]]&gt;='Описательные характеристики'!$F$5,"да","нет")</f>
        <v>да</v>
      </c>
      <c r="N196" t="str">
        <f>IF(acs2015_county_data[[#This Row],[Unemployment]]&gt;='Описательные характеристики'!$I$5,"да","нет")</f>
        <v>да</v>
      </c>
    </row>
    <row r="197" spans="1:14" x14ac:dyDescent="0.35">
      <c r="A197">
        <v>6019</v>
      </c>
      <c r="B197" t="s">
        <v>179</v>
      </c>
      <c r="C197" t="s">
        <v>189</v>
      </c>
      <c r="D197" s="2">
        <v>956749</v>
      </c>
      <c r="E197" s="2">
        <v>20408</v>
      </c>
      <c r="F197" s="3">
        <v>4.2</v>
      </c>
      <c r="G197" s="3">
        <v>374564</v>
      </c>
      <c r="H197" s="3">
        <v>75.400000000000006</v>
      </c>
      <c r="I197" s="3">
        <v>17.8</v>
      </c>
      <c r="J197" s="3">
        <v>6.7</v>
      </c>
      <c r="K197" s="3">
        <v>0.2</v>
      </c>
      <c r="L197" s="3">
        <v>13.2</v>
      </c>
      <c r="M197" t="str">
        <f>IF(acs2015_county_data[[#This Row],[PublicWork]]&gt;='Описательные характеристики'!$F$5,"да","нет")</f>
        <v>да</v>
      </c>
      <c r="N197" t="str">
        <f>IF(acs2015_county_data[[#This Row],[Unemployment]]&gt;='Описательные характеристики'!$I$5,"да","нет")</f>
        <v>да</v>
      </c>
    </row>
    <row r="198" spans="1:14" x14ac:dyDescent="0.35">
      <c r="A198">
        <v>6021</v>
      </c>
      <c r="B198" t="s">
        <v>179</v>
      </c>
      <c r="C198" t="s">
        <v>190</v>
      </c>
      <c r="D198" s="2">
        <v>28029</v>
      </c>
      <c r="E198" s="2">
        <v>21313</v>
      </c>
      <c r="F198" s="3">
        <v>5.5</v>
      </c>
      <c r="G198" s="3">
        <v>10523</v>
      </c>
      <c r="H198" s="3">
        <v>68.099999999999994</v>
      </c>
      <c r="I198" s="3">
        <v>19.8</v>
      </c>
      <c r="J198" s="3">
        <v>10.9</v>
      </c>
      <c r="K198" s="3">
        <v>1.1000000000000001</v>
      </c>
      <c r="L198" s="3">
        <v>12.6</v>
      </c>
      <c r="M198" t="str">
        <f>IF(acs2015_county_data[[#This Row],[PublicWork]]&gt;='Описательные характеристики'!$F$5,"да","нет")</f>
        <v>да</v>
      </c>
      <c r="N198" t="str">
        <f>IF(acs2015_county_data[[#This Row],[Unemployment]]&gt;='Описательные характеристики'!$I$5,"да","нет")</f>
        <v>да</v>
      </c>
    </row>
    <row r="199" spans="1:14" x14ac:dyDescent="0.35">
      <c r="A199">
        <v>6023</v>
      </c>
      <c r="B199" t="s">
        <v>179</v>
      </c>
      <c r="C199" t="s">
        <v>191</v>
      </c>
      <c r="D199" s="2">
        <v>135034</v>
      </c>
      <c r="E199" s="2">
        <v>23367</v>
      </c>
      <c r="F199" s="3">
        <v>7.2</v>
      </c>
      <c r="G199" s="3">
        <v>58449</v>
      </c>
      <c r="H199" s="3">
        <v>63.8</v>
      </c>
      <c r="I199" s="3">
        <v>22</v>
      </c>
      <c r="J199" s="3">
        <v>14</v>
      </c>
      <c r="K199" s="3">
        <v>0.3</v>
      </c>
      <c r="L199" s="3">
        <v>10.5</v>
      </c>
      <c r="M199" t="str">
        <f>IF(acs2015_county_data[[#This Row],[PublicWork]]&gt;='Описательные характеристики'!$F$5,"да","нет")</f>
        <v>да</v>
      </c>
      <c r="N199" t="str">
        <f>IF(acs2015_county_data[[#This Row],[Unemployment]]&gt;='Описательные характеристики'!$I$5,"да","нет")</f>
        <v>да</v>
      </c>
    </row>
    <row r="200" spans="1:14" x14ac:dyDescent="0.35">
      <c r="A200">
        <v>6025</v>
      </c>
      <c r="B200" t="s">
        <v>179</v>
      </c>
      <c r="C200" t="s">
        <v>192</v>
      </c>
      <c r="D200" s="2">
        <v>178206</v>
      </c>
      <c r="E200" s="2">
        <v>16143</v>
      </c>
      <c r="F200" s="3">
        <v>4</v>
      </c>
      <c r="G200" s="3">
        <v>58391</v>
      </c>
      <c r="H200" s="3">
        <v>66.599999999999994</v>
      </c>
      <c r="I200" s="3">
        <v>27.8</v>
      </c>
      <c r="J200" s="3">
        <v>5.2</v>
      </c>
      <c r="K200" s="3">
        <v>0.4</v>
      </c>
      <c r="L200" s="3">
        <v>17.399999999999999</v>
      </c>
      <c r="M200" t="str">
        <f>IF(acs2015_county_data[[#This Row],[PublicWork]]&gt;='Описательные характеристики'!$F$5,"да","нет")</f>
        <v>да</v>
      </c>
      <c r="N200" t="str">
        <f>IF(acs2015_county_data[[#This Row],[Unemployment]]&gt;='Описательные характеристики'!$I$5,"да","нет")</f>
        <v>да</v>
      </c>
    </row>
    <row r="201" spans="1:14" x14ac:dyDescent="0.35">
      <c r="A201">
        <v>6027</v>
      </c>
      <c r="B201" t="s">
        <v>179</v>
      </c>
      <c r="C201" t="s">
        <v>193</v>
      </c>
      <c r="D201" s="2">
        <v>18373</v>
      </c>
      <c r="E201" s="2">
        <v>27850</v>
      </c>
      <c r="F201" s="3">
        <v>5.4</v>
      </c>
      <c r="G201" s="3">
        <v>8370</v>
      </c>
      <c r="H201" s="3">
        <v>62.4</v>
      </c>
      <c r="I201" s="3">
        <v>28.1</v>
      </c>
      <c r="J201" s="3">
        <v>9.5</v>
      </c>
      <c r="K201" s="3">
        <v>0</v>
      </c>
      <c r="L201" s="3">
        <v>6.8</v>
      </c>
      <c r="M201" t="str">
        <f>IF(acs2015_county_data[[#This Row],[PublicWork]]&gt;='Описательные характеристики'!$F$5,"да","нет")</f>
        <v>да</v>
      </c>
      <c r="N201" t="str">
        <f>IF(acs2015_county_data[[#This Row],[Unemployment]]&gt;='Описательные характеристики'!$I$5,"да","нет")</f>
        <v>нет</v>
      </c>
    </row>
    <row r="202" spans="1:14" x14ac:dyDescent="0.35">
      <c r="A202">
        <v>6029</v>
      </c>
      <c r="B202" t="s">
        <v>179</v>
      </c>
      <c r="C202" t="s">
        <v>194</v>
      </c>
      <c r="D202" s="2"/>
      <c r="E202" s="2">
        <v>20644</v>
      </c>
      <c r="F202" s="3">
        <v>2.9</v>
      </c>
      <c r="G202" s="3">
        <v>327294</v>
      </c>
      <c r="H202" s="3">
        <v>76.3</v>
      </c>
      <c r="I202" s="3">
        <v>17.2</v>
      </c>
      <c r="J202" s="3">
        <v>6.2</v>
      </c>
      <c r="K202" s="3">
        <v>0.2</v>
      </c>
      <c r="L202" s="3">
        <v>12.7</v>
      </c>
      <c r="M202" t="str">
        <f>IF(acs2015_county_data[[#This Row],[PublicWork]]&gt;='Описательные характеристики'!$F$5,"да","нет")</f>
        <v>да</v>
      </c>
      <c r="N202" t="str">
        <f>IF(acs2015_county_data[[#This Row],[Unemployment]]&gt;='Описательные характеристики'!$I$5,"да","нет")</f>
        <v>да</v>
      </c>
    </row>
    <row r="203" spans="1:14" x14ac:dyDescent="0.35">
      <c r="A203">
        <v>6031</v>
      </c>
      <c r="B203" t="s">
        <v>179</v>
      </c>
      <c r="C203" t="s">
        <v>195</v>
      </c>
      <c r="D203" s="2">
        <v>150998</v>
      </c>
      <c r="E203" s="2">
        <v>18707</v>
      </c>
      <c r="F203" s="3">
        <v>3.2</v>
      </c>
      <c r="G203" s="3">
        <v>50960</v>
      </c>
      <c r="H203" s="3">
        <v>68.2</v>
      </c>
      <c r="I203" s="3">
        <v>25.7</v>
      </c>
      <c r="J203" s="3">
        <v>5.9</v>
      </c>
      <c r="K203" s="3">
        <v>0.2</v>
      </c>
      <c r="L203" s="3">
        <v>13</v>
      </c>
      <c r="M203" t="str">
        <f>IF(acs2015_county_data[[#This Row],[PublicWork]]&gt;='Описательные характеристики'!$F$5,"да","нет")</f>
        <v>да</v>
      </c>
      <c r="N203" t="str">
        <f>IF(acs2015_county_data[[#This Row],[Unemployment]]&gt;='Описательные характеристики'!$I$5,"да","нет")</f>
        <v>да</v>
      </c>
    </row>
    <row r="204" spans="1:14" x14ac:dyDescent="0.35">
      <c r="A204">
        <v>6033</v>
      </c>
      <c r="B204" t="s">
        <v>179</v>
      </c>
      <c r="C204" t="s">
        <v>196</v>
      </c>
      <c r="D204" s="2">
        <v>64158</v>
      </c>
      <c r="E204" s="2">
        <v>21407</v>
      </c>
      <c r="F204" s="3">
        <v>11.2</v>
      </c>
      <c r="G204" s="3">
        <v>23011</v>
      </c>
      <c r="H204" s="3">
        <v>66</v>
      </c>
      <c r="I204" s="3">
        <v>22.2</v>
      </c>
      <c r="J204" s="3">
        <v>11.7</v>
      </c>
      <c r="K204" s="3">
        <v>0.2</v>
      </c>
      <c r="L204" s="3">
        <v>14.6</v>
      </c>
      <c r="M204" t="str">
        <f>IF(acs2015_county_data[[#This Row],[PublicWork]]&gt;='Описательные характеристики'!$F$5,"да","нет")</f>
        <v>да</v>
      </c>
      <c r="N204" t="str">
        <f>IF(acs2015_county_data[[#This Row],[Unemployment]]&gt;='Описательные характеристики'!$I$5,"да","нет")</f>
        <v>да</v>
      </c>
    </row>
    <row r="205" spans="1:14" x14ac:dyDescent="0.35">
      <c r="A205">
        <v>6035</v>
      </c>
      <c r="B205" t="s">
        <v>179</v>
      </c>
      <c r="C205" t="s">
        <v>197</v>
      </c>
      <c r="D205" s="2">
        <v>32645</v>
      </c>
      <c r="E205" s="2">
        <v>19274</v>
      </c>
      <c r="F205" s="3">
        <v>4.8</v>
      </c>
      <c r="G205" s="3">
        <v>9082</v>
      </c>
      <c r="H205" s="3">
        <v>42.6</v>
      </c>
      <c r="I205" s="3">
        <v>50.5</v>
      </c>
      <c r="J205" s="3">
        <v>6.8</v>
      </c>
      <c r="K205" s="3">
        <v>0.1</v>
      </c>
      <c r="L205" s="3">
        <v>10.9</v>
      </c>
      <c r="M205" t="str">
        <f>IF(acs2015_county_data[[#This Row],[PublicWork]]&gt;='Описательные характеристики'!$F$5,"да","нет")</f>
        <v>да</v>
      </c>
      <c r="N205" t="str">
        <f>IF(acs2015_county_data[[#This Row],[Unemployment]]&gt;='Описательные характеристики'!$I$5,"да","нет")</f>
        <v>да</v>
      </c>
    </row>
    <row r="206" spans="1:14" x14ac:dyDescent="0.35">
      <c r="A206">
        <v>6037</v>
      </c>
      <c r="B206" t="s">
        <v>179</v>
      </c>
      <c r="C206" t="s">
        <v>198</v>
      </c>
      <c r="D206" s="2">
        <v>10038388</v>
      </c>
      <c r="E206" s="2">
        <v>28337</v>
      </c>
      <c r="F206" s="3">
        <v>5.0999999999999996</v>
      </c>
      <c r="G206" s="3">
        <v>4635465</v>
      </c>
      <c r="H206" s="3">
        <v>79</v>
      </c>
      <c r="I206" s="3">
        <v>11.5</v>
      </c>
      <c r="J206" s="3">
        <v>9.4</v>
      </c>
      <c r="K206" s="3">
        <v>0.2</v>
      </c>
      <c r="L206" s="3">
        <v>10</v>
      </c>
      <c r="M206" t="str">
        <f>IF(acs2015_county_data[[#This Row],[PublicWork]]&gt;='Описательные характеристики'!$F$5,"да","нет")</f>
        <v>нет</v>
      </c>
      <c r="N206" t="str">
        <f>IF(acs2015_county_data[[#This Row],[Unemployment]]&gt;='Описательные характеристики'!$I$5,"да","нет")</f>
        <v>да</v>
      </c>
    </row>
    <row r="207" spans="1:14" x14ac:dyDescent="0.35">
      <c r="A207">
        <v>6039</v>
      </c>
      <c r="B207" t="s">
        <v>179</v>
      </c>
      <c r="C207" t="s">
        <v>199</v>
      </c>
      <c r="D207" s="2">
        <v>153187</v>
      </c>
      <c r="E207" s="2">
        <v>17970</v>
      </c>
      <c r="F207" s="3">
        <v>4.7</v>
      </c>
      <c r="G207" s="3">
        <v>53032</v>
      </c>
      <c r="H207" s="3">
        <v>76.5</v>
      </c>
      <c r="I207" s="3">
        <v>16</v>
      </c>
      <c r="J207" s="3">
        <v>7.4</v>
      </c>
      <c r="K207" s="3">
        <v>0.1</v>
      </c>
      <c r="L207" s="3">
        <v>7.5</v>
      </c>
      <c r="M207" t="str">
        <f>IF(acs2015_county_data[[#This Row],[PublicWork]]&gt;='Описательные характеристики'!$F$5,"да","нет")</f>
        <v>нет</v>
      </c>
      <c r="N207" t="str">
        <f>IF(acs2015_county_data[[#This Row],[Unemployment]]&gt;='Описательные характеристики'!$I$5,"да","нет")</f>
        <v>нет</v>
      </c>
    </row>
    <row r="208" spans="1:14" x14ac:dyDescent="0.35">
      <c r="A208">
        <v>6041</v>
      </c>
      <c r="B208" t="s">
        <v>179</v>
      </c>
      <c r="C208" t="s">
        <v>200</v>
      </c>
      <c r="D208" s="2">
        <v>258349</v>
      </c>
      <c r="E208" s="2">
        <v>60236</v>
      </c>
      <c r="F208" s="3">
        <v>10.1</v>
      </c>
      <c r="G208" s="3">
        <v>129027</v>
      </c>
      <c r="H208" s="3">
        <v>73.8</v>
      </c>
      <c r="I208" s="3">
        <v>10.8</v>
      </c>
      <c r="J208" s="3">
        <v>15.4</v>
      </c>
      <c r="K208" s="3">
        <v>0.1</v>
      </c>
      <c r="L208" s="3">
        <v>5.7</v>
      </c>
      <c r="M208" t="str">
        <f>IF(acs2015_county_data[[#This Row],[PublicWork]]&gt;='Описательные характеристики'!$F$5,"да","нет")</f>
        <v>нет</v>
      </c>
      <c r="N208" t="str">
        <f>IF(acs2015_county_data[[#This Row],[Unemployment]]&gt;='Описательные характеристики'!$I$5,"да","нет")</f>
        <v>нет</v>
      </c>
    </row>
    <row r="209" spans="1:14" x14ac:dyDescent="0.35">
      <c r="A209">
        <v>6043</v>
      </c>
      <c r="B209" t="s">
        <v>179</v>
      </c>
      <c r="C209" t="s">
        <v>201</v>
      </c>
      <c r="D209" s="2">
        <v>17789</v>
      </c>
      <c r="E209" s="2">
        <v>28316</v>
      </c>
      <c r="F209" s="3">
        <v>9</v>
      </c>
      <c r="G209" s="3">
        <v>7329</v>
      </c>
      <c r="H209" s="3">
        <v>60.3</v>
      </c>
      <c r="I209" s="3">
        <v>27.8</v>
      </c>
      <c r="J209" s="3">
        <v>10.5</v>
      </c>
      <c r="K209" s="3">
        <v>1.5</v>
      </c>
      <c r="L209" s="3">
        <v>11.6</v>
      </c>
      <c r="M209" t="str">
        <f>IF(acs2015_county_data[[#This Row],[PublicWork]]&gt;='Описательные характеристики'!$F$5,"да","нет")</f>
        <v>да</v>
      </c>
      <c r="N209" t="str">
        <f>IF(acs2015_county_data[[#This Row],[Unemployment]]&gt;='Описательные характеристики'!$I$5,"да","нет")</f>
        <v>да</v>
      </c>
    </row>
    <row r="210" spans="1:14" x14ac:dyDescent="0.35">
      <c r="A210">
        <v>6045</v>
      </c>
      <c r="B210" t="s">
        <v>179</v>
      </c>
      <c r="C210" t="s">
        <v>202</v>
      </c>
      <c r="D210" s="2">
        <v>87544</v>
      </c>
      <c r="E210" s="2">
        <v>24059</v>
      </c>
      <c r="F210" s="3">
        <v>7.5</v>
      </c>
      <c r="G210" s="3">
        <v>36848</v>
      </c>
      <c r="H210" s="3">
        <v>64.900000000000006</v>
      </c>
      <c r="I210" s="3">
        <v>19.100000000000001</v>
      </c>
      <c r="J210" s="3">
        <v>15.4</v>
      </c>
      <c r="K210" s="3">
        <v>0.6</v>
      </c>
      <c r="L210" s="3">
        <v>12.2</v>
      </c>
      <c r="M210" t="str">
        <f>IF(acs2015_county_data[[#This Row],[PublicWork]]&gt;='Описательные характеристики'!$F$5,"да","нет")</f>
        <v>да</v>
      </c>
      <c r="N210" t="str">
        <f>IF(acs2015_county_data[[#This Row],[Unemployment]]&gt;='Описательные характеристики'!$I$5,"да","нет")</f>
        <v>да</v>
      </c>
    </row>
    <row r="211" spans="1:14" x14ac:dyDescent="0.35">
      <c r="A211">
        <v>6047</v>
      </c>
      <c r="B211" t="s">
        <v>179</v>
      </c>
      <c r="C211" t="s">
        <v>203</v>
      </c>
      <c r="D211" s="2">
        <v>263885</v>
      </c>
      <c r="E211" s="2">
        <v>18204</v>
      </c>
      <c r="F211" s="3">
        <v>3.9</v>
      </c>
      <c r="G211" s="3">
        <v>96170</v>
      </c>
      <c r="H211" s="3">
        <v>76.7</v>
      </c>
      <c r="I211" s="3">
        <v>16.2</v>
      </c>
      <c r="J211" s="3">
        <v>7</v>
      </c>
      <c r="K211" s="3">
        <v>0.2</v>
      </c>
      <c r="L211" s="3">
        <v>16.2</v>
      </c>
      <c r="M211" t="str">
        <f>IF(acs2015_county_data[[#This Row],[PublicWork]]&gt;='Описательные характеристики'!$F$5,"да","нет")</f>
        <v>да</v>
      </c>
      <c r="N211" t="str">
        <f>IF(acs2015_county_data[[#This Row],[Unemployment]]&gt;='Описательные характеристики'!$I$5,"да","нет")</f>
        <v>да</v>
      </c>
    </row>
    <row r="212" spans="1:14" x14ac:dyDescent="0.35">
      <c r="A212">
        <v>6049</v>
      </c>
      <c r="B212" t="s">
        <v>179</v>
      </c>
      <c r="C212" t="s">
        <v>204</v>
      </c>
      <c r="D212" s="2">
        <v>9184</v>
      </c>
      <c r="E212" s="2">
        <v>21001</v>
      </c>
      <c r="F212" s="3">
        <v>12.8</v>
      </c>
      <c r="G212" s="3">
        <v>3334</v>
      </c>
      <c r="H212" s="3">
        <v>56.5</v>
      </c>
      <c r="I212" s="3">
        <v>31.3</v>
      </c>
      <c r="J212" s="3">
        <v>11.6</v>
      </c>
      <c r="K212" s="3">
        <v>0.6</v>
      </c>
      <c r="L212" s="3">
        <v>8.6</v>
      </c>
      <c r="M212" t="str">
        <f>IF(acs2015_county_data[[#This Row],[PublicWork]]&gt;='Описательные характеристики'!$F$5,"да","нет")</f>
        <v>да</v>
      </c>
      <c r="N212" t="str">
        <f>IF(acs2015_county_data[[#This Row],[Unemployment]]&gt;='Описательные характеристики'!$I$5,"да","нет")</f>
        <v>да</v>
      </c>
    </row>
    <row r="213" spans="1:14" x14ac:dyDescent="0.35">
      <c r="A213">
        <v>6051</v>
      </c>
      <c r="B213" t="s">
        <v>179</v>
      </c>
      <c r="C213" t="s">
        <v>205</v>
      </c>
      <c r="D213" s="2">
        <v>14146</v>
      </c>
      <c r="E213" s="2">
        <v>29437</v>
      </c>
      <c r="F213" s="3">
        <v>12.9</v>
      </c>
      <c r="G213" s="3">
        <v>7061</v>
      </c>
      <c r="H213" s="3">
        <v>62.4</v>
      </c>
      <c r="I213" s="3">
        <v>25.9</v>
      </c>
      <c r="J213" s="3">
        <v>10.8</v>
      </c>
      <c r="K213" s="3">
        <v>0.9</v>
      </c>
      <c r="L213" s="3">
        <v>13.4</v>
      </c>
      <c r="M213" t="str">
        <f>IF(acs2015_county_data[[#This Row],[PublicWork]]&gt;='Описательные характеристики'!$F$5,"да","нет")</f>
        <v>да</v>
      </c>
      <c r="N213" t="str">
        <f>IF(acs2015_county_data[[#This Row],[Unemployment]]&gt;='Описательные характеристики'!$I$5,"да","нет")</f>
        <v>да</v>
      </c>
    </row>
    <row r="214" spans="1:14" x14ac:dyDescent="0.35">
      <c r="A214">
        <v>6053</v>
      </c>
      <c r="B214" t="s">
        <v>179</v>
      </c>
      <c r="C214" t="s">
        <v>206</v>
      </c>
      <c r="D214" s="2">
        <v>428441</v>
      </c>
      <c r="E214" s="2">
        <v>24994</v>
      </c>
      <c r="F214" s="3">
        <v>4.5</v>
      </c>
      <c r="G214" s="3">
        <v>177333</v>
      </c>
      <c r="H214" s="3">
        <v>76.599999999999994</v>
      </c>
      <c r="I214" s="3">
        <v>15.1</v>
      </c>
      <c r="J214" s="3">
        <v>8.1999999999999993</v>
      </c>
      <c r="K214" s="3">
        <v>0.2</v>
      </c>
      <c r="L214" s="3">
        <v>8.4</v>
      </c>
      <c r="M214" t="str">
        <f>IF(acs2015_county_data[[#This Row],[PublicWork]]&gt;='Описательные характеристики'!$F$5,"да","нет")</f>
        <v>нет</v>
      </c>
      <c r="N214" t="str">
        <f>IF(acs2015_county_data[[#This Row],[Unemployment]]&gt;='Описательные характеристики'!$I$5,"да","нет")</f>
        <v>да</v>
      </c>
    </row>
    <row r="215" spans="1:14" x14ac:dyDescent="0.35">
      <c r="A215">
        <v>6055</v>
      </c>
      <c r="B215" t="s">
        <v>179</v>
      </c>
      <c r="C215" t="s">
        <v>207</v>
      </c>
      <c r="D215" s="2">
        <v>140295</v>
      </c>
      <c r="E215" s="2">
        <v>36475</v>
      </c>
      <c r="F215" s="3">
        <v>5.5</v>
      </c>
      <c r="G215" s="3">
        <v>68587</v>
      </c>
      <c r="H215" s="3">
        <v>76.8</v>
      </c>
      <c r="I215" s="3">
        <v>12.5</v>
      </c>
      <c r="J215" s="3">
        <v>10.5</v>
      </c>
      <c r="K215" s="3">
        <v>0.1</v>
      </c>
      <c r="L215" s="3">
        <v>7.5</v>
      </c>
      <c r="M215" t="str">
        <f>IF(acs2015_county_data[[#This Row],[PublicWork]]&gt;='Описательные характеристики'!$F$5,"да","нет")</f>
        <v>нет</v>
      </c>
      <c r="N215" t="str">
        <f>IF(acs2015_county_data[[#This Row],[Unemployment]]&gt;='Описательные характеристики'!$I$5,"да","нет")</f>
        <v>нет</v>
      </c>
    </row>
    <row r="216" spans="1:14" x14ac:dyDescent="0.35">
      <c r="A216">
        <v>6057</v>
      </c>
      <c r="B216" t="s">
        <v>179</v>
      </c>
      <c r="C216" t="s">
        <v>159</v>
      </c>
      <c r="D216" s="2">
        <v>98570</v>
      </c>
      <c r="E216" s="2">
        <v>32442</v>
      </c>
      <c r="F216" s="3">
        <v>11.1</v>
      </c>
      <c r="G216" s="3">
        <v>41473</v>
      </c>
      <c r="H216" s="3">
        <v>68.099999999999994</v>
      </c>
      <c r="I216" s="3">
        <v>14.7</v>
      </c>
      <c r="J216" s="3">
        <v>16.8</v>
      </c>
      <c r="K216" s="3">
        <v>0.5</v>
      </c>
      <c r="L216" s="3">
        <v>9.8000000000000007</v>
      </c>
      <c r="M216" t="str">
        <f>IF(acs2015_county_data[[#This Row],[PublicWork]]&gt;='Описательные характеристики'!$F$5,"да","нет")</f>
        <v>нет</v>
      </c>
      <c r="N216" t="str">
        <f>IF(acs2015_county_data[[#This Row],[Unemployment]]&gt;='Описательные характеристики'!$I$5,"да","нет")</f>
        <v>да</v>
      </c>
    </row>
    <row r="217" spans="1:14" x14ac:dyDescent="0.35">
      <c r="A217">
        <v>6059</v>
      </c>
      <c r="B217" t="s">
        <v>179</v>
      </c>
      <c r="C217" t="s">
        <v>208</v>
      </c>
      <c r="D217" s="2">
        <v>3116069</v>
      </c>
      <c r="E217" s="2">
        <v>34817</v>
      </c>
      <c r="F217" s="3">
        <v>5.2</v>
      </c>
      <c r="G217" s="3">
        <v>1508753</v>
      </c>
      <c r="H217" s="3">
        <v>81.8</v>
      </c>
      <c r="I217" s="3">
        <v>10.199999999999999</v>
      </c>
      <c r="J217" s="3">
        <v>7.8</v>
      </c>
      <c r="K217" s="3">
        <v>0.2</v>
      </c>
      <c r="L217" s="3">
        <v>7.6</v>
      </c>
      <c r="M217" t="str">
        <f>IF(acs2015_county_data[[#This Row],[PublicWork]]&gt;='Описательные характеристики'!$F$5,"да","нет")</f>
        <v>нет</v>
      </c>
      <c r="N217" t="str">
        <f>IF(acs2015_county_data[[#This Row],[Unemployment]]&gt;='Описательные характеристики'!$I$5,"да","нет")</f>
        <v>да</v>
      </c>
    </row>
    <row r="218" spans="1:14" x14ac:dyDescent="0.35">
      <c r="A218">
        <v>6061</v>
      </c>
      <c r="B218" t="s">
        <v>179</v>
      </c>
      <c r="C218" t="s">
        <v>209</v>
      </c>
      <c r="D218" s="2">
        <v>366280</v>
      </c>
      <c r="E218" s="2">
        <v>36022</v>
      </c>
      <c r="F218" s="3">
        <v>7.8</v>
      </c>
      <c r="G218" s="3">
        <v>162616</v>
      </c>
      <c r="H218" s="3">
        <v>75.099999999999994</v>
      </c>
      <c r="I218" s="3">
        <v>16.3</v>
      </c>
      <c r="J218" s="3">
        <v>8.4</v>
      </c>
      <c r="K218" s="3">
        <v>0.2</v>
      </c>
      <c r="L218" s="3">
        <v>8.3000000000000007</v>
      </c>
      <c r="M218" t="str">
        <f>IF(acs2015_county_data[[#This Row],[PublicWork]]&gt;='Описательные характеристики'!$F$5,"да","нет")</f>
        <v>да</v>
      </c>
      <c r="N218" t="str">
        <f>IF(acs2015_county_data[[#This Row],[Unemployment]]&gt;='Описательные характеристики'!$I$5,"да","нет")</f>
        <v>да</v>
      </c>
    </row>
    <row r="219" spans="1:14" x14ac:dyDescent="0.35">
      <c r="A219">
        <v>6063</v>
      </c>
      <c r="B219" t="s">
        <v>179</v>
      </c>
      <c r="C219" t="s">
        <v>210</v>
      </c>
      <c r="D219" s="2">
        <v>18966</v>
      </c>
      <c r="E219" s="2">
        <v>30842</v>
      </c>
      <c r="F219" s="3">
        <v>6.2</v>
      </c>
      <c r="G219" s="3">
        <v>7200</v>
      </c>
      <c r="H219" s="3">
        <v>60.1</v>
      </c>
      <c r="I219" s="3">
        <v>23.9</v>
      </c>
      <c r="J219" s="3">
        <v>15.8</v>
      </c>
      <c r="K219" s="3">
        <v>0.2</v>
      </c>
      <c r="L219" s="3">
        <v>15.2</v>
      </c>
      <c r="M219" t="str">
        <f>IF(acs2015_county_data[[#This Row],[PublicWork]]&gt;='Описательные характеристики'!$F$5,"да","нет")</f>
        <v>да</v>
      </c>
      <c r="N219" t="str">
        <f>IF(acs2015_county_data[[#This Row],[Unemployment]]&gt;='Описательные характеристики'!$I$5,"да","нет")</f>
        <v>да</v>
      </c>
    </row>
    <row r="220" spans="1:14" x14ac:dyDescent="0.35">
      <c r="A220">
        <v>6065</v>
      </c>
      <c r="B220" t="s">
        <v>179</v>
      </c>
      <c r="C220" t="s">
        <v>211</v>
      </c>
      <c r="D220" s="2">
        <v>2298032</v>
      </c>
      <c r="E220" s="2">
        <v>23783</v>
      </c>
      <c r="F220" s="3">
        <v>5.2</v>
      </c>
      <c r="G220" s="3">
        <v>920603</v>
      </c>
      <c r="H220" s="3">
        <v>77.099999999999994</v>
      </c>
      <c r="I220" s="3">
        <v>14.9</v>
      </c>
      <c r="J220" s="3">
        <v>7.8</v>
      </c>
      <c r="K220" s="3">
        <v>0.2</v>
      </c>
      <c r="L220" s="3">
        <v>12.9</v>
      </c>
      <c r="M220" t="str">
        <f>IF(acs2015_county_data[[#This Row],[PublicWork]]&gt;='Описательные характеристики'!$F$5,"да","нет")</f>
        <v>нет</v>
      </c>
      <c r="N220" t="str">
        <f>IF(acs2015_county_data[[#This Row],[Unemployment]]&gt;='Описательные характеристики'!$I$5,"да","нет")</f>
        <v>да</v>
      </c>
    </row>
    <row r="221" spans="1:14" x14ac:dyDescent="0.35">
      <c r="A221">
        <v>6067</v>
      </c>
      <c r="B221" t="s">
        <v>179</v>
      </c>
      <c r="C221" t="s">
        <v>212</v>
      </c>
      <c r="D221" s="2">
        <v>1465832</v>
      </c>
      <c r="E221" s="2">
        <v>27315</v>
      </c>
      <c r="F221" s="3">
        <v>5.0999999999999996</v>
      </c>
      <c r="G221" s="3">
        <v>633897</v>
      </c>
      <c r="H221" s="3">
        <v>70.8</v>
      </c>
      <c r="I221" s="3">
        <v>21.8</v>
      </c>
      <c r="J221" s="3">
        <v>7.3</v>
      </c>
      <c r="K221" s="3">
        <v>0.2</v>
      </c>
      <c r="L221" s="3">
        <v>11.8</v>
      </c>
      <c r="M221" t="str">
        <f>IF(acs2015_county_data[[#This Row],[PublicWork]]&gt;='Описательные характеристики'!$F$5,"да","нет")</f>
        <v>да</v>
      </c>
      <c r="N221" t="str">
        <f>IF(acs2015_county_data[[#This Row],[Unemployment]]&gt;='Описательные характеристики'!$I$5,"да","нет")</f>
        <v>да</v>
      </c>
    </row>
    <row r="222" spans="1:14" x14ac:dyDescent="0.35">
      <c r="A222">
        <v>6069</v>
      </c>
      <c r="B222" t="s">
        <v>179</v>
      </c>
      <c r="C222" t="s">
        <v>213</v>
      </c>
      <c r="D222" s="2">
        <v>57557</v>
      </c>
      <c r="E222" s="2">
        <v>27239</v>
      </c>
      <c r="F222" s="3">
        <v>3.5</v>
      </c>
      <c r="G222" s="3">
        <v>26261</v>
      </c>
      <c r="H222" s="3">
        <v>76.400000000000006</v>
      </c>
      <c r="I222" s="3">
        <v>16.3</v>
      </c>
      <c r="J222" s="3">
        <v>7.1</v>
      </c>
      <c r="K222" s="3">
        <v>0.3</v>
      </c>
      <c r="L222" s="3">
        <v>12.2</v>
      </c>
      <c r="M222" t="str">
        <f>IF(acs2015_county_data[[#This Row],[PublicWork]]&gt;='Описательные характеристики'!$F$5,"да","нет")</f>
        <v>да</v>
      </c>
      <c r="N222" t="str">
        <f>IF(acs2015_county_data[[#This Row],[Unemployment]]&gt;='Описательные характеристики'!$I$5,"да","нет")</f>
        <v>да</v>
      </c>
    </row>
    <row r="223" spans="1:14" x14ac:dyDescent="0.35">
      <c r="A223">
        <v>6071</v>
      </c>
      <c r="B223" t="s">
        <v>179</v>
      </c>
      <c r="C223" t="s">
        <v>214</v>
      </c>
      <c r="D223" s="2">
        <v>2094769</v>
      </c>
      <c r="E223" s="2">
        <v>21352</v>
      </c>
      <c r="F223" s="3">
        <v>4.2</v>
      </c>
      <c r="G223" s="3">
        <v>829145</v>
      </c>
      <c r="H223" s="3">
        <v>76.400000000000006</v>
      </c>
      <c r="I223" s="3">
        <v>16.7</v>
      </c>
      <c r="J223" s="3">
        <v>6.7</v>
      </c>
      <c r="K223" s="3">
        <v>0.2</v>
      </c>
      <c r="L223" s="3">
        <v>12.6</v>
      </c>
      <c r="M223" t="str">
        <f>IF(acs2015_county_data[[#This Row],[PublicWork]]&gt;='Описательные характеристики'!$F$5,"да","нет")</f>
        <v>да</v>
      </c>
      <c r="N223" t="str">
        <f>IF(acs2015_county_data[[#This Row],[Unemployment]]&gt;='Описательные характеристики'!$I$5,"да","нет")</f>
        <v>да</v>
      </c>
    </row>
    <row r="224" spans="1:14" x14ac:dyDescent="0.35">
      <c r="A224">
        <v>6073</v>
      </c>
      <c r="B224" t="s">
        <v>179</v>
      </c>
      <c r="C224" t="s">
        <v>215</v>
      </c>
      <c r="D224" s="2">
        <v>3223096</v>
      </c>
      <c r="E224" s="2">
        <v>31266</v>
      </c>
      <c r="F224" s="3">
        <v>6.8</v>
      </c>
      <c r="G224" s="3">
        <v>1462130</v>
      </c>
      <c r="H224" s="3">
        <v>77.3</v>
      </c>
      <c r="I224" s="3">
        <v>14.8</v>
      </c>
      <c r="J224" s="3">
        <v>7.7</v>
      </c>
      <c r="K224" s="3">
        <v>0.2</v>
      </c>
      <c r="L224" s="3">
        <v>8.6999999999999993</v>
      </c>
      <c r="M224" t="str">
        <f>IF(acs2015_county_data[[#This Row],[PublicWork]]&gt;='Описательные характеристики'!$F$5,"да","нет")</f>
        <v>нет</v>
      </c>
      <c r="N224" t="str">
        <f>IF(acs2015_county_data[[#This Row],[Unemployment]]&gt;='Описательные характеристики'!$I$5,"да","нет")</f>
        <v>да</v>
      </c>
    </row>
    <row r="225" spans="1:14" x14ac:dyDescent="0.35">
      <c r="A225">
        <v>6075</v>
      </c>
      <c r="B225" t="s">
        <v>179</v>
      </c>
      <c r="C225" t="s">
        <v>216</v>
      </c>
      <c r="D225" s="2">
        <v>840763</v>
      </c>
      <c r="E225" s="2">
        <v>52220</v>
      </c>
      <c r="F225" s="3">
        <v>6.9</v>
      </c>
      <c r="G225" s="3">
        <v>478373</v>
      </c>
      <c r="H225" s="3">
        <v>79.900000000000006</v>
      </c>
      <c r="I225" s="3">
        <v>11.3</v>
      </c>
      <c r="J225" s="3">
        <v>8.6999999999999993</v>
      </c>
      <c r="K225" s="3">
        <v>0.1</v>
      </c>
      <c r="L225" s="3">
        <v>6.8</v>
      </c>
      <c r="M225" t="str">
        <f>IF(acs2015_county_data[[#This Row],[PublicWork]]&gt;='Описательные характеристики'!$F$5,"да","нет")</f>
        <v>нет</v>
      </c>
      <c r="N225" t="str">
        <f>IF(acs2015_county_data[[#This Row],[Unemployment]]&gt;='Описательные характеристики'!$I$5,"да","нет")</f>
        <v>нет</v>
      </c>
    </row>
    <row r="226" spans="1:14" x14ac:dyDescent="0.35">
      <c r="A226">
        <v>6077</v>
      </c>
      <c r="B226" t="s">
        <v>179</v>
      </c>
      <c r="C226" t="s">
        <v>217</v>
      </c>
      <c r="D226" s="2">
        <v>708554</v>
      </c>
      <c r="E226" s="2">
        <v>22645</v>
      </c>
      <c r="F226" s="3">
        <v>3.7</v>
      </c>
      <c r="G226" s="3">
        <v>280460</v>
      </c>
      <c r="H226" s="3">
        <v>78.8</v>
      </c>
      <c r="I226" s="3">
        <v>14.6</v>
      </c>
      <c r="J226" s="3">
        <v>6.4</v>
      </c>
      <c r="K226" s="3">
        <v>0.2</v>
      </c>
      <c r="L226" s="3">
        <v>13.7</v>
      </c>
      <c r="M226" t="str">
        <f>IF(acs2015_county_data[[#This Row],[PublicWork]]&gt;='Описательные характеристики'!$F$5,"да","нет")</f>
        <v>нет</v>
      </c>
      <c r="N226" t="str">
        <f>IF(acs2015_county_data[[#This Row],[Unemployment]]&gt;='Описательные характеристики'!$I$5,"да","нет")</f>
        <v>да</v>
      </c>
    </row>
    <row r="227" spans="1:14" x14ac:dyDescent="0.35">
      <c r="A227">
        <v>6079</v>
      </c>
      <c r="B227" t="s">
        <v>179</v>
      </c>
      <c r="C227" t="s">
        <v>218</v>
      </c>
      <c r="D227" s="2">
        <v>276517</v>
      </c>
      <c r="E227" s="2">
        <v>31060</v>
      </c>
      <c r="F227" s="3">
        <v>7</v>
      </c>
      <c r="G227" s="3">
        <v>124997</v>
      </c>
      <c r="H227" s="3">
        <v>68.3</v>
      </c>
      <c r="I227" s="3">
        <v>17.559999999999999</v>
      </c>
      <c r="J227" s="3">
        <v>11.4</v>
      </c>
      <c r="K227" s="3">
        <v>0.4</v>
      </c>
      <c r="L227" s="3">
        <v>6.6</v>
      </c>
      <c r="M227" t="str">
        <f>IF(acs2015_county_data[[#This Row],[PublicWork]]&gt;='Описательные характеристики'!$F$5,"да","нет")</f>
        <v>да</v>
      </c>
      <c r="N227" t="str">
        <f>IF(acs2015_county_data[[#This Row],[Unemployment]]&gt;='Описательные характеристики'!$I$5,"да","нет")</f>
        <v>нет</v>
      </c>
    </row>
    <row r="228" spans="1:14" x14ac:dyDescent="0.35">
      <c r="A228">
        <v>6081</v>
      </c>
      <c r="B228" t="s">
        <v>179</v>
      </c>
      <c r="C228" t="s">
        <v>219</v>
      </c>
      <c r="D228" s="2">
        <v>748731</v>
      </c>
      <c r="E228" s="2">
        <v>48278</v>
      </c>
      <c r="F228" s="3">
        <v>5</v>
      </c>
      <c r="G228" s="3">
        <v>387006</v>
      </c>
      <c r="H228" s="3">
        <v>79.8</v>
      </c>
      <c r="I228" s="3">
        <v>11.7</v>
      </c>
      <c r="J228" s="3">
        <v>8.3000000000000007</v>
      </c>
      <c r="K228" s="3">
        <v>0.2</v>
      </c>
      <c r="L228" s="3">
        <v>6.7</v>
      </c>
      <c r="M228" t="str">
        <f>IF(acs2015_county_data[[#This Row],[PublicWork]]&gt;='Описательные характеристики'!$F$5,"да","нет")</f>
        <v>нет</v>
      </c>
      <c r="N228" t="str">
        <f>IF(acs2015_county_data[[#This Row],[Unemployment]]&gt;='Описательные характеристики'!$I$5,"да","нет")</f>
        <v>нет</v>
      </c>
    </row>
    <row r="229" spans="1:14" x14ac:dyDescent="0.35">
      <c r="A229">
        <v>6083</v>
      </c>
      <c r="B229" t="s">
        <v>179</v>
      </c>
      <c r="C229" t="s">
        <v>220</v>
      </c>
      <c r="D229" s="2">
        <v>435850</v>
      </c>
      <c r="E229" s="2">
        <v>30589</v>
      </c>
      <c r="F229" s="3">
        <v>5.5</v>
      </c>
      <c r="G229" s="3">
        <v>203616</v>
      </c>
      <c r="H229" s="3">
        <v>75.5</v>
      </c>
      <c r="I229" s="3">
        <v>16.2</v>
      </c>
      <c r="J229" s="3">
        <v>8</v>
      </c>
      <c r="K229" s="3">
        <v>0.3</v>
      </c>
      <c r="L229" s="3">
        <v>8</v>
      </c>
      <c r="M229" t="str">
        <f>IF(acs2015_county_data[[#This Row],[PublicWork]]&gt;='Описательные характеристики'!$F$5,"да","нет")</f>
        <v>да</v>
      </c>
      <c r="N229" t="str">
        <f>IF(acs2015_county_data[[#This Row],[Unemployment]]&gt;='Описательные характеристики'!$I$5,"да","нет")</f>
        <v>да</v>
      </c>
    </row>
    <row r="230" spans="1:14" x14ac:dyDescent="0.35">
      <c r="A230">
        <v>6085</v>
      </c>
      <c r="B230" t="s">
        <v>179</v>
      </c>
      <c r="C230" t="s">
        <v>221</v>
      </c>
      <c r="D230" s="2">
        <v>1868149</v>
      </c>
      <c r="E230" s="2">
        <v>43880</v>
      </c>
      <c r="F230" s="3">
        <v>4.5999999999999996</v>
      </c>
      <c r="G230" s="3">
        <v>915619</v>
      </c>
      <c r="H230" s="3">
        <v>84.3</v>
      </c>
      <c r="I230" s="3">
        <v>9.3000000000000007</v>
      </c>
      <c r="J230" s="3">
        <v>6.4</v>
      </c>
      <c r="K230" s="3">
        <v>0.1</v>
      </c>
      <c r="L230" s="3">
        <v>7.7</v>
      </c>
      <c r="M230" t="str">
        <f>IF(acs2015_county_data[[#This Row],[PublicWork]]&gt;='Описательные характеристики'!$F$5,"да","нет")</f>
        <v>нет</v>
      </c>
      <c r="N230" t="str">
        <f>IF(acs2015_county_data[[#This Row],[Unemployment]]&gt;='Описательные характеристики'!$I$5,"да","нет")</f>
        <v>да</v>
      </c>
    </row>
    <row r="231" spans="1:14" x14ac:dyDescent="0.35">
      <c r="A231">
        <v>6087</v>
      </c>
      <c r="B231" t="s">
        <v>179</v>
      </c>
      <c r="C231" t="s">
        <v>121</v>
      </c>
      <c r="D231" s="2">
        <v>269278</v>
      </c>
      <c r="E231" s="2">
        <v>33241</v>
      </c>
      <c r="F231" s="3">
        <v>7.3</v>
      </c>
      <c r="G231" s="3">
        <v>131321</v>
      </c>
      <c r="H231" s="3">
        <v>73.099999999999994</v>
      </c>
      <c r="I231" s="3">
        <v>15.3</v>
      </c>
      <c r="J231" s="3">
        <v>11.4</v>
      </c>
      <c r="K231" s="3">
        <v>0.2</v>
      </c>
      <c r="L231" s="3">
        <v>7.6</v>
      </c>
      <c r="M231" t="str">
        <f>IF(acs2015_county_data[[#This Row],[PublicWork]]&gt;='Описательные характеристики'!$F$5,"да","нет")</f>
        <v>нет</v>
      </c>
      <c r="N231" t="str">
        <f>IF(acs2015_county_data[[#This Row],[Unemployment]]&gt;='Описательные характеристики'!$I$5,"да","нет")</f>
        <v>да</v>
      </c>
    </row>
    <row r="232" spans="1:14" x14ac:dyDescent="0.35">
      <c r="A232">
        <v>6089</v>
      </c>
      <c r="B232" t="s">
        <v>179</v>
      </c>
      <c r="C232" t="s">
        <v>222</v>
      </c>
      <c r="D232" s="2">
        <v>178942</v>
      </c>
      <c r="E232" s="2">
        <v>24107</v>
      </c>
      <c r="F232" s="3">
        <v>5.5</v>
      </c>
      <c r="G232" s="3">
        <v>69261</v>
      </c>
      <c r="H232" s="3">
        <v>72.900000000000006</v>
      </c>
      <c r="I232" s="3">
        <v>16.7</v>
      </c>
      <c r="J232" s="3">
        <v>10.3</v>
      </c>
      <c r="K232" s="3">
        <v>0.2</v>
      </c>
      <c r="L232" s="3">
        <v>10.3</v>
      </c>
      <c r="M232" t="str">
        <f>IF(acs2015_county_data[[#This Row],[PublicWork]]&gt;='Описательные характеристики'!$F$5,"да","нет")</f>
        <v>да</v>
      </c>
      <c r="N232" t="str">
        <f>IF(acs2015_county_data[[#This Row],[Unemployment]]&gt;='Описательные характеристики'!$I$5,"да","нет")</f>
        <v>да</v>
      </c>
    </row>
    <row r="233" spans="1:14" x14ac:dyDescent="0.35">
      <c r="A233">
        <v>6091</v>
      </c>
      <c r="B233" t="s">
        <v>179</v>
      </c>
      <c r="C233" t="s">
        <v>223</v>
      </c>
      <c r="D233" s="2">
        <v>3021</v>
      </c>
      <c r="E233" s="2">
        <v>29986</v>
      </c>
      <c r="F233" s="3">
        <v>12.1</v>
      </c>
      <c r="G233" s="3">
        <v>1110</v>
      </c>
      <c r="H233" s="3">
        <v>45</v>
      </c>
      <c r="I233" s="3">
        <v>42.3</v>
      </c>
      <c r="J233" s="3">
        <v>9.6999999999999993</v>
      </c>
      <c r="K233" s="3">
        <v>3.1</v>
      </c>
      <c r="L233" s="3">
        <v>8</v>
      </c>
      <c r="M233" t="str">
        <f>IF(acs2015_county_data[[#This Row],[PublicWork]]&gt;='Описательные характеристики'!$F$5,"да","нет")</f>
        <v>да</v>
      </c>
      <c r="N233" t="str">
        <f>IF(acs2015_county_data[[#This Row],[Unemployment]]&gt;='Описательные характеристики'!$I$5,"да","нет")</f>
        <v>да</v>
      </c>
    </row>
    <row r="234" spans="1:14" x14ac:dyDescent="0.35">
      <c r="A234">
        <v>6093</v>
      </c>
      <c r="B234" t="s">
        <v>179</v>
      </c>
      <c r="C234" t="s">
        <v>224</v>
      </c>
      <c r="D234" s="2">
        <v>43895</v>
      </c>
      <c r="E234" s="2">
        <v>22561</v>
      </c>
      <c r="F234" s="3">
        <v>8</v>
      </c>
      <c r="G234" s="3">
        <v>16127</v>
      </c>
      <c r="H234" s="3">
        <v>63.5</v>
      </c>
      <c r="I234" s="3">
        <v>22.7</v>
      </c>
      <c r="J234" s="3">
        <v>13.8</v>
      </c>
      <c r="K234" s="3">
        <v>0.1</v>
      </c>
      <c r="L234" s="3">
        <v>12.7</v>
      </c>
      <c r="M234" t="str">
        <f>IF(acs2015_county_data[[#This Row],[PublicWork]]&gt;='Описательные характеристики'!$F$5,"да","нет")</f>
        <v>да</v>
      </c>
      <c r="N234" t="str">
        <f>IF(acs2015_county_data[[#This Row],[Unemployment]]&gt;='Описательные характеристики'!$I$5,"да","нет")</f>
        <v>да</v>
      </c>
    </row>
    <row r="235" spans="1:14" x14ac:dyDescent="0.35">
      <c r="A235">
        <v>6095</v>
      </c>
      <c r="B235" t="s">
        <v>179</v>
      </c>
      <c r="C235" t="s">
        <v>225</v>
      </c>
      <c r="D235" s="2">
        <v>425753</v>
      </c>
      <c r="E235" s="2">
        <v>29185</v>
      </c>
      <c r="F235" s="3">
        <v>3.8</v>
      </c>
      <c r="G235" s="3">
        <v>187021</v>
      </c>
      <c r="H235" s="3">
        <v>74.2</v>
      </c>
      <c r="I235" s="3">
        <v>19.7</v>
      </c>
      <c r="J235" s="3">
        <v>6</v>
      </c>
      <c r="K235" s="3">
        <v>0.1</v>
      </c>
      <c r="L235" s="3">
        <v>11.4</v>
      </c>
      <c r="M235" t="str">
        <f>IF(acs2015_county_data[[#This Row],[PublicWork]]&gt;='Описательные характеристики'!$F$5,"да","нет")</f>
        <v>да</v>
      </c>
      <c r="N235" t="str">
        <f>IF(acs2015_county_data[[#This Row],[Unemployment]]&gt;='Описательные характеристики'!$I$5,"да","нет")</f>
        <v>да</v>
      </c>
    </row>
    <row r="236" spans="1:14" x14ac:dyDescent="0.35">
      <c r="A236">
        <v>6097</v>
      </c>
      <c r="B236" t="s">
        <v>179</v>
      </c>
      <c r="C236" t="s">
        <v>226</v>
      </c>
      <c r="D236" s="2">
        <v>495078</v>
      </c>
      <c r="E236" s="2">
        <v>34235</v>
      </c>
      <c r="F236" s="3">
        <v>6.5</v>
      </c>
      <c r="G236" s="3">
        <v>240247</v>
      </c>
      <c r="H236" s="3">
        <v>75.599999999999994</v>
      </c>
      <c r="I236" s="3">
        <v>12.7</v>
      </c>
      <c r="J236" s="3">
        <v>11.6</v>
      </c>
      <c r="K236" s="3">
        <v>0.2</v>
      </c>
      <c r="L236" s="3">
        <v>8.1</v>
      </c>
      <c r="M236" t="str">
        <f>IF(acs2015_county_data[[#This Row],[PublicWork]]&gt;='Описательные характеристики'!$F$5,"да","нет")</f>
        <v>нет</v>
      </c>
      <c r="N236" t="str">
        <f>IF(acs2015_county_data[[#This Row],[Unemployment]]&gt;='Описательные характеристики'!$I$5,"да","нет")</f>
        <v>да</v>
      </c>
    </row>
    <row r="237" spans="1:14" x14ac:dyDescent="0.35">
      <c r="A237">
        <v>6099</v>
      </c>
      <c r="B237" t="s">
        <v>179</v>
      </c>
      <c r="C237" t="s">
        <v>227</v>
      </c>
      <c r="D237" s="2">
        <v>527367</v>
      </c>
      <c r="E237" s="2">
        <v>21922</v>
      </c>
      <c r="F237" s="3">
        <v>4.0999999999999996</v>
      </c>
      <c r="G237" s="3">
        <v>208428</v>
      </c>
      <c r="H237" s="3">
        <v>78.900000000000006</v>
      </c>
      <c r="I237" s="3">
        <v>14.2</v>
      </c>
      <c r="J237" s="3">
        <v>6.8</v>
      </c>
      <c r="K237" s="3">
        <v>0.2</v>
      </c>
      <c r="L237" s="3">
        <v>15.2</v>
      </c>
      <c r="M237" t="str">
        <f>IF(acs2015_county_data[[#This Row],[PublicWork]]&gt;='Описательные характеристики'!$F$5,"да","нет")</f>
        <v>нет</v>
      </c>
      <c r="N237" t="str">
        <f>IF(acs2015_county_data[[#This Row],[Unemployment]]&gt;='Описательные характеристики'!$I$5,"да","нет")</f>
        <v>да</v>
      </c>
    </row>
    <row r="238" spans="1:14" x14ac:dyDescent="0.35">
      <c r="A238">
        <v>6101</v>
      </c>
      <c r="B238" t="s">
        <v>179</v>
      </c>
      <c r="C238" t="s">
        <v>228</v>
      </c>
      <c r="D238" s="2">
        <v>95247</v>
      </c>
      <c r="E238" s="2">
        <v>23689</v>
      </c>
      <c r="F238" s="3">
        <v>4.7</v>
      </c>
      <c r="G238" s="3">
        <v>37520</v>
      </c>
      <c r="H238" s="3">
        <v>74</v>
      </c>
      <c r="I238" s="3">
        <v>18.600000000000001</v>
      </c>
      <c r="J238" s="3">
        <v>6.9</v>
      </c>
      <c r="K238" s="3">
        <v>0.5</v>
      </c>
      <c r="L238" s="3">
        <v>13.2</v>
      </c>
      <c r="M238" t="str">
        <f>IF(acs2015_county_data[[#This Row],[PublicWork]]&gt;='Описательные характеристики'!$F$5,"да","нет")</f>
        <v>да</v>
      </c>
      <c r="N238" t="str">
        <f>IF(acs2015_county_data[[#This Row],[Unemployment]]&gt;='Описательные характеристики'!$I$5,"да","нет")</f>
        <v>да</v>
      </c>
    </row>
    <row r="239" spans="1:14" x14ac:dyDescent="0.35">
      <c r="A239">
        <v>6103</v>
      </c>
      <c r="B239" t="s">
        <v>179</v>
      </c>
      <c r="C239" t="s">
        <v>229</v>
      </c>
      <c r="D239" s="2">
        <v>63152</v>
      </c>
      <c r="E239" s="2">
        <v>21263</v>
      </c>
      <c r="F239" s="3">
        <v>5</v>
      </c>
      <c r="G239" s="3">
        <v>23127</v>
      </c>
      <c r="H239" s="3">
        <v>70.099999999999994</v>
      </c>
      <c r="I239" s="3">
        <v>20.100000000000001</v>
      </c>
      <c r="J239" s="3">
        <v>9.6</v>
      </c>
      <c r="K239" s="3">
        <v>0.2</v>
      </c>
      <c r="L239" s="3">
        <v>13.2</v>
      </c>
      <c r="M239" t="str">
        <f>IF(acs2015_county_data[[#This Row],[PublicWork]]&gt;='Описательные характеристики'!$F$5,"да","нет")</f>
        <v>да</v>
      </c>
      <c r="N239" t="str">
        <f>IF(acs2015_county_data[[#This Row],[Unemployment]]&gt;='Описательные характеристики'!$I$5,"да","нет")</f>
        <v>да</v>
      </c>
    </row>
    <row r="240" spans="1:14" x14ac:dyDescent="0.35">
      <c r="A240">
        <v>6105</v>
      </c>
      <c r="B240" t="s">
        <v>179</v>
      </c>
      <c r="C240" t="s">
        <v>230</v>
      </c>
      <c r="D240" s="2">
        <v>13373</v>
      </c>
      <c r="E240" s="2">
        <v>22975</v>
      </c>
      <c r="F240" s="3">
        <v>15.7</v>
      </c>
      <c r="G240" s="3">
        <v>4832</v>
      </c>
      <c r="H240" s="3">
        <v>49.8</v>
      </c>
      <c r="I240" s="3">
        <v>29.6</v>
      </c>
      <c r="J240" s="3">
        <v>12.7</v>
      </c>
      <c r="K240" s="3">
        <v>8</v>
      </c>
      <c r="L240" s="3">
        <v>9</v>
      </c>
      <c r="M240" t="str">
        <f>IF(acs2015_county_data[[#This Row],[PublicWork]]&gt;='Описательные характеристики'!$F$5,"да","нет")</f>
        <v>да</v>
      </c>
      <c r="N240" t="str">
        <f>IF(acs2015_county_data[[#This Row],[Unemployment]]&gt;='Описательные характеристики'!$I$5,"да","нет")</f>
        <v>да</v>
      </c>
    </row>
    <row r="241" spans="1:14" x14ac:dyDescent="0.35">
      <c r="A241">
        <v>6107</v>
      </c>
      <c r="B241" t="s">
        <v>179</v>
      </c>
      <c r="C241" t="s">
        <v>231</v>
      </c>
      <c r="D241" s="2">
        <v>454033</v>
      </c>
      <c r="E241" s="2">
        <v>17876</v>
      </c>
      <c r="F241" s="3">
        <v>3.1</v>
      </c>
      <c r="G241" s="3">
        <v>170780</v>
      </c>
      <c r="H241" s="3">
        <v>76.8</v>
      </c>
      <c r="I241" s="3">
        <v>16.5</v>
      </c>
      <c r="J241" s="3">
        <v>6.5</v>
      </c>
      <c r="K241" s="3">
        <v>0.3</v>
      </c>
      <c r="L241" s="3">
        <v>12</v>
      </c>
      <c r="M241" t="str">
        <f>IF(acs2015_county_data[[#This Row],[PublicWork]]&gt;='Описательные характеристики'!$F$5,"да","нет")</f>
        <v>да</v>
      </c>
      <c r="N241" t="str">
        <f>IF(acs2015_county_data[[#This Row],[Unemployment]]&gt;='Описательные характеристики'!$I$5,"да","нет")</f>
        <v>да</v>
      </c>
    </row>
    <row r="242" spans="1:14" x14ac:dyDescent="0.35">
      <c r="A242">
        <v>6109</v>
      </c>
      <c r="B242" t="s">
        <v>179</v>
      </c>
      <c r="C242" t="s">
        <v>232</v>
      </c>
      <c r="D242" s="2">
        <v>54079</v>
      </c>
      <c r="E242" s="2">
        <v>27054</v>
      </c>
      <c r="F242" s="3">
        <v>8</v>
      </c>
      <c r="G242" s="3">
        <v>19477</v>
      </c>
      <c r="H242" s="3">
        <v>67.3</v>
      </c>
      <c r="I242" s="3">
        <v>19.8</v>
      </c>
      <c r="J242" s="3">
        <v>12.4</v>
      </c>
      <c r="K242" s="3">
        <v>0.5</v>
      </c>
      <c r="L242" s="3">
        <v>12.9</v>
      </c>
      <c r="M242" t="str">
        <f>IF(acs2015_county_data[[#This Row],[PublicWork]]&gt;='Описательные характеристики'!$F$5,"да","нет")</f>
        <v>да</v>
      </c>
      <c r="N242" t="str">
        <f>IF(acs2015_county_data[[#This Row],[Unemployment]]&gt;='Описательные характеристики'!$I$5,"да","нет")</f>
        <v>да</v>
      </c>
    </row>
    <row r="243" spans="1:14" x14ac:dyDescent="0.35">
      <c r="A243">
        <v>6111</v>
      </c>
      <c r="B243" t="s">
        <v>179</v>
      </c>
      <c r="C243" t="s">
        <v>233</v>
      </c>
      <c r="D243" s="2">
        <v>840833</v>
      </c>
      <c r="E243" s="2">
        <v>33435</v>
      </c>
      <c r="F243" s="3">
        <v>5.5</v>
      </c>
      <c r="G243" s="3">
        <v>398116</v>
      </c>
      <c r="H243" s="3">
        <v>77.8</v>
      </c>
      <c r="I243" s="3">
        <v>13.2</v>
      </c>
      <c r="J243" s="3">
        <v>8.8000000000000007</v>
      </c>
      <c r="K243" s="3">
        <v>0.2</v>
      </c>
      <c r="L243" s="3">
        <v>8.6</v>
      </c>
      <c r="M243" t="str">
        <f>IF(acs2015_county_data[[#This Row],[PublicWork]]&gt;='Описательные характеристики'!$F$5,"да","нет")</f>
        <v>нет</v>
      </c>
      <c r="N243" t="str">
        <f>IF(acs2015_county_data[[#This Row],[Unemployment]]&gt;='Описательные характеристики'!$I$5,"да","нет")</f>
        <v>да</v>
      </c>
    </row>
    <row r="244" spans="1:14" x14ac:dyDescent="0.35">
      <c r="A244">
        <v>6113</v>
      </c>
      <c r="B244" t="s">
        <v>179</v>
      </c>
      <c r="C244" t="s">
        <v>234</v>
      </c>
      <c r="D244" s="2">
        <v>207320</v>
      </c>
      <c r="E244" s="2">
        <v>28116</v>
      </c>
      <c r="F244" s="3">
        <v>4.2</v>
      </c>
      <c r="G244" s="3">
        <v>92806</v>
      </c>
      <c r="H244" s="3">
        <v>65.599999999999994</v>
      </c>
      <c r="I244" s="3">
        <v>28.1</v>
      </c>
      <c r="J244" s="3">
        <v>6.1</v>
      </c>
      <c r="K244" s="3">
        <v>0.2</v>
      </c>
      <c r="L244" s="3">
        <v>9</v>
      </c>
      <c r="M244" t="str">
        <f>IF(acs2015_county_data[[#This Row],[PublicWork]]&gt;='Описательные характеристики'!$F$5,"да","нет")</f>
        <v>да</v>
      </c>
      <c r="N244" t="str">
        <f>IF(acs2015_county_data[[#This Row],[Unemployment]]&gt;='Описательные характеристики'!$I$5,"да","нет")</f>
        <v>да</v>
      </c>
    </row>
    <row r="245" spans="1:14" x14ac:dyDescent="0.35">
      <c r="A245">
        <v>6115</v>
      </c>
      <c r="B245" t="s">
        <v>179</v>
      </c>
      <c r="C245" t="s">
        <v>235</v>
      </c>
      <c r="D245" s="2">
        <v>73437</v>
      </c>
      <c r="E245" s="2">
        <v>20471</v>
      </c>
      <c r="F245" s="3">
        <v>5</v>
      </c>
      <c r="G245" s="3">
        <v>25499</v>
      </c>
      <c r="H245" s="3">
        <v>69</v>
      </c>
      <c r="I245" s="3">
        <v>21.5</v>
      </c>
      <c r="J245" s="3">
        <v>9.3000000000000007</v>
      </c>
      <c r="K245" s="3">
        <v>0.2</v>
      </c>
      <c r="L245" s="3">
        <v>14.8</v>
      </c>
      <c r="M245" t="str">
        <f>IF(acs2015_county_data[[#This Row],[PublicWork]]&gt;='Описательные характеристики'!$F$5,"да","нет")</f>
        <v>да</v>
      </c>
      <c r="N245" t="str">
        <f>IF(acs2015_county_data[[#This Row],[Unemployment]]&gt;='Описательные характеристики'!$I$5,"да","нет")</f>
        <v>да</v>
      </c>
    </row>
    <row r="246" spans="1:14" x14ac:dyDescent="0.35">
      <c r="A246">
        <v>8001</v>
      </c>
      <c r="B246" t="s">
        <v>236</v>
      </c>
      <c r="C246" t="s">
        <v>237</v>
      </c>
      <c r="D246" s="2">
        <v>471206</v>
      </c>
      <c r="E246" s="2">
        <v>25039</v>
      </c>
      <c r="F246" s="3">
        <v>4.4000000000000004</v>
      </c>
      <c r="G246" s="3">
        <v>229743</v>
      </c>
      <c r="H246" s="3">
        <v>83.6</v>
      </c>
      <c r="I246" s="3">
        <v>11.3</v>
      </c>
      <c r="J246" s="3">
        <v>5</v>
      </c>
      <c r="K246" s="3">
        <v>0.1</v>
      </c>
      <c r="L246" s="3">
        <v>7.9</v>
      </c>
      <c r="M246" t="str">
        <f>IF(acs2015_county_data[[#This Row],[PublicWork]]&gt;='Описательные характеристики'!$F$5,"да","нет")</f>
        <v>нет</v>
      </c>
      <c r="N246" t="str">
        <f>IF(acs2015_county_data[[#This Row],[Unemployment]]&gt;='Описательные характеристики'!$I$5,"да","нет")</f>
        <v>да</v>
      </c>
    </row>
    <row r="247" spans="1:14" x14ac:dyDescent="0.35">
      <c r="A247">
        <v>8003</v>
      </c>
      <c r="B247" t="s">
        <v>236</v>
      </c>
      <c r="C247" t="s">
        <v>238</v>
      </c>
      <c r="D247" s="2">
        <v>16269</v>
      </c>
      <c r="E247" s="2">
        <v>19524</v>
      </c>
      <c r="F247" s="3">
        <v>2.2000000000000002</v>
      </c>
      <c r="G247" s="3">
        <v>6283</v>
      </c>
      <c r="H247" s="3">
        <v>67.599999999999994</v>
      </c>
      <c r="I247" s="3">
        <v>26.9</v>
      </c>
      <c r="J247" s="3">
        <v>5.4</v>
      </c>
      <c r="K247" s="3">
        <v>0.1</v>
      </c>
      <c r="L247" s="3">
        <v>10.4</v>
      </c>
      <c r="M247" t="str">
        <f>IF(acs2015_county_data[[#This Row],[PublicWork]]&gt;='Описательные характеристики'!$F$5,"да","нет")</f>
        <v>да</v>
      </c>
      <c r="N247" t="str">
        <f>IF(acs2015_county_data[[#This Row],[Unemployment]]&gt;='Описательные характеристики'!$I$5,"да","нет")</f>
        <v>да</v>
      </c>
    </row>
    <row r="248" spans="1:14" x14ac:dyDescent="0.35">
      <c r="A248">
        <v>8005</v>
      </c>
      <c r="B248" t="s">
        <v>236</v>
      </c>
      <c r="C248" t="s">
        <v>239</v>
      </c>
      <c r="D248" s="2">
        <v>608310</v>
      </c>
      <c r="E248" s="2">
        <v>34190</v>
      </c>
      <c r="F248" s="3">
        <v>5.9</v>
      </c>
      <c r="G248" s="3">
        <v>311498</v>
      </c>
      <c r="H248" s="3">
        <v>82.6</v>
      </c>
      <c r="I248" s="3">
        <v>11.6</v>
      </c>
      <c r="J248" s="3">
        <v>5.6</v>
      </c>
      <c r="K248" s="3">
        <v>0.2</v>
      </c>
      <c r="L248" s="3">
        <v>7.2</v>
      </c>
      <c r="M248" t="str">
        <f>IF(acs2015_county_data[[#This Row],[PublicWork]]&gt;='Описательные характеристики'!$F$5,"да","нет")</f>
        <v>нет</v>
      </c>
      <c r="N248" t="str">
        <f>IF(acs2015_county_data[[#This Row],[Unemployment]]&gt;='Описательные характеристики'!$I$5,"да","нет")</f>
        <v>нет</v>
      </c>
    </row>
    <row r="249" spans="1:14" x14ac:dyDescent="0.35">
      <c r="A249">
        <v>8007</v>
      </c>
      <c r="B249" t="s">
        <v>236</v>
      </c>
      <c r="C249" t="s">
        <v>240</v>
      </c>
      <c r="D249" s="2">
        <v>12174</v>
      </c>
      <c r="E249" s="2">
        <v>28884</v>
      </c>
      <c r="F249" s="3">
        <v>9.3000000000000007</v>
      </c>
      <c r="G249" s="3">
        <v>5506</v>
      </c>
      <c r="H249" s="3">
        <v>66.3</v>
      </c>
      <c r="I249" s="3">
        <v>14.8</v>
      </c>
      <c r="J249" s="3">
        <v>18.3</v>
      </c>
      <c r="K249" s="3">
        <v>0.6</v>
      </c>
      <c r="L249" s="3">
        <v>8.1999999999999993</v>
      </c>
      <c r="M249" t="str">
        <f>IF(acs2015_county_data[[#This Row],[PublicWork]]&gt;='Описательные характеристики'!$F$5,"да","нет")</f>
        <v>нет</v>
      </c>
      <c r="N249" t="str">
        <f>IF(acs2015_county_data[[#This Row],[Unemployment]]&gt;='Описательные характеристики'!$I$5,"да","нет")</f>
        <v>да</v>
      </c>
    </row>
    <row r="250" spans="1:14" x14ac:dyDescent="0.35">
      <c r="A250">
        <v>8009</v>
      </c>
      <c r="B250" t="s">
        <v>236</v>
      </c>
      <c r="C250" t="s">
        <v>241</v>
      </c>
      <c r="D250" s="2">
        <v>3701</v>
      </c>
      <c r="E250" s="2">
        <v>21361</v>
      </c>
      <c r="F250" s="3">
        <v>8.9</v>
      </c>
      <c r="G250" s="3">
        <v>1702</v>
      </c>
      <c r="H250" s="3">
        <v>52.1</v>
      </c>
      <c r="I250" s="3">
        <v>29.1</v>
      </c>
      <c r="J250" s="3">
        <v>17.2</v>
      </c>
      <c r="K250" s="3">
        <v>1.6</v>
      </c>
      <c r="L250" s="3">
        <v>4.5</v>
      </c>
      <c r="M250" t="str">
        <f>IF(acs2015_county_data[[#This Row],[PublicWork]]&gt;='Описательные характеристики'!$F$5,"да","нет")</f>
        <v>да</v>
      </c>
      <c r="N250" t="str">
        <f>IF(acs2015_county_data[[#This Row],[Unemployment]]&gt;='Описательные характеристики'!$I$5,"да","нет")</f>
        <v>нет</v>
      </c>
    </row>
    <row r="251" spans="1:14" x14ac:dyDescent="0.35">
      <c r="A251">
        <v>8011</v>
      </c>
      <c r="B251" t="s">
        <v>236</v>
      </c>
      <c r="C251" t="s">
        <v>242</v>
      </c>
      <c r="D251" s="2">
        <v>5895</v>
      </c>
      <c r="E251" s="2">
        <v>13544</v>
      </c>
      <c r="F251" s="3">
        <v>8.1</v>
      </c>
      <c r="G251" s="3">
        <v>1212</v>
      </c>
      <c r="H251" s="3">
        <v>46</v>
      </c>
      <c r="I251" s="3">
        <v>38.4</v>
      </c>
      <c r="J251" s="3">
        <v>15.3</v>
      </c>
      <c r="K251" s="3">
        <v>0.2</v>
      </c>
      <c r="L251" s="3">
        <v>8.3000000000000007</v>
      </c>
      <c r="M251" t="str">
        <f>IF(acs2015_county_data[[#This Row],[PublicWork]]&gt;='Описательные характеристики'!$F$5,"да","нет")</f>
        <v>да</v>
      </c>
      <c r="N251" t="str">
        <f>IF(acs2015_county_data[[#This Row],[Unemployment]]&gt;='Описательные характеристики'!$I$5,"да","нет")</f>
        <v>да</v>
      </c>
    </row>
    <row r="252" spans="1:14" x14ac:dyDescent="0.35">
      <c r="A252">
        <v>8013</v>
      </c>
      <c r="B252" t="s">
        <v>236</v>
      </c>
      <c r="C252" t="s">
        <v>243</v>
      </c>
      <c r="D252" s="2">
        <v>310032</v>
      </c>
      <c r="E252" s="2">
        <v>39074</v>
      </c>
      <c r="F252" s="3">
        <v>11.1</v>
      </c>
      <c r="G252" s="3">
        <v>166701</v>
      </c>
      <c r="H252" s="3">
        <v>78</v>
      </c>
      <c r="I252" s="3">
        <v>13.4</v>
      </c>
      <c r="J252" s="3">
        <v>8.5</v>
      </c>
      <c r="K252" s="3">
        <v>0.2</v>
      </c>
      <c r="L252" s="3">
        <v>6.1</v>
      </c>
      <c r="M252" t="str">
        <f>IF(acs2015_county_data[[#This Row],[PublicWork]]&gt;='Описательные характеристики'!$F$5,"да","нет")</f>
        <v>нет</v>
      </c>
      <c r="N252" t="str">
        <f>IF(acs2015_county_data[[#This Row],[Unemployment]]&gt;='Описательные характеристики'!$I$5,"да","нет")</f>
        <v>нет</v>
      </c>
    </row>
    <row r="253" spans="1:14" x14ac:dyDescent="0.35">
      <c r="A253">
        <v>8014</v>
      </c>
      <c r="B253" t="s">
        <v>236</v>
      </c>
      <c r="C253" t="s">
        <v>244</v>
      </c>
      <c r="D253" s="2">
        <v>60699</v>
      </c>
      <c r="E253" s="2">
        <v>40135</v>
      </c>
      <c r="F253" s="3">
        <v>7.6</v>
      </c>
      <c r="G253" s="3">
        <v>31807</v>
      </c>
      <c r="H253" s="3">
        <v>79.900000000000006</v>
      </c>
      <c r="I253" s="3">
        <v>13.8</v>
      </c>
      <c r="J253" s="3">
        <v>6</v>
      </c>
      <c r="K253" s="3">
        <v>0.2</v>
      </c>
      <c r="L253" s="3">
        <v>5.5</v>
      </c>
      <c r="M253" t="str">
        <f>IF(acs2015_county_data[[#This Row],[PublicWork]]&gt;='Описательные характеристики'!$F$5,"да","нет")</f>
        <v>нет</v>
      </c>
      <c r="N253" t="str">
        <f>IF(acs2015_county_data[[#This Row],[Unemployment]]&gt;='Описательные характеристики'!$I$5,"да","нет")</f>
        <v>нет</v>
      </c>
    </row>
    <row r="254" spans="1:14" x14ac:dyDescent="0.35">
      <c r="A254">
        <v>8015</v>
      </c>
      <c r="B254" t="s">
        <v>236</v>
      </c>
      <c r="C254" t="s">
        <v>245</v>
      </c>
      <c r="D254" s="2">
        <v>18309</v>
      </c>
      <c r="E254" s="2">
        <v>28064</v>
      </c>
      <c r="F254" s="3">
        <v>11.6</v>
      </c>
      <c r="G254" s="3">
        <v>8170</v>
      </c>
      <c r="H254" s="3">
        <v>69.599999999999994</v>
      </c>
      <c r="I254" s="3">
        <v>18.5</v>
      </c>
      <c r="J254" s="3">
        <v>10.6</v>
      </c>
      <c r="K254" s="3">
        <v>1.3</v>
      </c>
      <c r="L254" s="3">
        <v>5.9</v>
      </c>
      <c r="M254" t="str">
        <f>IF(acs2015_county_data[[#This Row],[PublicWork]]&gt;='Описательные характеристики'!$F$5,"да","нет")</f>
        <v>да</v>
      </c>
      <c r="N254" t="str">
        <f>IF(acs2015_county_data[[#This Row],[Unemployment]]&gt;='Описательные характеристики'!$I$5,"да","нет")</f>
        <v>нет</v>
      </c>
    </row>
    <row r="255" spans="1:14" x14ac:dyDescent="0.35">
      <c r="A255">
        <v>8017</v>
      </c>
      <c r="B255" t="s">
        <v>236</v>
      </c>
      <c r="C255" t="s">
        <v>246</v>
      </c>
      <c r="D255" s="2">
        <v>2002</v>
      </c>
      <c r="E255" s="2">
        <v>23553</v>
      </c>
      <c r="F255" s="3">
        <v>10.5</v>
      </c>
      <c r="G255" s="3">
        <v>932</v>
      </c>
      <c r="H255" s="3">
        <v>57.1</v>
      </c>
      <c r="I255" s="3">
        <v>26</v>
      </c>
      <c r="J255" s="3">
        <v>16.600000000000001</v>
      </c>
      <c r="K255" s="3">
        <v>0.3</v>
      </c>
      <c r="L255" s="3">
        <v>9.3000000000000007</v>
      </c>
      <c r="M255" t="str">
        <f>IF(acs2015_county_data[[#This Row],[PublicWork]]&gt;='Описательные характеристики'!$F$5,"да","нет")</f>
        <v>да</v>
      </c>
      <c r="N255" t="str">
        <f>IF(acs2015_county_data[[#This Row],[Unemployment]]&gt;='Описательные характеристики'!$I$5,"да","нет")</f>
        <v>да</v>
      </c>
    </row>
    <row r="256" spans="1:14" x14ac:dyDescent="0.35">
      <c r="A256">
        <v>8019</v>
      </c>
      <c r="B256" t="s">
        <v>236</v>
      </c>
      <c r="C256" t="s">
        <v>247</v>
      </c>
      <c r="D256" s="2">
        <v>9136</v>
      </c>
      <c r="E256" s="2">
        <v>42812</v>
      </c>
      <c r="F256" s="3">
        <v>13</v>
      </c>
      <c r="G256" s="3">
        <v>5114</v>
      </c>
      <c r="H256" s="3">
        <v>72.099999999999994</v>
      </c>
      <c r="I256" s="3">
        <v>18.2</v>
      </c>
      <c r="J256" s="3">
        <v>8.9</v>
      </c>
      <c r="K256" s="3">
        <v>0.8</v>
      </c>
      <c r="L256" s="3">
        <v>5.4</v>
      </c>
      <c r="M256" t="str">
        <f>IF(acs2015_county_data[[#This Row],[PublicWork]]&gt;='Описательные характеристики'!$F$5,"да","нет")</f>
        <v>да</v>
      </c>
      <c r="N256" t="str">
        <f>IF(acs2015_county_data[[#This Row],[Unemployment]]&gt;='Описательные характеристики'!$I$5,"да","нет")</f>
        <v>нет</v>
      </c>
    </row>
    <row r="257" spans="1:14" x14ac:dyDescent="0.35">
      <c r="A257">
        <v>8021</v>
      </c>
      <c r="B257" t="s">
        <v>236</v>
      </c>
      <c r="C257" t="s">
        <v>248</v>
      </c>
      <c r="D257" s="2">
        <v>8249</v>
      </c>
      <c r="E257" s="2">
        <v>18844</v>
      </c>
      <c r="F257" s="3">
        <v>5.7</v>
      </c>
      <c r="G257" s="3">
        <v>3021</v>
      </c>
      <c r="H257" s="3">
        <v>65.8</v>
      </c>
      <c r="I257" s="3">
        <v>21.3</v>
      </c>
      <c r="J257" s="3">
        <v>12.8</v>
      </c>
      <c r="K257" s="3">
        <v>0</v>
      </c>
      <c r="L257" s="3">
        <v>9.6999999999999993</v>
      </c>
      <c r="M257" t="str">
        <f>IF(acs2015_county_data[[#This Row],[PublicWork]]&gt;='Описательные характеристики'!$F$5,"да","нет")</f>
        <v>да</v>
      </c>
      <c r="N257" t="str">
        <f>IF(acs2015_county_data[[#This Row],[Unemployment]]&gt;='Описательные характеристики'!$I$5,"да","нет")</f>
        <v>да</v>
      </c>
    </row>
    <row r="258" spans="1:14" x14ac:dyDescent="0.35">
      <c r="A258">
        <v>8023</v>
      </c>
      <c r="B258" t="s">
        <v>236</v>
      </c>
      <c r="C258" t="s">
        <v>249</v>
      </c>
      <c r="D258" s="2">
        <v>3581</v>
      </c>
      <c r="E258" s="2">
        <v>21809</v>
      </c>
      <c r="F258" s="3">
        <v>5.9</v>
      </c>
      <c r="G258" s="3">
        <v>1240</v>
      </c>
      <c r="H258" s="3">
        <v>63.8</v>
      </c>
      <c r="I258" s="3">
        <v>21.7</v>
      </c>
      <c r="J258" s="3">
        <v>14</v>
      </c>
      <c r="K258" s="3">
        <v>0.5</v>
      </c>
      <c r="L258" s="3">
        <v>14</v>
      </c>
      <c r="M258" t="str">
        <f>IF(acs2015_county_data[[#This Row],[PublicWork]]&gt;='Описательные характеристики'!$F$5,"да","нет")</f>
        <v>да</v>
      </c>
      <c r="N258" t="str">
        <f>IF(acs2015_county_data[[#This Row],[Unemployment]]&gt;='Описательные характеристики'!$I$5,"да","нет")</f>
        <v>да</v>
      </c>
    </row>
    <row r="259" spans="1:14" x14ac:dyDescent="0.35">
      <c r="A259">
        <v>8025</v>
      </c>
      <c r="B259" t="s">
        <v>236</v>
      </c>
      <c r="C259" t="s">
        <v>250</v>
      </c>
      <c r="D259" s="2">
        <v>5551</v>
      </c>
      <c r="E259" s="2">
        <v>10742</v>
      </c>
      <c r="F259" s="3">
        <v>2.2999999999999998</v>
      </c>
      <c r="G259" s="3">
        <v>1457</v>
      </c>
      <c r="H259" s="3">
        <v>66.7</v>
      </c>
      <c r="I259" s="3">
        <v>27.3</v>
      </c>
      <c r="J259" s="3">
        <v>6</v>
      </c>
      <c r="K259" s="3">
        <v>0</v>
      </c>
      <c r="L259" s="3">
        <v>27</v>
      </c>
      <c r="M259" t="str">
        <f>IF(acs2015_county_data[[#This Row],[PublicWork]]&gt;='Описательные характеристики'!$F$5,"да","нет")</f>
        <v>да</v>
      </c>
      <c r="N259" t="str">
        <f>IF(acs2015_county_data[[#This Row],[Unemployment]]&gt;='Описательные характеристики'!$I$5,"да","нет")</f>
        <v>да</v>
      </c>
    </row>
    <row r="260" spans="1:14" x14ac:dyDescent="0.35">
      <c r="A260">
        <v>8027</v>
      </c>
      <c r="B260" t="s">
        <v>236</v>
      </c>
      <c r="C260" t="s">
        <v>1995</v>
      </c>
      <c r="D260" s="2">
        <v>4303</v>
      </c>
      <c r="E260" s="2">
        <v>22661</v>
      </c>
      <c r="F260" s="3">
        <v>14</v>
      </c>
      <c r="G260" s="3">
        <v>1390</v>
      </c>
      <c r="H260" s="3">
        <v>49.9</v>
      </c>
      <c r="I260" s="3">
        <v>23.3</v>
      </c>
      <c r="J260" s="3">
        <v>26.6</v>
      </c>
      <c r="K260" s="3">
        <v>0.2</v>
      </c>
      <c r="L260" s="3">
        <v>14</v>
      </c>
      <c r="M260" t="str">
        <f>IF(acs2015_county_data[[#This Row],[PublicWork]]&gt;='Описательные характеристики'!$F$5,"да","нет")</f>
        <v>да</v>
      </c>
      <c r="N260" t="str">
        <f>IF(acs2015_county_data[[#This Row],[Unemployment]]&gt;='Описательные характеристики'!$I$5,"да","нет")</f>
        <v>да</v>
      </c>
    </row>
    <row r="261" spans="1:14" x14ac:dyDescent="0.35">
      <c r="A261">
        <v>8029</v>
      </c>
      <c r="B261" t="s">
        <v>236</v>
      </c>
      <c r="C261" t="s">
        <v>251</v>
      </c>
      <c r="D261" s="2">
        <v>30214</v>
      </c>
      <c r="E261" s="2">
        <v>24417</v>
      </c>
      <c r="F261" s="3">
        <v>7.4</v>
      </c>
      <c r="G261" s="3">
        <v>11362</v>
      </c>
      <c r="H261" s="3">
        <v>70</v>
      </c>
      <c r="I261" s="3">
        <v>15</v>
      </c>
      <c r="J261" s="3">
        <v>14.7</v>
      </c>
      <c r="K261" s="3">
        <v>0.4</v>
      </c>
      <c r="L261" s="3">
        <v>11.7</v>
      </c>
      <c r="M261" t="str">
        <f>IF(acs2015_county_data[[#This Row],[PublicWork]]&gt;='Описательные характеристики'!$F$5,"да","нет")</f>
        <v>нет</v>
      </c>
      <c r="N261" t="str">
        <f>IF(acs2015_county_data[[#This Row],[Unemployment]]&gt;='Описательные характеристики'!$I$5,"да","нет")</f>
        <v>да</v>
      </c>
    </row>
    <row r="262" spans="1:14" x14ac:dyDescent="0.35">
      <c r="A262">
        <v>8031</v>
      </c>
      <c r="B262" t="s">
        <v>236</v>
      </c>
      <c r="C262" t="s">
        <v>252</v>
      </c>
      <c r="D262" s="2">
        <v>649654</v>
      </c>
      <c r="E262" s="2">
        <v>35218</v>
      </c>
      <c r="F262" s="3">
        <v>6.5</v>
      </c>
      <c r="G262" s="3">
        <v>348382</v>
      </c>
      <c r="H262" s="3">
        <v>83.2</v>
      </c>
      <c r="I262" s="3">
        <v>11.2</v>
      </c>
      <c r="J262" s="3">
        <v>5.6</v>
      </c>
      <c r="K262" s="3">
        <v>0.1</v>
      </c>
      <c r="L262" s="3">
        <v>6.3</v>
      </c>
      <c r="M262" t="str">
        <f>IF(acs2015_county_data[[#This Row],[PublicWork]]&gt;='Описательные характеристики'!$F$5,"да","нет")</f>
        <v>нет</v>
      </c>
      <c r="N262" t="str">
        <f>IF(acs2015_county_data[[#This Row],[Unemployment]]&gt;='Описательные характеристики'!$I$5,"да","нет")</f>
        <v>нет</v>
      </c>
    </row>
    <row r="263" spans="1:14" x14ac:dyDescent="0.35">
      <c r="A263">
        <v>8033</v>
      </c>
      <c r="B263" t="s">
        <v>236</v>
      </c>
      <c r="C263" t="s">
        <v>253</v>
      </c>
      <c r="D263" s="2">
        <v>1862</v>
      </c>
      <c r="E263" s="2">
        <v>20199</v>
      </c>
      <c r="F263" s="3">
        <v>5.4</v>
      </c>
      <c r="G263" s="3">
        <v>801</v>
      </c>
      <c r="H263" s="3">
        <v>69.5</v>
      </c>
      <c r="I263" s="3">
        <v>21.7</v>
      </c>
      <c r="J263" s="3">
        <v>8.5</v>
      </c>
      <c r="K263" s="3">
        <v>0.2</v>
      </c>
      <c r="L263" s="3">
        <v>4.5999999999999996</v>
      </c>
      <c r="M263" t="str">
        <f>IF(acs2015_county_data[[#This Row],[PublicWork]]&gt;='Описательные характеристики'!$F$5,"да","нет")</f>
        <v>да</v>
      </c>
      <c r="N263" t="str">
        <f>IF(acs2015_county_data[[#This Row],[Unemployment]]&gt;='Описательные характеристики'!$I$5,"да","нет")</f>
        <v>нет</v>
      </c>
    </row>
    <row r="264" spans="1:14" x14ac:dyDescent="0.35">
      <c r="A264">
        <v>8035</v>
      </c>
      <c r="B264" t="s">
        <v>236</v>
      </c>
      <c r="C264" t="s">
        <v>254</v>
      </c>
      <c r="D264" s="2">
        <v>306974</v>
      </c>
      <c r="E264" s="2">
        <v>45500</v>
      </c>
      <c r="F264" s="3">
        <v>10.1</v>
      </c>
      <c r="G264" s="3">
        <v>159911</v>
      </c>
      <c r="H264" s="3">
        <v>82.9</v>
      </c>
      <c r="I264" s="3">
        <v>11.9</v>
      </c>
      <c r="J264" s="3">
        <v>5.0999999999999996</v>
      </c>
      <c r="K264" s="3">
        <v>0.1</v>
      </c>
      <c r="L264" s="3">
        <v>4.0999999999999996</v>
      </c>
      <c r="M264" t="str">
        <f>IF(acs2015_county_data[[#This Row],[PublicWork]]&gt;='Описательные характеристики'!$F$5,"да","нет")</f>
        <v>нет</v>
      </c>
      <c r="N264" t="str">
        <f>IF(acs2015_county_data[[#This Row],[Unemployment]]&gt;='Описательные характеристики'!$I$5,"да","нет")</f>
        <v>нет</v>
      </c>
    </row>
    <row r="265" spans="1:14" x14ac:dyDescent="0.35">
      <c r="A265">
        <v>8037</v>
      </c>
      <c r="B265" t="s">
        <v>236</v>
      </c>
      <c r="C265" t="s">
        <v>255</v>
      </c>
      <c r="D265" s="2">
        <v>52576</v>
      </c>
      <c r="E265" s="2">
        <v>38193</v>
      </c>
      <c r="F265" s="3">
        <v>6.4</v>
      </c>
      <c r="G265" s="3">
        <v>31793</v>
      </c>
      <c r="H265" s="3">
        <v>84.9</v>
      </c>
      <c r="I265" s="3">
        <v>8.5</v>
      </c>
      <c r="J265" s="3">
        <v>6.6</v>
      </c>
      <c r="K265" s="3">
        <v>0</v>
      </c>
      <c r="L265" s="3">
        <v>4.4000000000000004</v>
      </c>
      <c r="M265" t="str">
        <f>IF(acs2015_county_data[[#This Row],[PublicWork]]&gt;='Описательные характеристики'!$F$5,"да","нет")</f>
        <v>нет</v>
      </c>
      <c r="N265" t="str">
        <f>IF(acs2015_county_data[[#This Row],[Unemployment]]&gt;='Описательные характеристики'!$I$5,"да","нет")</f>
        <v>нет</v>
      </c>
    </row>
    <row r="266" spans="1:14" x14ac:dyDescent="0.35">
      <c r="A266">
        <v>8039</v>
      </c>
      <c r="B266" t="s">
        <v>236</v>
      </c>
      <c r="C266" t="s">
        <v>256</v>
      </c>
      <c r="D266" s="2">
        <v>23855</v>
      </c>
      <c r="E266" s="2">
        <v>38021</v>
      </c>
      <c r="F266" s="3">
        <v>11.7</v>
      </c>
      <c r="G266" s="3">
        <v>12373</v>
      </c>
      <c r="H266" s="3">
        <v>77.3</v>
      </c>
      <c r="I266" s="3">
        <v>13.8</v>
      </c>
      <c r="J266" s="3">
        <v>8.6</v>
      </c>
      <c r="K266" s="3">
        <v>0.4</v>
      </c>
      <c r="L266" s="3">
        <v>6.7</v>
      </c>
      <c r="M266" t="str">
        <f>IF(acs2015_county_data[[#This Row],[PublicWork]]&gt;='Описательные характеристики'!$F$5,"да","нет")</f>
        <v>нет</v>
      </c>
      <c r="N266" t="str">
        <f>IF(acs2015_county_data[[#This Row],[Unemployment]]&gt;='Описательные характеристики'!$I$5,"да","нет")</f>
        <v>нет</v>
      </c>
    </row>
    <row r="267" spans="1:14" x14ac:dyDescent="0.35">
      <c r="A267">
        <v>8041</v>
      </c>
      <c r="B267" t="s">
        <v>236</v>
      </c>
      <c r="C267" t="s">
        <v>257</v>
      </c>
      <c r="D267" s="2">
        <v>655024</v>
      </c>
      <c r="E267" s="2">
        <v>29659</v>
      </c>
      <c r="F267" s="3">
        <v>5.7</v>
      </c>
      <c r="G267" s="3">
        <v>290448</v>
      </c>
      <c r="H267" s="3">
        <v>76.599999999999994</v>
      </c>
      <c r="I267" s="3">
        <v>17.5</v>
      </c>
      <c r="J267" s="3">
        <v>5.7</v>
      </c>
      <c r="K267" s="3">
        <v>0.2</v>
      </c>
      <c r="L267" s="3">
        <v>8.4</v>
      </c>
      <c r="M267" t="str">
        <f>IF(acs2015_county_data[[#This Row],[PublicWork]]&gt;='Описательные характеристики'!$F$5,"да","нет")</f>
        <v>да</v>
      </c>
      <c r="N267" t="str">
        <f>IF(acs2015_county_data[[#This Row],[Unemployment]]&gt;='Описательные характеристики'!$I$5,"да","нет")</f>
        <v>да</v>
      </c>
    </row>
    <row r="268" spans="1:14" x14ac:dyDescent="0.35">
      <c r="A268">
        <v>8043</v>
      </c>
      <c r="B268" t="s">
        <v>236</v>
      </c>
      <c r="C268" t="s">
        <v>258</v>
      </c>
      <c r="D268" s="2">
        <v>46809</v>
      </c>
      <c r="E268" s="2">
        <v>18619</v>
      </c>
      <c r="F268" s="3">
        <v>4</v>
      </c>
      <c r="G268" s="3">
        <v>13983</v>
      </c>
      <c r="H268" s="3">
        <v>66.2</v>
      </c>
      <c r="I268" s="3">
        <v>27</v>
      </c>
      <c r="J268" s="3">
        <v>6.7</v>
      </c>
      <c r="K268" s="3">
        <v>0.1</v>
      </c>
      <c r="L268" s="3">
        <v>9.1999999999999993</v>
      </c>
      <c r="M268" t="str">
        <f>IF(acs2015_county_data[[#This Row],[PublicWork]]&gt;='Описательные характеристики'!$F$5,"да","нет")</f>
        <v>да</v>
      </c>
      <c r="N268" t="str">
        <f>IF(acs2015_county_data[[#This Row],[Unemployment]]&gt;='Описательные характеристики'!$I$5,"да","нет")</f>
        <v>да</v>
      </c>
    </row>
    <row r="269" spans="1:14" x14ac:dyDescent="0.35">
      <c r="A269">
        <v>8045</v>
      </c>
      <c r="B269" t="s">
        <v>236</v>
      </c>
      <c r="C269" t="s">
        <v>259</v>
      </c>
      <c r="D269" s="2">
        <v>57076</v>
      </c>
      <c r="E269" s="2">
        <v>27574</v>
      </c>
      <c r="F269" s="3">
        <v>6.7</v>
      </c>
      <c r="G269" s="3">
        <v>29078</v>
      </c>
      <c r="H269" s="3">
        <v>76.900000000000006</v>
      </c>
      <c r="I269" s="3">
        <v>14.1</v>
      </c>
      <c r="J269" s="3">
        <v>8.8000000000000007</v>
      </c>
      <c r="K269" s="3">
        <v>0.1</v>
      </c>
      <c r="L269" s="3">
        <v>6.9</v>
      </c>
      <c r="M269" t="str">
        <f>IF(acs2015_county_data[[#This Row],[PublicWork]]&gt;='Описательные характеристики'!$F$5,"да","нет")</f>
        <v>нет</v>
      </c>
      <c r="N269" t="str">
        <f>IF(acs2015_county_data[[#This Row],[Unemployment]]&gt;='Описательные характеристики'!$I$5,"да","нет")</f>
        <v>нет</v>
      </c>
    </row>
    <row r="270" spans="1:14" x14ac:dyDescent="0.35">
      <c r="A270">
        <v>8047</v>
      </c>
      <c r="B270" t="s">
        <v>236</v>
      </c>
      <c r="C270" t="s">
        <v>260</v>
      </c>
      <c r="D270" s="2">
        <v>5605</v>
      </c>
      <c r="E270" s="2">
        <v>38361</v>
      </c>
      <c r="F270" s="3">
        <v>6.7</v>
      </c>
      <c r="G270" s="3">
        <v>3159</v>
      </c>
      <c r="H270" s="3">
        <v>80.3</v>
      </c>
      <c r="I270" s="3">
        <v>14.2</v>
      </c>
      <c r="J270" s="3">
        <v>5.5</v>
      </c>
      <c r="K270" s="3">
        <v>0</v>
      </c>
      <c r="L270" s="3">
        <v>4.9000000000000004</v>
      </c>
      <c r="M270" t="str">
        <f>IF(acs2015_county_data[[#This Row],[PublicWork]]&gt;='Описательные характеристики'!$F$5,"да","нет")</f>
        <v>нет</v>
      </c>
      <c r="N270" t="str">
        <f>IF(acs2015_county_data[[#This Row],[Unemployment]]&gt;='Описательные характеристики'!$I$5,"да","нет")</f>
        <v>нет</v>
      </c>
    </row>
    <row r="271" spans="1:14" x14ac:dyDescent="0.35">
      <c r="A271">
        <v>8049</v>
      </c>
      <c r="B271" t="s">
        <v>236</v>
      </c>
      <c r="C271" t="s">
        <v>261</v>
      </c>
      <c r="D271" s="2">
        <v>14411</v>
      </c>
      <c r="E271" s="2">
        <v>31432</v>
      </c>
      <c r="F271" s="3">
        <v>9.4</v>
      </c>
      <c r="G271" s="3">
        <v>8274</v>
      </c>
      <c r="H271" s="3">
        <v>81.099999999999994</v>
      </c>
      <c r="I271" s="3">
        <v>14.6</v>
      </c>
      <c r="J271" s="3">
        <v>4.2</v>
      </c>
      <c r="K271" s="3">
        <v>0.1</v>
      </c>
      <c r="L271" s="3">
        <v>5.7</v>
      </c>
      <c r="M271" t="str">
        <f>IF(acs2015_county_data[[#This Row],[PublicWork]]&gt;='Описательные характеристики'!$F$5,"да","нет")</f>
        <v>нет</v>
      </c>
      <c r="N271" t="str">
        <f>IF(acs2015_county_data[[#This Row],[Unemployment]]&gt;='Описательные характеристики'!$I$5,"да","нет")</f>
        <v>нет</v>
      </c>
    </row>
    <row r="272" spans="1:14" x14ac:dyDescent="0.35">
      <c r="A272">
        <v>8051</v>
      </c>
      <c r="B272" t="s">
        <v>236</v>
      </c>
      <c r="C272" t="s">
        <v>262</v>
      </c>
      <c r="D272" s="2">
        <v>15651</v>
      </c>
      <c r="E272" s="2">
        <v>25584</v>
      </c>
      <c r="F272" s="3">
        <v>4.7</v>
      </c>
      <c r="G272" s="3">
        <v>9016</v>
      </c>
      <c r="H272" s="3">
        <v>69.2</v>
      </c>
      <c r="I272" s="3">
        <v>18.100000000000001</v>
      </c>
      <c r="J272" s="3">
        <v>10.9</v>
      </c>
      <c r="K272" s="3">
        <v>1.8</v>
      </c>
      <c r="L272" s="3">
        <v>7.8</v>
      </c>
      <c r="M272" t="str">
        <f>IF(acs2015_county_data[[#This Row],[PublicWork]]&gt;='Описательные характеристики'!$F$5,"да","нет")</f>
        <v>да</v>
      </c>
      <c r="N272" t="str">
        <f>IF(acs2015_county_data[[#This Row],[Unemployment]]&gt;='Описательные характеристики'!$I$5,"да","нет")</f>
        <v>да</v>
      </c>
    </row>
    <row r="273" spans="1:14" x14ac:dyDescent="0.35">
      <c r="A273">
        <v>8053</v>
      </c>
      <c r="B273" t="s">
        <v>236</v>
      </c>
      <c r="C273" t="s">
        <v>263</v>
      </c>
      <c r="D273" s="2">
        <v>874</v>
      </c>
      <c r="E273" s="2">
        <v>33816</v>
      </c>
      <c r="F273" s="3">
        <v>8.8000000000000007</v>
      </c>
      <c r="G273" s="3">
        <v>451</v>
      </c>
      <c r="H273" s="3">
        <v>60.1</v>
      </c>
      <c r="I273" s="3">
        <v>25.9</v>
      </c>
      <c r="J273" s="3">
        <v>14</v>
      </c>
      <c r="K273" s="3">
        <v>0</v>
      </c>
      <c r="L273" s="3">
        <v>3</v>
      </c>
      <c r="M273" t="str">
        <f>IF(acs2015_county_data[[#This Row],[PublicWork]]&gt;='Описательные характеристики'!$F$5,"да","нет")</f>
        <v>да</v>
      </c>
      <c r="N273" t="str">
        <f>IF(acs2015_county_data[[#This Row],[Unemployment]]&gt;='Описательные характеристики'!$I$5,"да","нет")</f>
        <v>нет</v>
      </c>
    </row>
    <row r="274" spans="1:14" x14ac:dyDescent="0.35">
      <c r="A274">
        <v>8055</v>
      </c>
      <c r="B274" t="s">
        <v>236</v>
      </c>
      <c r="C274" t="s">
        <v>264</v>
      </c>
      <c r="D274" s="2">
        <v>6502</v>
      </c>
      <c r="E274" s="2">
        <v>23467</v>
      </c>
      <c r="F274" s="3">
        <v>5.6</v>
      </c>
      <c r="G274" s="3">
        <v>2211</v>
      </c>
      <c r="H274" s="3">
        <v>63.2</v>
      </c>
      <c r="I274" s="3">
        <v>24.2</v>
      </c>
      <c r="J274" s="3">
        <v>12.2</v>
      </c>
      <c r="K274" s="3">
        <v>0.5</v>
      </c>
      <c r="L274" s="3">
        <v>15</v>
      </c>
      <c r="M274" t="str">
        <f>IF(acs2015_county_data[[#This Row],[PublicWork]]&gt;='Описательные характеристики'!$F$5,"да","нет")</f>
        <v>да</v>
      </c>
      <c r="N274" t="str">
        <f>IF(acs2015_county_data[[#This Row],[Unemployment]]&gt;='Описательные характеристики'!$I$5,"да","нет")</f>
        <v>да</v>
      </c>
    </row>
    <row r="275" spans="1:14" x14ac:dyDescent="0.35">
      <c r="A275">
        <v>8057</v>
      </c>
      <c r="B275" t="s">
        <v>236</v>
      </c>
      <c r="C275" t="s">
        <v>49</v>
      </c>
      <c r="D275" s="2">
        <v>1335</v>
      </c>
      <c r="E275" s="2">
        <v>27938</v>
      </c>
      <c r="F275" s="3">
        <v>16.2</v>
      </c>
      <c r="G275" s="3">
        <v>764</v>
      </c>
      <c r="H275" s="3">
        <v>66.2</v>
      </c>
      <c r="I275" s="3">
        <v>24.2</v>
      </c>
      <c r="J275" s="3">
        <v>8.6</v>
      </c>
      <c r="K275" s="3">
        <v>0.9</v>
      </c>
      <c r="L275" s="3">
        <v>1.5</v>
      </c>
      <c r="M275" t="str">
        <f>IF(acs2015_county_data[[#This Row],[PublicWork]]&gt;='Описательные характеристики'!$F$5,"да","нет")</f>
        <v>да</v>
      </c>
      <c r="N275" t="str">
        <f>IF(acs2015_county_data[[#This Row],[Unemployment]]&gt;='Описательные характеристики'!$I$5,"да","нет")</f>
        <v>нет</v>
      </c>
    </row>
    <row r="276" spans="1:14" x14ac:dyDescent="0.35">
      <c r="A276">
        <v>8059</v>
      </c>
      <c r="B276" t="s">
        <v>236</v>
      </c>
      <c r="C276" t="s">
        <v>50</v>
      </c>
      <c r="D276" s="2">
        <v>552344</v>
      </c>
      <c r="E276" s="2">
        <v>37065</v>
      </c>
      <c r="F276" s="3">
        <v>7</v>
      </c>
      <c r="G276" s="3">
        <v>294390</v>
      </c>
      <c r="H276" s="3">
        <v>79.8</v>
      </c>
      <c r="I276" s="3">
        <v>13.8</v>
      </c>
      <c r="J276" s="3">
        <v>6.2</v>
      </c>
      <c r="K276" s="3">
        <v>0.2</v>
      </c>
      <c r="L276" s="3">
        <v>5.9</v>
      </c>
      <c r="M276" t="str">
        <f>IF(acs2015_county_data[[#This Row],[PublicWork]]&gt;='Описательные характеристики'!$F$5,"да","нет")</f>
        <v>нет</v>
      </c>
      <c r="N276" t="str">
        <f>IF(acs2015_county_data[[#This Row],[Unemployment]]&gt;='Описательные характеристики'!$I$5,"да","нет")</f>
        <v>нет</v>
      </c>
    </row>
    <row r="277" spans="1:14" x14ac:dyDescent="0.35">
      <c r="A277">
        <v>8061</v>
      </c>
      <c r="B277" t="s">
        <v>236</v>
      </c>
      <c r="C277" t="s">
        <v>265</v>
      </c>
      <c r="D277" s="2">
        <v>1463</v>
      </c>
      <c r="E277" s="2">
        <v>22731</v>
      </c>
      <c r="F277" s="3">
        <v>8.8000000000000007</v>
      </c>
      <c r="G277" s="3">
        <v>723</v>
      </c>
      <c r="H277" s="3">
        <v>50.9</v>
      </c>
      <c r="I277" s="3">
        <v>35.299999999999997</v>
      </c>
      <c r="J277" s="3">
        <v>13.8</v>
      </c>
      <c r="K277" s="3">
        <v>0</v>
      </c>
      <c r="L277" s="3">
        <v>2</v>
      </c>
      <c r="M277" t="str">
        <f>IF(acs2015_county_data[[#This Row],[PublicWork]]&gt;='Описательные характеристики'!$F$5,"да","нет")</f>
        <v>да</v>
      </c>
      <c r="N277" t="str">
        <f>IF(acs2015_county_data[[#This Row],[Unemployment]]&gt;='Описательные характеристики'!$I$5,"да","нет")</f>
        <v>нет</v>
      </c>
    </row>
    <row r="278" spans="1:14" x14ac:dyDescent="0.35">
      <c r="A278">
        <v>8063</v>
      </c>
      <c r="B278" t="s">
        <v>236</v>
      </c>
      <c r="C278" t="s">
        <v>266</v>
      </c>
      <c r="D278" s="2">
        <v>7980</v>
      </c>
      <c r="E278" s="2">
        <v>21769</v>
      </c>
      <c r="F278" s="3">
        <v>7.6</v>
      </c>
      <c r="G278" s="3">
        <v>3421</v>
      </c>
      <c r="H278" s="3">
        <v>62.9</v>
      </c>
      <c r="I278" s="3">
        <v>22.9</v>
      </c>
      <c r="J278" s="3">
        <v>14</v>
      </c>
      <c r="K278" s="3">
        <v>0.2</v>
      </c>
      <c r="L278" s="3">
        <v>5.9</v>
      </c>
      <c r="M278" t="str">
        <f>IF(acs2015_county_data[[#This Row],[PublicWork]]&gt;='Описательные характеристики'!$F$5,"да","нет")</f>
        <v>да</v>
      </c>
      <c r="N278" t="str">
        <f>IF(acs2015_county_data[[#This Row],[Unemployment]]&gt;='Описательные характеристики'!$I$5,"да","нет")</f>
        <v>нет</v>
      </c>
    </row>
    <row r="279" spans="1:14" x14ac:dyDescent="0.35">
      <c r="A279">
        <v>8065</v>
      </c>
      <c r="B279" t="s">
        <v>236</v>
      </c>
      <c r="C279" t="s">
        <v>196</v>
      </c>
      <c r="D279" s="2">
        <v>7362</v>
      </c>
      <c r="E279" s="2">
        <v>24399</v>
      </c>
      <c r="F279" s="3">
        <v>9.1</v>
      </c>
      <c r="G279" s="3">
        <v>4126</v>
      </c>
      <c r="H279" s="3">
        <v>72.5</v>
      </c>
      <c r="I279" s="3">
        <v>19.600000000000001</v>
      </c>
      <c r="J279" s="3">
        <v>7.9</v>
      </c>
      <c r="K279" s="3">
        <v>0</v>
      </c>
      <c r="L279" s="3">
        <v>5.7</v>
      </c>
      <c r="M279" t="str">
        <f>IF(acs2015_county_data[[#This Row],[PublicWork]]&gt;='Описательные характеристики'!$F$5,"да","нет")</f>
        <v>да</v>
      </c>
      <c r="N279" t="str">
        <f>IF(acs2015_county_data[[#This Row],[Unemployment]]&gt;='Описательные характеристики'!$I$5,"да","нет")</f>
        <v>нет</v>
      </c>
    </row>
    <row r="280" spans="1:14" x14ac:dyDescent="0.35">
      <c r="A280">
        <v>8067</v>
      </c>
      <c r="B280" t="s">
        <v>236</v>
      </c>
      <c r="C280" t="s">
        <v>267</v>
      </c>
      <c r="D280" s="2">
        <v>53182</v>
      </c>
      <c r="E280" s="2">
        <v>31822</v>
      </c>
      <c r="F280" s="3">
        <v>6.1</v>
      </c>
      <c r="G280" s="3">
        <v>27965</v>
      </c>
      <c r="H280" s="3">
        <v>73</v>
      </c>
      <c r="I280" s="3">
        <v>17.7</v>
      </c>
      <c r="J280" s="3">
        <v>9.1</v>
      </c>
      <c r="K280" s="3">
        <v>0.2</v>
      </c>
      <c r="L280" s="3">
        <v>5.2</v>
      </c>
      <c r="M280" t="str">
        <f>IF(acs2015_county_data[[#This Row],[PublicWork]]&gt;='Описательные характеристики'!$F$5,"да","нет")</f>
        <v>да</v>
      </c>
      <c r="N280" t="str">
        <f>IF(acs2015_county_data[[#This Row],[Unemployment]]&gt;='Описательные характеристики'!$I$5,"да","нет")</f>
        <v>нет</v>
      </c>
    </row>
    <row r="281" spans="1:14" x14ac:dyDescent="0.35">
      <c r="A281">
        <v>8069</v>
      </c>
      <c r="B281" t="s">
        <v>236</v>
      </c>
      <c r="C281" t="s">
        <v>268</v>
      </c>
      <c r="D281" s="2">
        <v>318227</v>
      </c>
      <c r="E281" s="2">
        <v>31304</v>
      </c>
      <c r="F281" s="3">
        <v>7.2</v>
      </c>
      <c r="G281" s="3">
        <v>164011</v>
      </c>
      <c r="H281" s="3">
        <v>76</v>
      </c>
      <c r="I281" s="3">
        <v>17.100000000000001</v>
      </c>
      <c r="J281" s="3">
        <v>6.7</v>
      </c>
      <c r="K281" s="3">
        <v>0.2</v>
      </c>
      <c r="L281" s="3">
        <v>6.7</v>
      </c>
      <c r="M281" t="str">
        <f>IF(acs2015_county_data[[#This Row],[PublicWork]]&gt;='Описательные характеристики'!$F$5,"да","нет")</f>
        <v>да</v>
      </c>
      <c r="N281" t="str">
        <f>IF(acs2015_county_data[[#This Row],[Unemployment]]&gt;='Описательные характеристики'!$I$5,"да","нет")</f>
        <v>нет</v>
      </c>
    </row>
    <row r="282" spans="1:14" x14ac:dyDescent="0.35">
      <c r="A282">
        <v>8071</v>
      </c>
      <c r="B282" t="s">
        <v>236</v>
      </c>
      <c r="C282" t="s">
        <v>269</v>
      </c>
      <c r="D282" s="2">
        <v>14503</v>
      </c>
      <c r="E282" s="2">
        <v>22935</v>
      </c>
      <c r="F282" s="3">
        <v>4.8</v>
      </c>
      <c r="G282" s="3">
        <v>5903</v>
      </c>
      <c r="H282" s="3">
        <v>67.3</v>
      </c>
      <c r="I282" s="3">
        <v>23.5</v>
      </c>
      <c r="J282" s="3">
        <v>9</v>
      </c>
      <c r="K282" s="3">
        <v>0.1</v>
      </c>
      <c r="L282" s="3">
        <v>9.1999999999999993</v>
      </c>
      <c r="M282" t="str">
        <f>IF(acs2015_county_data[[#This Row],[PublicWork]]&gt;='Описательные характеристики'!$F$5,"да","нет")</f>
        <v>да</v>
      </c>
      <c r="N282" t="str">
        <f>IF(acs2015_county_data[[#This Row],[Unemployment]]&gt;='Описательные характеристики'!$I$5,"да","нет")</f>
        <v>да</v>
      </c>
    </row>
    <row r="283" spans="1:14" x14ac:dyDescent="0.35">
      <c r="A283">
        <v>8073</v>
      </c>
      <c r="B283" t="s">
        <v>236</v>
      </c>
      <c r="C283" t="s">
        <v>152</v>
      </c>
      <c r="D283" s="2">
        <v>5478</v>
      </c>
      <c r="E283" s="2">
        <v>15203</v>
      </c>
      <c r="F283" s="3">
        <v>10.3</v>
      </c>
      <c r="G283" s="3">
        <v>1488</v>
      </c>
      <c r="H283" s="3">
        <v>54.7</v>
      </c>
      <c r="I283" s="3">
        <v>27.6</v>
      </c>
      <c r="J283" s="3">
        <v>16.399999999999999</v>
      </c>
      <c r="K283" s="3">
        <v>1.3</v>
      </c>
      <c r="L283" s="3">
        <v>6.3</v>
      </c>
      <c r="M283" t="str">
        <f>IF(acs2015_county_data[[#This Row],[PublicWork]]&gt;='Описательные характеристики'!$F$5,"да","нет")</f>
        <v>да</v>
      </c>
      <c r="N283" t="str">
        <f>IF(acs2015_county_data[[#This Row],[Unemployment]]&gt;='Описательные характеристики'!$I$5,"да","нет")</f>
        <v>нет</v>
      </c>
    </row>
    <row r="284" spans="1:14" x14ac:dyDescent="0.35">
      <c r="A284">
        <v>8075</v>
      </c>
      <c r="B284" t="s">
        <v>236</v>
      </c>
      <c r="C284" t="s">
        <v>154</v>
      </c>
      <c r="D284" s="2">
        <v>21928</v>
      </c>
      <c r="E284" s="2">
        <v>23916</v>
      </c>
      <c r="F284" s="3">
        <v>4.7</v>
      </c>
      <c r="G284" s="3">
        <v>10407</v>
      </c>
      <c r="H284" s="3">
        <v>72.900000000000006</v>
      </c>
      <c r="I284" s="3">
        <v>18.899999999999999</v>
      </c>
      <c r="J284" s="3">
        <v>8</v>
      </c>
      <c r="K284" s="3">
        <v>0.1</v>
      </c>
      <c r="L284" s="3">
        <v>9</v>
      </c>
      <c r="M284" t="str">
        <f>IF(acs2015_county_data[[#This Row],[PublicWork]]&gt;='Описательные характеристики'!$F$5,"да","нет")</f>
        <v>да</v>
      </c>
      <c r="N284" t="str">
        <f>IF(acs2015_county_data[[#This Row],[Unemployment]]&gt;='Описательные характеристики'!$I$5,"да","нет")</f>
        <v>да</v>
      </c>
    </row>
    <row r="285" spans="1:14" x14ac:dyDescent="0.35">
      <c r="A285">
        <v>8077</v>
      </c>
      <c r="B285" t="s">
        <v>236</v>
      </c>
      <c r="C285" t="s">
        <v>270</v>
      </c>
      <c r="D285" s="2">
        <v>147834</v>
      </c>
      <c r="E285" s="2">
        <v>26569</v>
      </c>
      <c r="F285" s="3">
        <v>5.0999999999999996</v>
      </c>
      <c r="G285" s="3">
        <v>67956</v>
      </c>
      <c r="H285" s="3">
        <v>80</v>
      </c>
      <c r="I285" s="3">
        <v>13.3</v>
      </c>
      <c r="J285" s="3">
        <v>6.3</v>
      </c>
      <c r="K285" s="3">
        <v>0.4</v>
      </c>
      <c r="L285" s="3">
        <v>8.6999999999999993</v>
      </c>
      <c r="M285" t="str">
        <f>IF(acs2015_county_data[[#This Row],[PublicWork]]&gt;='Описательные характеристики'!$F$5,"да","нет")</f>
        <v>нет</v>
      </c>
      <c r="N285" t="str">
        <f>IF(acs2015_county_data[[#This Row],[Unemployment]]&gt;='Описательные характеристики'!$I$5,"да","нет")</f>
        <v>да</v>
      </c>
    </row>
    <row r="286" spans="1:14" x14ac:dyDescent="0.35">
      <c r="A286">
        <v>8079</v>
      </c>
      <c r="B286" t="s">
        <v>236</v>
      </c>
      <c r="C286" t="s">
        <v>271</v>
      </c>
      <c r="D286" s="2">
        <v>733</v>
      </c>
      <c r="E286" s="2">
        <v>32271</v>
      </c>
      <c r="F286" s="3">
        <v>18.8</v>
      </c>
      <c r="G286" s="3">
        <v>309</v>
      </c>
      <c r="H286" s="3">
        <v>68.599999999999994</v>
      </c>
      <c r="I286" s="3">
        <v>18.8</v>
      </c>
      <c r="J286" s="3">
        <v>12.6</v>
      </c>
      <c r="K286" s="3">
        <v>0</v>
      </c>
      <c r="L286" s="3">
        <v>1.6</v>
      </c>
      <c r="M286" t="str">
        <f>IF(acs2015_county_data[[#This Row],[PublicWork]]&gt;='Описательные характеристики'!$F$5,"да","нет")</f>
        <v>да</v>
      </c>
      <c r="N286" t="str">
        <f>IF(acs2015_county_data[[#This Row],[Unemployment]]&gt;='Описательные характеристики'!$I$5,"да","нет")</f>
        <v>нет</v>
      </c>
    </row>
    <row r="287" spans="1:14" x14ac:dyDescent="0.35">
      <c r="A287">
        <v>8081</v>
      </c>
      <c r="B287" t="s">
        <v>236</v>
      </c>
      <c r="C287" t="s">
        <v>272</v>
      </c>
      <c r="D287" s="2">
        <v>13117</v>
      </c>
      <c r="E287" s="2">
        <v>24624</v>
      </c>
      <c r="F287" s="3">
        <v>4.3</v>
      </c>
      <c r="G287" s="3">
        <v>6343</v>
      </c>
      <c r="H287" s="3">
        <v>78.2</v>
      </c>
      <c r="I287" s="3">
        <v>13.5</v>
      </c>
      <c r="J287" s="3">
        <v>8</v>
      </c>
      <c r="K287" s="3">
        <v>0.3</v>
      </c>
      <c r="L287" s="3">
        <v>5.9</v>
      </c>
      <c r="M287" t="str">
        <f>IF(acs2015_county_data[[#This Row],[PublicWork]]&gt;='Описательные характеристики'!$F$5,"да","нет")</f>
        <v>нет</v>
      </c>
      <c r="N287" t="str">
        <f>IF(acs2015_county_data[[#This Row],[Unemployment]]&gt;='Описательные характеристики'!$I$5,"да","нет")</f>
        <v>нет</v>
      </c>
    </row>
    <row r="288" spans="1:14" x14ac:dyDescent="0.35">
      <c r="A288">
        <v>8083</v>
      </c>
      <c r="B288" t="s">
        <v>236</v>
      </c>
      <c r="C288" t="s">
        <v>273</v>
      </c>
      <c r="D288" s="2">
        <v>25700</v>
      </c>
      <c r="E288" s="2">
        <v>23470</v>
      </c>
      <c r="F288" s="3">
        <v>9.6999999999999993</v>
      </c>
      <c r="G288" s="3">
        <v>11075</v>
      </c>
      <c r="H288" s="3">
        <v>68</v>
      </c>
      <c r="I288" s="3">
        <v>20.5</v>
      </c>
      <c r="J288" s="3">
        <v>10.9</v>
      </c>
      <c r="K288" s="3">
        <v>0.7</v>
      </c>
      <c r="L288" s="3">
        <v>9.5</v>
      </c>
      <c r="M288" t="str">
        <f>IF(acs2015_county_data[[#This Row],[PublicWork]]&gt;='Описательные характеристики'!$F$5,"да","нет")</f>
        <v>да</v>
      </c>
      <c r="N288" t="str">
        <f>IF(acs2015_county_data[[#This Row],[Unemployment]]&gt;='Описательные характеристики'!$I$5,"да","нет")</f>
        <v>да</v>
      </c>
    </row>
    <row r="289" spans="1:14" x14ac:dyDescent="0.35">
      <c r="A289">
        <v>8085</v>
      </c>
      <c r="B289" t="s">
        <v>236</v>
      </c>
      <c r="C289" t="s">
        <v>274</v>
      </c>
      <c r="D289" s="2">
        <v>40815</v>
      </c>
      <c r="E289" s="2">
        <v>23144</v>
      </c>
      <c r="F289" s="3">
        <v>5.2</v>
      </c>
      <c r="G289" s="3">
        <v>16832</v>
      </c>
      <c r="H289" s="3">
        <v>73.3</v>
      </c>
      <c r="I289" s="3">
        <v>15.8</v>
      </c>
      <c r="J289" s="3">
        <v>10.7</v>
      </c>
      <c r="K289" s="3">
        <v>0.2</v>
      </c>
      <c r="L289" s="3">
        <v>10.199999999999999</v>
      </c>
      <c r="M289" t="str">
        <f>IF(acs2015_county_data[[#This Row],[PublicWork]]&gt;='Описательные характеристики'!$F$5,"да","нет")</f>
        <v>нет</v>
      </c>
      <c r="N289" t="str">
        <f>IF(acs2015_county_data[[#This Row],[Unemployment]]&gt;='Описательные характеристики'!$I$5,"да","нет")</f>
        <v>да</v>
      </c>
    </row>
    <row r="290" spans="1:14" x14ac:dyDescent="0.35">
      <c r="A290">
        <v>8087</v>
      </c>
      <c r="B290" t="s">
        <v>236</v>
      </c>
      <c r="C290" t="s">
        <v>63</v>
      </c>
      <c r="D290" s="2">
        <v>28359</v>
      </c>
      <c r="E290" s="2">
        <v>22101</v>
      </c>
      <c r="F290" s="3">
        <v>4</v>
      </c>
      <c r="G290" s="3">
        <v>13264</v>
      </c>
      <c r="H290" s="3">
        <v>74.900000000000006</v>
      </c>
      <c r="I290" s="3">
        <v>17.5</v>
      </c>
      <c r="J290" s="3">
        <v>7.3</v>
      </c>
      <c r="K290" s="3">
        <v>0.3</v>
      </c>
      <c r="L290" s="3">
        <v>6.2</v>
      </c>
      <c r="M290" t="str">
        <f>IF(acs2015_county_data[[#This Row],[PublicWork]]&gt;='Описательные характеристики'!$F$5,"да","нет")</f>
        <v>да</v>
      </c>
      <c r="N290" t="str">
        <f>IF(acs2015_county_data[[#This Row],[Unemployment]]&gt;='Описательные характеристики'!$I$5,"да","нет")</f>
        <v>нет</v>
      </c>
    </row>
    <row r="291" spans="1:14" x14ac:dyDescent="0.35">
      <c r="A291">
        <v>8089</v>
      </c>
      <c r="B291" t="s">
        <v>236</v>
      </c>
      <c r="C291" t="s">
        <v>275</v>
      </c>
      <c r="D291" s="2">
        <v>18572</v>
      </c>
      <c r="E291" s="2">
        <v>19228</v>
      </c>
      <c r="F291" s="3">
        <v>6.8</v>
      </c>
      <c r="G291" s="3">
        <v>7314</v>
      </c>
      <c r="H291" s="3">
        <v>64.8</v>
      </c>
      <c r="I291" s="3">
        <v>24</v>
      </c>
      <c r="J291" s="3">
        <v>11</v>
      </c>
      <c r="K291" s="3">
        <v>0.2</v>
      </c>
      <c r="L291" s="3">
        <v>10.7</v>
      </c>
      <c r="M291" t="str">
        <f>IF(acs2015_county_data[[#This Row],[PublicWork]]&gt;='Описательные характеристики'!$F$5,"да","нет")</f>
        <v>да</v>
      </c>
      <c r="N291" t="str">
        <f>IF(acs2015_county_data[[#This Row],[Unemployment]]&gt;='Описательные характеристики'!$I$5,"да","нет")</f>
        <v>да</v>
      </c>
    </row>
    <row r="292" spans="1:14" x14ac:dyDescent="0.35">
      <c r="A292">
        <v>8091</v>
      </c>
      <c r="B292" t="s">
        <v>236</v>
      </c>
      <c r="C292" t="s">
        <v>276</v>
      </c>
      <c r="D292" s="2">
        <v>4580</v>
      </c>
      <c r="E292" s="2">
        <v>33392</v>
      </c>
      <c r="F292" s="3">
        <v>11.3</v>
      </c>
      <c r="G292" s="3">
        <v>2261</v>
      </c>
      <c r="H292" s="3">
        <v>66.3</v>
      </c>
      <c r="I292" s="3">
        <v>21.7</v>
      </c>
      <c r="J292" s="3">
        <v>11.5</v>
      </c>
      <c r="K292" s="3">
        <v>0.5</v>
      </c>
      <c r="L292" s="3">
        <v>6.7</v>
      </c>
      <c r="M292" t="str">
        <f>IF(acs2015_county_data[[#This Row],[PublicWork]]&gt;='Описательные характеристики'!$F$5,"да","нет")</f>
        <v>да</v>
      </c>
      <c r="N292" t="str">
        <f>IF(acs2015_county_data[[#This Row],[Unemployment]]&gt;='Описательные характеристики'!$I$5,"да","нет")</f>
        <v>нет</v>
      </c>
    </row>
    <row r="293" spans="1:14" x14ac:dyDescent="0.35">
      <c r="A293">
        <v>8093</v>
      </c>
      <c r="B293" t="s">
        <v>236</v>
      </c>
      <c r="C293" t="s">
        <v>277</v>
      </c>
      <c r="D293" s="2">
        <v>16189</v>
      </c>
      <c r="E293" s="2">
        <v>31734</v>
      </c>
      <c r="F293" s="3">
        <v>11.1</v>
      </c>
      <c r="G293" s="3">
        <v>8822</v>
      </c>
      <c r="H293" s="3">
        <v>70.400000000000006</v>
      </c>
      <c r="I293" s="3">
        <v>17.5</v>
      </c>
      <c r="J293" s="3">
        <v>10.8</v>
      </c>
      <c r="K293" s="3">
        <v>1.2</v>
      </c>
      <c r="L293" s="3">
        <v>5.6</v>
      </c>
      <c r="M293" t="str">
        <f>IF(acs2015_county_data[[#This Row],[PublicWork]]&gt;='Описательные характеристики'!$F$5,"да","нет")</f>
        <v>да</v>
      </c>
      <c r="N293" t="str">
        <f>IF(acs2015_county_data[[#This Row],[Unemployment]]&gt;='Описательные характеристики'!$I$5,"да","нет")</f>
        <v>нет</v>
      </c>
    </row>
    <row r="294" spans="1:14" x14ac:dyDescent="0.35">
      <c r="A294">
        <v>8095</v>
      </c>
      <c r="B294" t="s">
        <v>236</v>
      </c>
      <c r="C294" t="s">
        <v>162</v>
      </c>
      <c r="D294" s="2">
        <v>4371</v>
      </c>
      <c r="E294" s="2">
        <v>24967</v>
      </c>
      <c r="F294" s="3">
        <v>3</v>
      </c>
      <c r="G294" s="3">
        <v>1984</v>
      </c>
      <c r="H294" s="3">
        <v>70.099999999999994</v>
      </c>
      <c r="I294" s="3">
        <v>16.2</v>
      </c>
      <c r="J294" s="3">
        <v>13.3</v>
      </c>
      <c r="K294" s="3">
        <v>0.5</v>
      </c>
      <c r="L294" s="3">
        <v>5.3</v>
      </c>
      <c r="M294" t="str">
        <f>IF(acs2015_county_data[[#This Row],[PublicWork]]&gt;='Описательные характеристики'!$F$5,"да","нет")</f>
        <v>да</v>
      </c>
      <c r="N294" t="str">
        <f>IF(acs2015_county_data[[#This Row],[Unemployment]]&gt;='Описательные характеристики'!$I$5,"да","нет")</f>
        <v>нет</v>
      </c>
    </row>
    <row r="295" spans="1:14" x14ac:dyDescent="0.35">
      <c r="A295">
        <v>8097</v>
      </c>
      <c r="B295" t="s">
        <v>236</v>
      </c>
      <c r="C295" t="s">
        <v>278</v>
      </c>
      <c r="D295" s="2">
        <v>17420</v>
      </c>
      <c r="E295" s="2">
        <v>55519</v>
      </c>
      <c r="F295" s="3">
        <v>10.4</v>
      </c>
      <c r="G295" s="3">
        <v>10290</v>
      </c>
      <c r="H295" s="3">
        <v>80.5</v>
      </c>
      <c r="I295" s="3">
        <v>9.4</v>
      </c>
      <c r="J295" s="3">
        <v>9.8000000000000007</v>
      </c>
      <c r="K295" s="3">
        <v>0.2</v>
      </c>
      <c r="L295" s="3">
        <v>7.7</v>
      </c>
      <c r="M295" t="str">
        <f>IF(acs2015_county_data[[#This Row],[PublicWork]]&gt;='Описательные характеристики'!$F$5,"да","нет")</f>
        <v>нет</v>
      </c>
      <c r="N295" t="str">
        <f>IF(acs2015_county_data[[#This Row],[Unemployment]]&gt;='Описательные характеристики'!$I$5,"да","нет")</f>
        <v>да</v>
      </c>
    </row>
    <row r="296" spans="1:14" x14ac:dyDescent="0.35">
      <c r="A296">
        <v>8099</v>
      </c>
      <c r="B296" t="s">
        <v>236</v>
      </c>
      <c r="C296" t="s">
        <v>279</v>
      </c>
      <c r="D296" s="2">
        <v>12235</v>
      </c>
      <c r="E296" s="2">
        <v>20087</v>
      </c>
      <c r="F296" s="3">
        <v>6.7</v>
      </c>
      <c r="G296" s="3">
        <v>5488</v>
      </c>
      <c r="H296" s="3">
        <v>67.5</v>
      </c>
      <c r="I296" s="3">
        <v>24.1</v>
      </c>
      <c r="J296" s="3">
        <v>8.1999999999999993</v>
      </c>
      <c r="K296" s="3">
        <v>0.1</v>
      </c>
      <c r="L296" s="3">
        <v>9.6999999999999993</v>
      </c>
      <c r="M296" t="str">
        <f>IF(acs2015_county_data[[#This Row],[PublicWork]]&gt;='Описательные характеристики'!$F$5,"да","нет")</f>
        <v>да</v>
      </c>
      <c r="N296" t="str">
        <f>IF(acs2015_county_data[[#This Row],[Unemployment]]&gt;='Описательные характеристики'!$I$5,"да","нет")</f>
        <v>да</v>
      </c>
    </row>
    <row r="297" spans="1:14" x14ac:dyDescent="0.35">
      <c r="A297">
        <v>8101</v>
      </c>
      <c r="B297" t="s">
        <v>236</v>
      </c>
      <c r="C297" t="s">
        <v>280</v>
      </c>
      <c r="D297" s="2">
        <v>161519</v>
      </c>
      <c r="E297" s="2">
        <v>22191</v>
      </c>
      <c r="F297" s="3">
        <v>3</v>
      </c>
      <c r="G297" s="3">
        <v>65300</v>
      </c>
      <c r="H297" s="3">
        <v>76.599999999999994</v>
      </c>
      <c r="I297" s="3">
        <v>18.7</v>
      </c>
      <c r="J297" s="3">
        <v>4.5</v>
      </c>
      <c r="K297" s="3">
        <v>0.2</v>
      </c>
      <c r="L297" s="3">
        <v>10.8</v>
      </c>
      <c r="M297" t="str">
        <f>IF(acs2015_county_data[[#This Row],[PublicWork]]&gt;='Описательные характеристики'!$F$5,"да","нет")</f>
        <v>да</v>
      </c>
      <c r="N297" t="str">
        <f>IF(acs2015_county_data[[#This Row],[Unemployment]]&gt;='Описательные характеристики'!$I$5,"да","нет")</f>
        <v>да</v>
      </c>
    </row>
    <row r="298" spans="1:14" x14ac:dyDescent="0.35">
      <c r="A298">
        <v>8103</v>
      </c>
      <c r="B298" t="s">
        <v>236</v>
      </c>
      <c r="C298" t="s">
        <v>281</v>
      </c>
      <c r="D298" s="2">
        <v>6712</v>
      </c>
      <c r="E298" s="2">
        <v>27274</v>
      </c>
      <c r="F298" s="3">
        <v>9.9</v>
      </c>
      <c r="G298" s="3">
        <v>3389</v>
      </c>
      <c r="H298" s="3">
        <v>74.5</v>
      </c>
      <c r="I298" s="3">
        <v>19.3</v>
      </c>
      <c r="J298" s="3">
        <v>6</v>
      </c>
      <c r="K298" s="3">
        <v>0.2</v>
      </c>
      <c r="L298" s="3">
        <v>4.2</v>
      </c>
      <c r="M298" t="str">
        <f>IF(acs2015_county_data[[#This Row],[PublicWork]]&gt;='Описательные характеристики'!$F$5,"да","нет")</f>
        <v>да</v>
      </c>
      <c r="N298" t="str">
        <f>IF(acs2015_county_data[[#This Row],[Unemployment]]&gt;='Описательные характеристики'!$I$5,"да","нет")</f>
        <v>нет</v>
      </c>
    </row>
    <row r="299" spans="1:14" x14ac:dyDescent="0.35">
      <c r="A299">
        <v>8105</v>
      </c>
      <c r="B299" t="s">
        <v>236</v>
      </c>
      <c r="C299" t="s">
        <v>282</v>
      </c>
      <c r="D299" s="2">
        <v>11745</v>
      </c>
      <c r="E299" s="2">
        <v>22269</v>
      </c>
      <c r="F299" s="3">
        <v>4.4000000000000004</v>
      </c>
      <c r="G299" s="3">
        <v>5093</v>
      </c>
      <c r="H299" s="3">
        <v>69.900000000000006</v>
      </c>
      <c r="I299" s="3">
        <v>21</v>
      </c>
      <c r="J299" s="3">
        <v>8.6</v>
      </c>
      <c r="K299" s="3">
        <v>0.5</v>
      </c>
      <c r="L299" s="3">
        <v>8.1</v>
      </c>
      <c r="M299" t="str">
        <f>IF(acs2015_county_data[[#This Row],[PublicWork]]&gt;='Описательные характеристики'!$F$5,"да","нет")</f>
        <v>да</v>
      </c>
      <c r="N299" t="str">
        <f>IF(acs2015_county_data[[#This Row],[Unemployment]]&gt;='Описательные характеристики'!$I$5,"да","нет")</f>
        <v>да</v>
      </c>
    </row>
    <row r="300" spans="1:14" x14ac:dyDescent="0.35">
      <c r="A300">
        <v>8107</v>
      </c>
      <c r="B300" t="s">
        <v>236</v>
      </c>
      <c r="C300" t="s">
        <v>283</v>
      </c>
      <c r="D300" s="2">
        <v>23606</v>
      </c>
      <c r="E300" s="2">
        <v>36472</v>
      </c>
      <c r="F300" s="3">
        <v>8.1999999999999993</v>
      </c>
      <c r="G300" s="3">
        <v>14060</v>
      </c>
      <c r="H300" s="3">
        <v>83.3</v>
      </c>
      <c r="I300" s="3">
        <v>9.1999999999999993</v>
      </c>
      <c r="J300" s="3">
        <v>7.4</v>
      </c>
      <c r="K300" s="3">
        <v>0.1</v>
      </c>
      <c r="L300" s="3">
        <v>4</v>
      </c>
      <c r="M300" t="str">
        <f>IF(acs2015_county_data[[#This Row],[PublicWork]]&gt;='Описательные характеристики'!$F$5,"да","нет")</f>
        <v>нет</v>
      </c>
      <c r="N300" t="str">
        <f>IF(acs2015_county_data[[#This Row],[Unemployment]]&gt;='Описательные характеристики'!$I$5,"да","нет")</f>
        <v>нет</v>
      </c>
    </row>
    <row r="301" spans="1:14" x14ac:dyDescent="0.35">
      <c r="A301">
        <v>8109</v>
      </c>
      <c r="B301" t="s">
        <v>236</v>
      </c>
      <c r="C301" t="s">
        <v>284</v>
      </c>
      <c r="D301" s="2">
        <v>6238</v>
      </c>
      <c r="E301" s="2">
        <v>21711</v>
      </c>
      <c r="F301" s="3">
        <v>6.9</v>
      </c>
      <c r="G301" s="3">
        <v>2452</v>
      </c>
      <c r="H301" s="3">
        <v>62.8</v>
      </c>
      <c r="I301" s="3">
        <v>25</v>
      </c>
      <c r="J301" s="3">
        <v>11</v>
      </c>
      <c r="K301" s="3">
        <v>1.2</v>
      </c>
      <c r="L301" s="3">
        <v>9.6999999999999993</v>
      </c>
      <c r="M301" t="str">
        <f>IF(acs2015_county_data[[#This Row],[PublicWork]]&gt;='Описательные характеристики'!$F$5,"да","нет")</f>
        <v>да</v>
      </c>
      <c r="N301" t="str">
        <f>IF(acs2015_county_data[[#This Row],[Unemployment]]&gt;='Описательные характеристики'!$I$5,"да","нет")</f>
        <v>да</v>
      </c>
    </row>
    <row r="302" spans="1:14" x14ac:dyDescent="0.35">
      <c r="A302">
        <v>8111</v>
      </c>
      <c r="B302" t="s">
        <v>236</v>
      </c>
      <c r="C302" t="s">
        <v>285</v>
      </c>
      <c r="D302" s="2">
        <v>606</v>
      </c>
      <c r="E302" s="2">
        <v>23143</v>
      </c>
      <c r="F302" s="3">
        <v>4.7</v>
      </c>
      <c r="G302" s="3">
        <v>337</v>
      </c>
      <c r="H302" s="3">
        <v>80.099999999999994</v>
      </c>
      <c r="I302" s="3">
        <v>11.3</v>
      </c>
      <c r="J302" s="3">
        <v>8</v>
      </c>
      <c r="K302" s="3">
        <v>0.6</v>
      </c>
      <c r="L302" s="3">
        <v>13.8</v>
      </c>
      <c r="M302" t="str">
        <f>IF(acs2015_county_data[[#This Row],[PublicWork]]&gt;='Описательные характеристики'!$F$5,"да","нет")</f>
        <v>нет</v>
      </c>
      <c r="N302" t="str">
        <f>IF(acs2015_county_data[[#This Row],[Unemployment]]&gt;='Описательные характеристики'!$I$5,"да","нет")</f>
        <v>да</v>
      </c>
    </row>
    <row r="303" spans="1:14" x14ac:dyDescent="0.35">
      <c r="A303">
        <v>8113</v>
      </c>
      <c r="B303" t="s">
        <v>236</v>
      </c>
      <c r="C303" t="s">
        <v>286</v>
      </c>
      <c r="D303" s="2">
        <v>7676</v>
      </c>
      <c r="E303" s="2">
        <v>40149</v>
      </c>
      <c r="F303" s="3">
        <v>13.2</v>
      </c>
      <c r="G303" s="3">
        <v>4482</v>
      </c>
      <c r="H303" s="3">
        <v>75.5</v>
      </c>
      <c r="I303" s="3">
        <v>12</v>
      </c>
      <c r="J303" s="3">
        <v>12</v>
      </c>
      <c r="K303" s="3">
        <v>0.5</v>
      </c>
      <c r="L303" s="3">
        <v>5.8</v>
      </c>
      <c r="M303" t="str">
        <f>IF(acs2015_county_data[[#This Row],[PublicWork]]&gt;='Описательные характеристики'!$F$5,"да","нет")</f>
        <v>нет</v>
      </c>
      <c r="N303" t="str">
        <f>IF(acs2015_county_data[[#This Row],[Unemployment]]&gt;='Описательные характеристики'!$I$5,"да","нет")</f>
        <v>нет</v>
      </c>
    </row>
    <row r="304" spans="1:14" x14ac:dyDescent="0.35">
      <c r="A304">
        <v>8115</v>
      </c>
      <c r="B304" t="s">
        <v>236</v>
      </c>
      <c r="C304" t="s">
        <v>287</v>
      </c>
      <c r="D304" s="2">
        <v>2365</v>
      </c>
      <c r="E304" s="2">
        <v>22857</v>
      </c>
      <c r="F304" s="3">
        <v>5.8</v>
      </c>
      <c r="G304" s="3">
        <v>1028</v>
      </c>
      <c r="H304" s="3">
        <v>66.2</v>
      </c>
      <c r="I304" s="3">
        <v>21.2</v>
      </c>
      <c r="J304" s="3">
        <v>12</v>
      </c>
      <c r="K304" s="3">
        <v>0.6</v>
      </c>
      <c r="L304" s="3">
        <v>6.4</v>
      </c>
      <c r="M304" t="str">
        <f>IF(acs2015_county_data[[#This Row],[PublicWork]]&gt;='Описательные характеристики'!$F$5,"да","нет")</f>
        <v>да</v>
      </c>
      <c r="N304" t="str">
        <f>IF(acs2015_county_data[[#This Row],[Unemployment]]&gt;='Описательные характеристики'!$I$5,"да","нет")</f>
        <v>нет</v>
      </c>
    </row>
    <row r="305" spans="1:14" x14ac:dyDescent="0.35">
      <c r="A305">
        <v>8117</v>
      </c>
      <c r="B305" t="s">
        <v>236</v>
      </c>
      <c r="C305" t="s">
        <v>288</v>
      </c>
      <c r="D305" s="2">
        <v>28940</v>
      </c>
      <c r="E305" s="2">
        <v>35753</v>
      </c>
      <c r="F305" s="3">
        <v>8</v>
      </c>
      <c r="G305" s="3">
        <v>18171</v>
      </c>
      <c r="H305" s="3">
        <v>81.5</v>
      </c>
      <c r="I305" s="3">
        <v>10.4</v>
      </c>
      <c r="J305" s="3">
        <v>8.1</v>
      </c>
      <c r="K305" s="3">
        <v>0</v>
      </c>
      <c r="L305" s="3">
        <v>4.7</v>
      </c>
      <c r="M305" t="str">
        <f>IF(acs2015_county_data[[#This Row],[PublicWork]]&gt;='Описательные характеристики'!$F$5,"да","нет")</f>
        <v>нет</v>
      </c>
      <c r="N305" t="str">
        <f>IF(acs2015_county_data[[#This Row],[Unemployment]]&gt;='Описательные характеристики'!$I$5,"да","нет")</f>
        <v>нет</v>
      </c>
    </row>
    <row r="306" spans="1:14" x14ac:dyDescent="0.35">
      <c r="A306">
        <v>8119</v>
      </c>
      <c r="B306" t="s">
        <v>236</v>
      </c>
      <c r="C306" t="s">
        <v>289</v>
      </c>
      <c r="D306" s="2">
        <v>23340</v>
      </c>
      <c r="E306" s="2">
        <v>32707</v>
      </c>
      <c r="F306" s="3">
        <v>7.8</v>
      </c>
      <c r="G306" s="3">
        <v>11501</v>
      </c>
      <c r="H306" s="3">
        <v>69.8</v>
      </c>
      <c r="I306" s="3">
        <v>22.5</v>
      </c>
      <c r="J306" s="3">
        <v>7.4</v>
      </c>
      <c r="K306" s="3">
        <v>0.3</v>
      </c>
      <c r="L306" s="3">
        <v>8.1999999999999993</v>
      </c>
      <c r="M306" t="str">
        <f>IF(acs2015_county_data[[#This Row],[PublicWork]]&gt;='Описательные характеристики'!$F$5,"да","нет")</f>
        <v>да</v>
      </c>
      <c r="N306" t="str">
        <f>IF(acs2015_county_data[[#This Row],[Unemployment]]&gt;='Описательные характеристики'!$I$5,"да","нет")</f>
        <v>да</v>
      </c>
    </row>
    <row r="307" spans="1:14" x14ac:dyDescent="0.35">
      <c r="A307">
        <v>8121</v>
      </c>
      <c r="B307" t="s">
        <v>236</v>
      </c>
      <c r="C307" t="s">
        <v>75</v>
      </c>
      <c r="D307" s="2">
        <v>4795</v>
      </c>
      <c r="E307" s="2">
        <v>24817</v>
      </c>
      <c r="F307" s="3">
        <v>9.9</v>
      </c>
      <c r="G307" s="3">
        <v>2196</v>
      </c>
      <c r="H307" s="3">
        <v>61</v>
      </c>
      <c r="I307" s="3">
        <v>24.2</v>
      </c>
      <c r="J307" s="3">
        <v>14.5</v>
      </c>
      <c r="K307" s="3">
        <v>0.3</v>
      </c>
      <c r="L307" s="3">
        <v>5.0999999999999996</v>
      </c>
      <c r="M307" t="str">
        <f>IF(acs2015_county_data[[#This Row],[PublicWork]]&gt;='Описательные характеристики'!$F$5,"да","нет")</f>
        <v>да</v>
      </c>
      <c r="N307" t="str">
        <f>IF(acs2015_county_data[[#This Row],[Unemployment]]&gt;='Описательные характеристики'!$I$5,"да","нет")</f>
        <v>нет</v>
      </c>
    </row>
    <row r="308" spans="1:14" x14ac:dyDescent="0.35">
      <c r="A308">
        <v>8123</v>
      </c>
      <c r="B308" t="s">
        <v>236</v>
      </c>
      <c r="C308" t="s">
        <v>290</v>
      </c>
      <c r="D308" s="2">
        <v>270948</v>
      </c>
      <c r="E308" s="2">
        <v>26751</v>
      </c>
      <c r="F308" s="3">
        <v>5.2</v>
      </c>
      <c r="G308" s="3">
        <v>129395</v>
      </c>
      <c r="H308" s="3">
        <v>80.3</v>
      </c>
      <c r="I308" s="3">
        <v>13.1</v>
      </c>
      <c r="J308" s="3">
        <v>6.4</v>
      </c>
      <c r="K308" s="3">
        <v>0.2</v>
      </c>
      <c r="L308" s="3">
        <v>6.6</v>
      </c>
      <c r="M308" t="str">
        <f>IF(acs2015_county_data[[#This Row],[PublicWork]]&gt;='Описательные характеристики'!$F$5,"да","нет")</f>
        <v>нет</v>
      </c>
      <c r="N308" t="str">
        <f>IF(acs2015_county_data[[#This Row],[Unemployment]]&gt;='Описательные характеристики'!$I$5,"да","нет")</f>
        <v>нет</v>
      </c>
    </row>
    <row r="309" spans="1:14" x14ac:dyDescent="0.35">
      <c r="A309">
        <v>8125</v>
      </c>
      <c r="B309" t="s">
        <v>236</v>
      </c>
      <c r="C309" t="s">
        <v>123</v>
      </c>
      <c r="D309" s="2">
        <v>10185</v>
      </c>
      <c r="E309" s="2">
        <v>23246</v>
      </c>
      <c r="F309" s="3">
        <v>7.7</v>
      </c>
      <c r="G309" s="3">
        <v>4878</v>
      </c>
      <c r="H309" s="3">
        <v>75.5</v>
      </c>
      <c r="I309" s="3">
        <v>12.9</v>
      </c>
      <c r="J309" s="3">
        <v>11.4</v>
      </c>
      <c r="K309" s="3">
        <v>0.2</v>
      </c>
      <c r="L309" s="3">
        <v>2.5</v>
      </c>
      <c r="M309" t="str">
        <f>IF(acs2015_county_data[[#This Row],[PublicWork]]&gt;='Описательные характеристики'!$F$5,"да","нет")</f>
        <v>нет</v>
      </c>
      <c r="N309" t="str">
        <f>IF(acs2015_county_data[[#This Row],[Unemployment]]&gt;='Описательные характеристики'!$I$5,"да","нет")</f>
        <v>нет</v>
      </c>
    </row>
    <row r="310" spans="1:14" x14ac:dyDescent="0.35">
      <c r="A310">
        <v>9001</v>
      </c>
      <c r="B310" t="s">
        <v>291</v>
      </c>
      <c r="C310" t="s">
        <v>292</v>
      </c>
      <c r="D310" s="2">
        <v>939983</v>
      </c>
      <c r="E310" s="2">
        <v>50137</v>
      </c>
      <c r="F310" s="3">
        <v>5.6</v>
      </c>
      <c r="G310" s="3">
        <v>463610</v>
      </c>
      <c r="H310" s="3">
        <v>81.599999999999994</v>
      </c>
      <c r="I310" s="3">
        <v>9.8000000000000007</v>
      </c>
      <c r="J310" s="3">
        <v>8.4</v>
      </c>
      <c r="K310" s="3">
        <v>0.1</v>
      </c>
      <c r="L310" s="3">
        <v>9</v>
      </c>
      <c r="M310" t="str">
        <f>IF(acs2015_county_data[[#This Row],[PublicWork]]&gt;='Описательные характеристики'!$F$5,"да","нет")</f>
        <v>нет</v>
      </c>
      <c r="N310" t="str">
        <f>IF(acs2015_county_data[[#This Row],[Unemployment]]&gt;='Описательные характеристики'!$I$5,"да","нет")</f>
        <v>да</v>
      </c>
    </row>
    <row r="311" spans="1:14" x14ac:dyDescent="0.35">
      <c r="A311">
        <v>9003</v>
      </c>
      <c r="B311" t="s">
        <v>291</v>
      </c>
      <c r="C311" t="s">
        <v>293</v>
      </c>
      <c r="D311" s="2">
        <v>896943</v>
      </c>
      <c r="E311" s="2">
        <v>35611</v>
      </c>
      <c r="F311" s="3">
        <v>3.6</v>
      </c>
      <c r="G311" s="3">
        <v>439719</v>
      </c>
      <c r="H311" s="3">
        <v>80.7</v>
      </c>
      <c r="I311" s="3">
        <v>14.2</v>
      </c>
      <c r="J311" s="3">
        <v>4.8</v>
      </c>
      <c r="K311" s="3">
        <v>0.2</v>
      </c>
      <c r="L311" s="3">
        <v>9.3000000000000007</v>
      </c>
      <c r="M311" t="str">
        <f>IF(acs2015_county_data[[#This Row],[PublicWork]]&gt;='Описательные характеристики'!$F$5,"да","нет")</f>
        <v>нет</v>
      </c>
      <c r="N311" t="str">
        <f>IF(acs2015_county_data[[#This Row],[Unemployment]]&gt;='Описательные характеристики'!$I$5,"да","нет")</f>
        <v>да</v>
      </c>
    </row>
    <row r="312" spans="1:14" x14ac:dyDescent="0.35">
      <c r="A312">
        <v>9005</v>
      </c>
      <c r="B312" t="s">
        <v>291</v>
      </c>
      <c r="C312" t="s">
        <v>294</v>
      </c>
      <c r="D312" s="2">
        <v>186304</v>
      </c>
      <c r="E312" s="2">
        <v>38530</v>
      </c>
      <c r="F312" s="3">
        <v>5</v>
      </c>
      <c r="G312" s="3">
        <v>98294</v>
      </c>
      <c r="H312" s="3">
        <v>77.2</v>
      </c>
      <c r="I312" s="3">
        <v>13.3</v>
      </c>
      <c r="J312" s="3">
        <v>9.1999999999999993</v>
      </c>
      <c r="K312" s="3">
        <v>0.2</v>
      </c>
      <c r="L312" s="3">
        <v>7.1</v>
      </c>
      <c r="M312" t="str">
        <f>IF(acs2015_county_data[[#This Row],[PublicWork]]&gt;='Описательные характеристики'!$F$5,"да","нет")</f>
        <v>нет</v>
      </c>
      <c r="N312" t="str">
        <f>IF(acs2015_county_data[[#This Row],[Unemployment]]&gt;='Описательные характеристики'!$I$5,"да","нет")</f>
        <v>нет</v>
      </c>
    </row>
    <row r="313" spans="1:14" x14ac:dyDescent="0.35">
      <c r="A313">
        <v>9007</v>
      </c>
      <c r="B313" t="s">
        <v>291</v>
      </c>
      <c r="C313" t="s">
        <v>295</v>
      </c>
      <c r="D313" s="2">
        <v>165165</v>
      </c>
      <c r="E313" s="2">
        <v>41277</v>
      </c>
      <c r="F313" s="3">
        <v>4.7</v>
      </c>
      <c r="G313" s="3">
        <v>87871</v>
      </c>
      <c r="H313" s="3">
        <v>79.8</v>
      </c>
      <c r="I313" s="3">
        <v>13.1</v>
      </c>
      <c r="J313" s="3">
        <v>7</v>
      </c>
      <c r="K313" s="3">
        <v>0.1</v>
      </c>
      <c r="L313" s="3">
        <v>6</v>
      </c>
      <c r="M313" t="str">
        <f>IF(acs2015_county_data[[#This Row],[PublicWork]]&gt;='Описательные характеристики'!$F$5,"да","нет")</f>
        <v>нет</v>
      </c>
      <c r="N313" t="str">
        <f>IF(acs2015_county_data[[#This Row],[Unemployment]]&gt;='Описательные характеристики'!$I$5,"да","нет")</f>
        <v>нет</v>
      </c>
    </row>
    <row r="314" spans="1:14" x14ac:dyDescent="0.35">
      <c r="A314">
        <v>9009</v>
      </c>
      <c r="B314" t="s">
        <v>291</v>
      </c>
      <c r="C314" t="s">
        <v>296</v>
      </c>
      <c r="D314" s="2">
        <v>862224</v>
      </c>
      <c r="E314" s="2">
        <v>32852</v>
      </c>
      <c r="F314" s="3">
        <v>3.7</v>
      </c>
      <c r="G314" s="3">
        <v>419901</v>
      </c>
      <c r="H314" s="3">
        <v>81.2</v>
      </c>
      <c r="I314" s="3">
        <v>13.2</v>
      </c>
      <c r="J314" s="3">
        <v>5.4</v>
      </c>
      <c r="K314" s="3">
        <v>0.2</v>
      </c>
      <c r="L314" s="3">
        <v>9.5</v>
      </c>
      <c r="M314" t="str">
        <f>IF(acs2015_county_data[[#This Row],[PublicWork]]&gt;='Описательные характеристики'!$F$5,"да","нет")</f>
        <v>нет</v>
      </c>
      <c r="N314" t="str">
        <f>IF(acs2015_county_data[[#This Row],[Unemployment]]&gt;='Описательные характеристики'!$I$5,"да","нет")</f>
        <v>да</v>
      </c>
    </row>
    <row r="315" spans="1:14" x14ac:dyDescent="0.35">
      <c r="A315">
        <v>9011</v>
      </c>
      <c r="B315" t="s">
        <v>291</v>
      </c>
      <c r="C315" t="s">
        <v>297</v>
      </c>
      <c r="D315" s="2">
        <v>273185</v>
      </c>
      <c r="E315" s="2">
        <v>34208</v>
      </c>
      <c r="F315" s="3">
        <v>4.5999999999999996</v>
      </c>
      <c r="G315" s="3">
        <v>132990</v>
      </c>
      <c r="H315" s="3">
        <v>78.400000000000006</v>
      </c>
      <c r="I315" s="3">
        <v>16.2</v>
      </c>
      <c r="J315" s="3">
        <v>5.2</v>
      </c>
      <c r="K315" s="3">
        <v>0.1</v>
      </c>
      <c r="L315" s="3">
        <v>8.3000000000000007</v>
      </c>
      <c r="M315" t="str">
        <f>IF(acs2015_county_data[[#This Row],[PublicWork]]&gt;='Описательные характеристики'!$F$5,"да","нет")</f>
        <v>да</v>
      </c>
      <c r="N315" t="str">
        <f>IF(acs2015_county_data[[#This Row],[Unemployment]]&gt;='Описательные характеристики'!$I$5,"да","нет")</f>
        <v>да</v>
      </c>
    </row>
    <row r="316" spans="1:14" x14ac:dyDescent="0.35">
      <c r="A316">
        <v>9013</v>
      </c>
      <c r="B316" t="s">
        <v>291</v>
      </c>
      <c r="C316" t="s">
        <v>298</v>
      </c>
      <c r="D316" s="2">
        <v>151948</v>
      </c>
      <c r="E316" s="2">
        <v>35446</v>
      </c>
      <c r="F316" s="3">
        <v>4.4000000000000004</v>
      </c>
      <c r="G316" s="3">
        <v>80190</v>
      </c>
      <c r="H316" s="3">
        <v>73.8</v>
      </c>
      <c r="I316" s="3">
        <v>20.3</v>
      </c>
      <c r="J316" s="3">
        <v>5.7</v>
      </c>
      <c r="K316" s="3">
        <v>0.2</v>
      </c>
      <c r="L316" s="3">
        <v>6.8</v>
      </c>
      <c r="M316" t="str">
        <f>IF(acs2015_county_data[[#This Row],[PublicWork]]&gt;='Описательные характеристики'!$F$5,"да","нет")</f>
        <v>да</v>
      </c>
      <c r="N316" t="str">
        <f>IF(acs2015_county_data[[#This Row],[Unemployment]]&gt;='Описательные характеристики'!$I$5,"да","нет")</f>
        <v>нет</v>
      </c>
    </row>
    <row r="317" spans="1:14" x14ac:dyDescent="0.35">
      <c r="A317">
        <v>9015</v>
      </c>
      <c r="B317" t="s">
        <v>291</v>
      </c>
      <c r="C317" t="s">
        <v>299</v>
      </c>
      <c r="D317" s="2">
        <v>117470</v>
      </c>
      <c r="E317" s="2">
        <v>28140</v>
      </c>
      <c r="F317" s="3">
        <v>3.5</v>
      </c>
      <c r="G317" s="3">
        <v>58842</v>
      </c>
      <c r="H317" s="3">
        <v>77.8</v>
      </c>
      <c r="I317" s="3">
        <v>16.3</v>
      </c>
      <c r="J317" s="3">
        <v>5.5</v>
      </c>
      <c r="K317" s="3">
        <v>0.4</v>
      </c>
      <c r="L317" s="3">
        <v>9.3000000000000007</v>
      </c>
      <c r="M317" t="str">
        <f>IF(acs2015_county_data[[#This Row],[PublicWork]]&gt;='Описательные характеристики'!$F$5,"да","нет")</f>
        <v>да</v>
      </c>
      <c r="N317" t="str">
        <f>IF(acs2015_county_data[[#This Row],[Unemployment]]&gt;='Описательные характеристики'!$I$5,"да","нет")</f>
        <v>да</v>
      </c>
    </row>
    <row r="318" spans="1:14" x14ac:dyDescent="0.35">
      <c r="A318">
        <v>10001</v>
      </c>
      <c r="B318" t="s">
        <v>300</v>
      </c>
      <c r="C318" t="s">
        <v>301</v>
      </c>
      <c r="D318" s="2">
        <v>169509</v>
      </c>
      <c r="E318" s="2">
        <v>25404</v>
      </c>
      <c r="F318" s="3">
        <v>3.6</v>
      </c>
      <c r="G318" s="3">
        <v>75246</v>
      </c>
      <c r="H318" s="3">
        <v>73.400000000000006</v>
      </c>
      <c r="I318" s="3">
        <v>22.4</v>
      </c>
      <c r="J318" s="3">
        <v>3.9</v>
      </c>
      <c r="K318" s="3">
        <v>0.3</v>
      </c>
      <c r="L318" s="3">
        <v>8.4</v>
      </c>
      <c r="M318" t="str">
        <f>IF(acs2015_county_data[[#This Row],[PublicWork]]&gt;='Описательные характеристики'!$F$5,"да","нет")</f>
        <v>да</v>
      </c>
      <c r="N318" t="str">
        <f>IF(acs2015_county_data[[#This Row],[Unemployment]]&gt;='Описательные характеристики'!$I$5,"да","нет")</f>
        <v>да</v>
      </c>
    </row>
    <row r="319" spans="1:14" x14ac:dyDescent="0.35">
      <c r="A319">
        <v>10003</v>
      </c>
      <c r="B319" t="s">
        <v>300</v>
      </c>
      <c r="C319" t="s">
        <v>302</v>
      </c>
      <c r="D319" s="2">
        <v>549643</v>
      </c>
      <c r="E319" s="2">
        <v>32894</v>
      </c>
      <c r="F319" s="3">
        <v>4.0999999999999996</v>
      </c>
      <c r="G319" s="3">
        <v>268331</v>
      </c>
      <c r="H319" s="3">
        <v>84.5</v>
      </c>
      <c r="I319" s="3">
        <v>12.3</v>
      </c>
      <c r="J319" s="3">
        <v>3.1</v>
      </c>
      <c r="K319" s="3">
        <v>0.1</v>
      </c>
      <c r="L319" s="3">
        <v>7.4</v>
      </c>
      <c r="M319" t="str">
        <f>IF(acs2015_county_data[[#This Row],[PublicWork]]&gt;='Описательные характеристики'!$F$5,"да","нет")</f>
        <v>нет</v>
      </c>
      <c r="N319" t="str">
        <f>IF(acs2015_county_data[[#This Row],[Unemployment]]&gt;='Описательные характеристики'!$I$5,"да","нет")</f>
        <v>нет</v>
      </c>
    </row>
    <row r="320" spans="1:14" x14ac:dyDescent="0.35">
      <c r="A320">
        <v>10005</v>
      </c>
      <c r="B320" t="s">
        <v>300</v>
      </c>
      <c r="C320" t="s">
        <v>303</v>
      </c>
      <c r="D320" s="2">
        <v>207302</v>
      </c>
      <c r="E320" s="2">
        <v>28558</v>
      </c>
      <c r="F320" s="3">
        <v>4.9000000000000004</v>
      </c>
      <c r="G320" s="3">
        <v>90239</v>
      </c>
      <c r="H320" s="3">
        <v>78.8</v>
      </c>
      <c r="I320" s="3">
        <v>14.7</v>
      </c>
      <c r="J320" s="3">
        <v>6.4</v>
      </c>
      <c r="K320" s="3">
        <v>0.1</v>
      </c>
      <c r="L320" s="3">
        <v>8</v>
      </c>
      <c r="M320" t="str">
        <f>IF(acs2015_county_data[[#This Row],[PublicWork]]&gt;='Описательные характеристики'!$F$5,"да","нет")</f>
        <v>нет</v>
      </c>
      <c r="N320" t="str">
        <f>IF(acs2015_county_data[[#This Row],[Unemployment]]&gt;='Описательные характеристики'!$I$5,"да","нет")</f>
        <v>да</v>
      </c>
    </row>
    <row r="321" spans="1:14" x14ac:dyDescent="0.35">
      <c r="A321">
        <v>11001</v>
      </c>
      <c r="B321" t="s">
        <v>304</v>
      </c>
      <c r="C321" t="s">
        <v>304</v>
      </c>
      <c r="D321" s="2">
        <v>647484</v>
      </c>
      <c r="E321" s="2">
        <v>47675</v>
      </c>
      <c r="F321" s="3">
        <v>5</v>
      </c>
      <c r="G321" s="3">
        <v>337815</v>
      </c>
      <c r="H321" s="3">
        <v>70</v>
      </c>
      <c r="I321" s="3">
        <v>25.4</v>
      </c>
      <c r="J321" s="3">
        <v>4.4000000000000004</v>
      </c>
      <c r="K321" s="3">
        <v>0.1</v>
      </c>
      <c r="L321" s="3">
        <v>9.6</v>
      </c>
      <c r="M321" t="str">
        <f>IF(acs2015_county_data[[#This Row],[PublicWork]]&gt;='Описательные характеристики'!$F$5,"да","нет")</f>
        <v>да</v>
      </c>
      <c r="N321" t="str">
        <f>IF(acs2015_county_data[[#This Row],[Unemployment]]&gt;='Описательные характеристики'!$I$5,"да","нет")</f>
        <v>да</v>
      </c>
    </row>
    <row r="322" spans="1:14" x14ac:dyDescent="0.35">
      <c r="A322">
        <v>12001</v>
      </c>
      <c r="B322" t="s">
        <v>305</v>
      </c>
      <c r="C322" t="s">
        <v>306</v>
      </c>
      <c r="D322" s="2">
        <v>254218</v>
      </c>
      <c r="E322" s="2">
        <v>25498</v>
      </c>
      <c r="F322" s="3">
        <v>4.0999999999999996</v>
      </c>
      <c r="G322" s="3">
        <v>116659</v>
      </c>
      <c r="H322" s="3">
        <v>69.099999999999994</v>
      </c>
      <c r="I322" s="3">
        <v>26.6</v>
      </c>
      <c r="J322" s="3">
        <v>4.3</v>
      </c>
      <c r="K322" s="3">
        <v>0.1</v>
      </c>
      <c r="L322" s="3">
        <v>7.9</v>
      </c>
      <c r="M322" t="str">
        <f>IF(acs2015_county_data[[#This Row],[PublicWork]]&gt;='Описательные характеристики'!$F$5,"да","нет")</f>
        <v>да</v>
      </c>
      <c r="N322" t="str">
        <f>IF(acs2015_county_data[[#This Row],[Unemployment]]&gt;='Описательные характеристики'!$I$5,"да","нет")</f>
        <v>да</v>
      </c>
    </row>
    <row r="323" spans="1:14" x14ac:dyDescent="0.35">
      <c r="A323">
        <v>12003</v>
      </c>
      <c r="B323" t="s">
        <v>305</v>
      </c>
      <c r="C323" t="s">
        <v>307</v>
      </c>
      <c r="D323" s="2">
        <v>27135</v>
      </c>
      <c r="E323" s="2">
        <v>20471</v>
      </c>
      <c r="F323" s="3">
        <v>3</v>
      </c>
      <c r="G323" s="3">
        <v>10174</v>
      </c>
      <c r="H323" s="3">
        <v>73.2</v>
      </c>
      <c r="I323" s="3">
        <v>22.3</v>
      </c>
      <c r="J323" s="3">
        <v>4.4000000000000004</v>
      </c>
      <c r="K323" s="3">
        <v>0.1</v>
      </c>
      <c r="L323" s="3">
        <v>8.9</v>
      </c>
      <c r="M323" t="str">
        <f>IF(acs2015_county_data[[#This Row],[PublicWork]]&gt;='Описательные характеристики'!$F$5,"да","нет")</f>
        <v>да</v>
      </c>
      <c r="N323" t="str">
        <f>IF(acs2015_county_data[[#This Row],[Unemployment]]&gt;='Описательные характеристики'!$I$5,"да","нет")</f>
        <v>да</v>
      </c>
    </row>
    <row r="324" spans="1:14" x14ac:dyDescent="0.35">
      <c r="A324">
        <v>12005</v>
      </c>
      <c r="B324" t="s">
        <v>305</v>
      </c>
      <c r="C324" t="s">
        <v>308</v>
      </c>
      <c r="D324" s="2">
        <v>175353</v>
      </c>
      <c r="E324" s="2">
        <v>25246</v>
      </c>
      <c r="F324" s="3">
        <v>2.8</v>
      </c>
      <c r="G324" s="3">
        <v>77894</v>
      </c>
      <c r="H324" s="3">
        <v>76.400000000000006</v>
      </c>
      <c r="I324" s="3">
        <v>17</v>
      </c>
      <c r="J324" s="3">
        <v>6.4</v>
      </c>
      <c r="K324" s="3">
        <v>0.3</v>
      </c>
      <c r="L324" s="3">
        <v>8.6</v>
      </c>
      <c r="M324" t="str">
        <f>IF(acs2015_county_data[[#This Row],[PublicWork]]&gt;='Описательные характеристики'!$F$5,"да","нет")</f>
        <v>да</v>
      </c>
      <c r="N324" t="str">
        <f>IF(acs2015_county_data[[#This Row],[Unemployment]]&gt;='Описательные характеристики'!$I$5,"да","нет")</f>
        <v>да</v>
      </c>
    </row>
    <row r="325" spans="1:14" x14ac:dyDescent="0.35">
      <c r="A325">
        <v>12007</v>
      </c>
      <c r="B325" t="s">
        <v>305</v>
      </c>
      <c r="C325" t="s">
        <v>309</v>
      </c>
      <c r="D325" s="2">
        <v>27223</v>
      </c>
      <c r="E325" s="2">
        <v>19739</v>
      </c>
      <c r="F325" s="3">
        <v>1.7</v>
      </c>
      <c r="G325" s="3">
        <v>9225</v>
      </c>
      <c r="H325" s="3">
        <v>73.599999999999994</v>
      </c>
      <c r="I325" s="3">
        <v>22.3</v>
      </c>
      <c r="J325" s="3">
        <v>4.0999999999999996</v>
      </c>
      <c r="K325" s="3">
        <v>0</v>
      </c>
      <c r="L325" s="3">
        <v>12.4</v>
      </c>
      <c r="M325" t="str">
        <f>IF(acs2015_county_data[[#This Row],[PublicWork]]&gt;='Описательные характеристики'!$F$5,"да","нет")</f>
        <v>да</v>
      </c>
      <c r="N325" t="str">
        <f>IF(acs2015_county_data[[#This Row],[Unemployment]]&gt;='Описательные характеристики'!$I$5,"да","нет")</f>
        <v>да</v>
      </c>
    </row>
    <row r="326" spans="1:14" x14ac:dyDescent="0.35">
      <c r="A326">
        <v>12009</v>
      </c>
      <c r="B326" t="s">
        <v>305</v>
      </c>
      <c r="C326" t="s">
        <v>310</v>
      </c>
      <c r="D326" s="2">
        <v>553591</v>
      </c>
      <c r="E326" s="2">
        <v>27571</v>
      </c>
      <c r="F326" s="3">
        <v>5</v>
      </c>
      <c r="G326" s="3">
        <v>229693</v>
      </c>
      <c r="H326" s="3">
        <v>80.5</v>
      </c>
      <c r="I326" s="3">
        <v>13.9</v>
      </c>
      <c r="J326" s="3">
        <v>5.4</v>
      </c>
      <c r="K326" s="3">
        <v>0.2</v>
      </c>
      <c r="L326" s="3">
        <v>10.9</v>
      </c>
      <c r="M326" t="str">
        <f>IF(acs2015_county_data[[#This Row],[PublicWork]]&gt;='Описательные характеристики'!$F$5,"да","нет")</f>
        <v>нет</v>
      </c>
      <c r="N326" t="str">
        <f>IF(acs2015_county_data[[#This Row],[Unemployment]]&gt;='Описательные характеристики'!$I$5,"да","нет")</f>
        <v>да</v>
      </c>
    </row>
    <row r="327" spans="1:14" x14ac:dyDescent="0.35">
      <c r="A327">
        <v>12011</v>
      </c>
      <c r="B327" t="s">
        <v>305</v>
      </c>
      <c r="C327" t="s">
        <v>311</v>
      </c>
      <c r="D327" s="2">
        <v>1843152</v>
      </c>
      <c r="E327" s="2">
        <v>28381</v>
      </c>
      <c r="F327" s="3">
        <v>4.9000000000000004</v>
      </c>
      <c r="G327" s="3">
        <v>890997</v>
      </c>
      <c r="H327" s="3">
        <v>82.2</v>
      </c>
      <c r="I327" s="3">
        <v>11.3</v>
      </c>
      <c r="J327" s="3">
        <v>6.4</v>
      </c>
      <c r="K327" s="3">
        <v>0.1</v>
      </c>
      <c r="L327" s="3">
        <v>10</v>
      </c>
      <c r="M327" t="str">
        <f>IF(acs2015_county_data[[#This Row],[PublicWork]]&gt;='Описательные характеристики'!$F$5,"да","нет")</f>
        <v>нет</v>
      </c>
      <c r="N327" t="str">
        <f>IF(acs2015_county_data[[#This Row],[Unemployment]]&gt;='Описательные характеристики'!$I$5,"да","нет")</f>
        <v>да</v>
      </c>
    </row>
    <row r="328" spans="1:14" x14ac:dyDescent="0.35">
      <c r="A328">
        <v>12013</v>
      </c>
      <c r="B328" t="s">
        <v>305</v>
      </c>
      <c r="C328" t="s">
        <v>22</v>
      </c>
      <c r="D328" s="2">
        <v>14615</v>
      </c>
      <c r="E328" s="2">
        <v>16536</v>
      </c>
      <c r="F328" s="3">
        <v>1.7</v>
      </c>
      <c r="G328" s="3">
        <v>4735</v>
      </c>
      <c r="H328" s="3">
        <v>63.7</v>
      </c>
      <c r="I328" s="3">
        <v>28.3</v>
      </c>
      <c r="J328" s="3">
        <v>8</v>
      </c>
      <c r="K328" s="3">
        <v>0</v>
      </c>
      <c r="L328" s="3">
        <v>10</v>
      </c>
      <c r="M328" t="str">
        <f>IF(acs2015_county_data[[#This Row],[PublicWork]]&gt;='Описательные характеристики'!$F$5,"да","нет")</f>
        <v>да</v>
      </c>
      <c r="N328" t="str">
        <f>IF(acs2015_county_data[[#This Row],[Unemployment]]&gt;='Описательные характеристики'!$I$5,"да","нет")</f>
        <v>да</v>
      </c>
    </row>
    <row r="329" spans="1:14" x14ac:dyDescent="0.35">
      <c r="A329">
        <v>12015</v>
      </c>
      <c r="B329" t="s">
        <v>305</v>
      </c>
      <c r="C329" t="s">
        <v>312</v>
      </c>
      <c r="D329" s="2">
        <v>165783</v>
      </c>
      <c r="E329" s="2">
        <v>26984</v>
      </c>
      <c r="F329" s="3">
        <v>6.5</v>
      </c>
      <c r="G329" s="3">
        <v>56730</v>
      </c>
      <c r="H329" s="3">
        <v>79.2</v>
      </c>
      <c r="I329" s="3">
        <v>12.5</v>
      </c>
      <c r="J329" s="3">
        <v>7.7</v>
      </c>
      <c r="K329" s="3">
        <v>0.5</v>
      </c>
      <c r="L329" s="3">
        <v>10.8</v>
      </c>
      <c r="M329" t="str">
        <f>IF(acs2015_county_data[[#This Row],[PublicWork]]&gt;='Описательные характеристики'!$F$5,"да","нет")</f>
        <v>нет</v>
      </c>
      <c r="N329" t="str">
        <f>IF(acs2015_county_data[[#This Row],[Unemployment]]&gt;='Описательные характеристики'!$I$5,"да","нет")</f>
        <v>да</v>
      </c>
    </row>
    <row r="330" spans="1:14" x14ac:dyDescent="0.35">
      <c r="A330">
        <v>12017</v>
      </c>
      <c r="B330" t="s">
        <v>305</v>
      </c>
      <c r="C330" t="s">
        <v>313</v>
      </c>
      <c r="D330" s="2">
        <v>139654</v>
      </c>
      <c r="E330" s="2">
        <v>23979</v>
      </c>
      <c r="F330" s="3">
        <v>5.6</v>
      </c>
      <c r="G330" s="3">
        <v>43486</v>
      </c>
      <c r="H330" s="3">
        <v>78.2</v>
      </c>
      <c r="I330" s="3">
        <v>14.4</v>
      </c>
      <c r="J330" s="3">
        <v>6.9</v>
      </c>
      <c r="K330" s="3">
        <v>0.5</v>
      </c>
      <c r="L330" s="3">
        <v>13.1</v>
      </c>
      <c r="M330" t="str">
        <f>IF(acs2015_county_data[[#This Row],[PublicWork]]&gt;='Описательные характеристики'!$F$5,"да","нет")</f>
        <v>нет</v>
      </c>
      <c r="N330" t="str">
        <f>IF(acs2015_county_data[[#This Row],[Unemployment]]&gt;='Описательные характеристики'!$I$5,"да","нет")</f>
        <v>да</v>
      </c>
    </row>
    <row r="331" spans="1:14" x14ac:dyDescent="0.35">
      <c r="A331">
        <v>12019</v>
      </c>
      <c r="B331" t="s">
        <v>305</v>
      </c>
      <c r="C331" t="s">
        <v>28</v>
      </c>
      <c r="D331" s="2">
        <v>197417</v>
      </c>
      <c r="E331" s="2">
        <v>26464</v>
      </c>
      <c r="F331" s="3">
        <v>4.0999999999999996</v>
      </c>
      <c r="G331" s="3">
        <v>86374</v>
      </c>
      <c r="H331" s="3">
        <v>80.5</v>
      </c>
      <c r="I331" s="3">
        <v>15.8</v>
      </c>
      <c r="J331" s="3">
        <v>3.6</v>
      </c>
      <c r="K331" s="3">
        <v>0.1</v>
      </c>
      <c r="L331" s="3">
        <v>10.7</v>
      </c>
      <c r="M331" t="str">
        <f>IF(acs2015_county_data[[#This Row],[PublicWork]]&gt;='Описательные характеристики'!$F$5,"да","нет")</f>
        <v>нет</v>
      </c>
      <c r="N331" t="str">
        <f>IF(acs2015_county_data[[#This Row],[Unemployment]]&gt;='Описательные характеристики'!$I$5,"да","нет")</f>
        <v>да</v>
      </c>
    </row>
    <row r="332" spans="1:14" x14ac:dyDescent="0.35">
      <c r="A332">
        <v>12021</v>
      </c>
      <c r="B332" t="s">
        <v>305</v>
      </c>
      <c r="C332" t="s">
        <v>314</v>
      </c>
      <c r="D332" s="2">
        <v>341091</v>
      </c>
      <c r="E332" s="2">
        <v>38297</v>
      </c>
      <c r="F332" s="3">
        <v>7</v>
      </c>
      <c r="G332" s="3">
        <v>141106</v>
      </c>
      <c r="H332" s="3">
        <v>83.8</v>
      </c>
      <c r="I332" s="3">
        <v>8.5</v>
      </c>
      <c r="J332" s="3">
        <v>7.4</v>
      </c>
      <c r="K332" s="3">
        <v>0.2</v>
      </c>
      <c r="L332" s="3">
        <v>7.8</v>
      </c>
      <c r="M332" t="str">
        <f>IF(acs2015_county_data[[#This Row],[PublicWork]]&gt;='Описательные характеристики'!$F$5,"да","нет")</f>
        <v>нет</v>
      </c>
      <c r="N332" t="str">
        <f>IF(acs2015_county_data[[#This Row],[Unemployment]]&gt;='Описательные характеристики'!$I$5,"да","нет")</f>
        <v>да</v>
      </c>
    </row>
    <row r="333" spans="1:14" x14ac:dyDescent="0.35">
      <c r="A333">
        <v>12023</v>
      </c>
      <c r="B333" t="s">
        <v>305</v>
      </c>
      <c r="C333" t="s">
        <v>133</v>
      </c>
      <c r="D333" s="2">
        <v>67806</v>
      </c>
      <c r="E333" s="2">
        <v>20563</v>
      </c>
      <c r="F333" s="3">
        <v>3.1</v>
      </c>
      <c r="G333" s="3">
        <v>25226</v>
      </c>
      <c r="H333" s="3">
        <v>71.5</v>
      </c>
      <c r="I333" s="3">
        <v>24</v>
      </c>
      <c r="J333" s="3">
        <v>4.4000000000000004</v>
      </c>
      <c r="K333" s="3">
        <v>0.1</v>
      </c>
      <c r="L333" s="3">
        <v>14.8</v>
      </c>
      <c r="M333" t="str">
        <f>IF(acs2015_county_data[[#This Row],[PublicWork]]&gt;='Описательные характеристики'!$F$5,"да","нет")</f>
        <v>да</v>
      </c>
      <c r="N333" t="str">
        <f>IF(acs2015_county_data[[#This Row],[Unemployment]]&gt;='Описательные характеристики'!$I$5,"да","нет")</f>
        <v>да</v>
      </c>
    </row>
    <row r="334" spans="1:14" x14ac:dyDescent="0.35">
      <c r="A334">
        <v>12027</v>
      </c>
      <c r="B334" t="s">
        <v>305</v>
      </c>
      <c r="C334" t="s">
        <v>315</v>
      </c>
      <c r="D334" s="2">
        <v>34957</v>
      </c>
      <c r="E334" s="2">
        <v>16441</v>
      </c>
      <c r="F334" s="3">
        <v>2.6</v>
      </c>
      <c r="G334" s="3">
        <v>12279</v>
      </c>
      <c r="H334" s="3">
        <v>80.5</v>
      </c>
      <c r="I334" s="3">
        <v>14.7</v>
      </c>
      <c r="J334" s="3">
        <v>4.8</v>
      </c>
      <c r="K334" s="3">
        <v>0</v>
      </c>
      <c r="L334" s="3">
        <v>9.4</v>
      </c>
      <c r="M334" t="str">
        <f>IF(acs2015_county_data[[#This Row],[PublicWork]]&gt;='Описательные характеристики'!$F$5,"да","нет")</f>
        <v>нет</v>
      </c>
      <c r="N334" t="str">
        <f>IF(acs2015_county_data[[#This Row],[Unemployment]]&gt;='Описательные характеристики'!$I$5,"да","нет")</f>
        <v>да</v>
      </c>
    </row>
    <row r="335" spans="1:14" x14ac:dyDescent="0.35">
      <c r="A335">
        <v>12029</v>
      </c>
      <c r="B335" t="s">
        <v>305</v>
      </c>
      <c r="C335" t="s">
        <v>316</v>
      </c>
      <c r="D335" s="2">
        <v>16091</v>
      </c>
      <c r="E335" s="2">
        <v>17850</v>
      </c>
      <c r="F335" s="3">
        <v>7</v>
      </c>
      <c r="G335" s="3">
        <v>4910</v>
      </c>
      <c r="H335" s="3">
        <v>64.900000000000006</v>
      </c>
      <c r="I335" s="3">
        <v>27</v>
      </c>
      <c r="J335" s="3">
        <v>8.1</v>
      </c>
      <c r="K335" s="3">
        <v>0</v>
      </c>
      <c r="L335" s="3">
        <v>7.2</v>
      </c>
      <c r="M335" t="str">
        <f>IF(acs2015_county_data[[#This Row],[PublicWork]]&gt;='Описательные характеристики'!$F$5,"да","нет")</f>
        <v>да</v>
      </c>
      <c r="N335" t="str">
        <f>IF(acs2015_county_data[[#This Row],[Unemployment]]&gt;='Описательные характеристики'!$I$5,"да","нет")</f>
        <v>нет</v>
      </c>
    </row>
    <row r="336" spans="1:14" x14ac:dyDescent="0.35">
      <c r="A336">
        <v>12031</v>
      </c>
      <c r="B336" t="s">
        <v>305</v>
      </c>
      <c r="C336" t="s">
        <v>317</v>
      </c>
      <c r="D336" s="2">
        <v>890673</v>
      </c>
      <c r="E336" s="2">
        <v>26543</v>
      </c>
      <c r="F336" s="3">
        <v>4.8</v>
      </c>
      <c r="G336" s="3">
        <v>409421</v>
      </c>
      <c r="H336" s="3">
        <v>83.6</v>
      </c>
      <c r="I336" s="3">
        <v>12</v>
      </c>
      <c r="J336" s="3">
        <v>4.3</v>
      </c>
      <c r="K336" s="3">
        <v>0.1</v>
      </c>
      <c r="L336" s="3">
        <v>10</v>
      </c>
      <c r="M336" t="str">
        <f>IF(acs2015_county_data[[#This Row],[PublicWork]]&gt;='Описательные характеристики'!$F$5,"да","нет")</f>
        <v>нет</v>
      </c>
      <c r="N336" t="str">
        <f>IF(acs2015_county_data[[#This Row],[Unemployment]]&gt;='Описательные характеристики'!$I$5,"да","нет")</f>
        <v>да</v>
      </c>
    </row>
    <row r="337" spans="1:14" x14ac:dyDescent="0.35">
      <c r="A337">
        <v>12033</v>
      </c>
      <c r="B337" t="s">
        <v>305</v>
      </c>
      <c r="C337" t="s">
        <v>40</v>
      </c>
      <c r="D337" s="2">
        <v>306327</v>
      </c>
      <c r="E337" s="2">
        <v>24161</v>
      </c>
      <c r="F337" s="3">
        <v>9.1999999999999993</v>
      </c>
      <c r="G337" s="3">
        <v>130402</v>
      </c>
      <c r="H337" s="3">
        <v>78.2</v>
      </c>
      <c r="I337" s="3">
        <v>15.6</v>
      </c>
      <c r="J337" s="3">
        <v>6</v>
      </c>
      <c r="K337" s="3">
        <v>0.1</v>
      </c>
      <c r="L337" s="3">
        <v>9.4</v>
      </c>
      <c r="M337" t="str">
        <f>IF(acs2015_county_data[[#This Row],[PublicWork]]&gt;='Описательные характеристики'!$F$5,"да","нет")</f>
        <v>нет</v>
      </c>
      <c r="N337" t="str">
        <f>IF(acs2015_county_data[[#This Row],[Unemployment]]&gt;='Описательные характеристики'!$I$5,"да","нет")</f>
        <v>да</v>
      </c>
    </row>
    <row r="338" spans="1:14" x14ac:dyDescent="0.35">
      <c r="A338">
        <v>12035</v>
      </c>
      <c r="B338" t="s">
        <v>305</v>
      </c>
      <c r="C338" t="s">
        <v>318</v>
      </c>
      <c r="D338" s="2">
        <v>100783</v>
      </c>
      <c r="E338" s="2">
        <v>24360</v>
      </c>
      <c r="F338" s="3">
        <v>8.1</v>
      </c>
      <c r="G338" s="3">
        <v>36923</v>
      </c>
      <c r="H338" s="3">
        <v>81.7</v>
      </c>
      <c r="I338" s="3">
        <v>12.4</v>
      </c>
      <c r="J338" s="3">
        <v>5.9</v>
      </c>
      <c r="K338" s="3">
        <v>0</v>
      </c>
      <c r="L338" s="3">
        <v>9.3000000000000007</v>
      </c>
      <c r="M338" t="str">
        <f>IF(acs2015_county_data[[#This Row],[PublicWork]]&gt;='Описательные характеристики'!$F$5,"да","нет")</f>
        <v>нет</v>
      </c>
      <c r="N338" t="str">
        <f>IF(acs2015_county_data[[#This Row],[Unemployment]]&gt;='Описательные характеристики'!$I$5,"да","нет")</f>
        <v>да</v>
      </c>
    </row>
    <row r="339" spans="1:14" x14ac:dyDescent="0.35">
      <c r="A339">
        <v>12037</v>
      </c>
      <c r="B339" t="s">
        <v>305</v>
      </c>
      <c r="C339" t="s">
        <v>43</v>
      </c>
      <c r="D339" s="2">
        <v>11628</v>
      </c>
      <c r="E339" s="2">
        <v>20868</v>
      </c>
      <c r="F339" s="3">
        <v>5.4</v>
      </c>
      <c r="G339" s="3">
        <v>4331</v>
      </c>
      <c r="H339" s="3">
        <v>58.9</v>
      </c>
      <c r="I339" s="3">
        <v>26.1</v>
      </c>
      <c r="J339" s="3">
        <v>14.9</v>
      </c>
      <c r="K339" s="3">
        <v>0.1</v>
      </c>
      <c r="L339" s="3">
        <v>9.4</v>
      </c>
      <c r="M339" t="str">
        <f>IF(acs2015_county_data[[#This Row],[PublicWork]]&gt;='Описательные характеристики'!$F$5,"да","нет")</f>
        <v>да</v>
      </c>
      <c r="N339" t="str">
        <f>IF(acs2015_county_data[[#This Row],[Unemployment]]&gt;='Описательные характеристики'!$I$5,"да","нет")</f>
        <v>да</v>
      </c>
    </row>
    <row r="340" spans="1:14" x14ac:dyDescent="0.35">
      <c r="A340">
        <v>12039</v>
      </c>
      <c r="B340" t="s">
        <v>305</v>
      </c>
      <c r="C340" t="s">
        <v>319</v>
      </c>
      <c r="D340" s="2">
        <v>46424</v>
      </c>
      <c r="E340" s="2">
        <v>17834</v>
      </c>
      <c r="F340" s="3">
        <v>1.6</v>
      </c>
      <c r="G340" s="3">
        <v>16733</v>
      </c>
      <c r="H340" s="3">
        <v>62.2</v>
      </c>
      <c r="I340" s="3">
        <v>34.200000000000003</v>
      </c>
      <c r="J340" s="3">
        <v>3.5</v>
      </c>
      <c r="K340" s="3">
        <v>0.1</v>
      </c>
      <c r="L340" s="3">
        <v>11.2</v>
      </c>
      <c r="M340" t="str">
        <f>IF(acs2015_county_data[[#This Row],[PublicWork]]&gt;='Описательные характеристики'!$F$5,"да","нет")</f>
        <v>да</v>
      </c>
      <c r="N340" t="str">
        <f>IF(acs2015_county_data[[#This Row],[Unemployment]]&gt;='Описательные характеристики'!$I$5,"да","нет")</f>
        <v>да</v>
      </c>
    </row>
    <row r="341" spans="1:14" x14ac:dyDescent="0.35">
      <c r="A341">
        <v>12041</v>
      </c>
      <c r="B341" t="s">
        <v>305</v>
      </c>
      <c r="C341" t="s">
        <v>320</v>
      </c>
      <c r="D341" s="2">
        <v>16992</v>
      </c>
      <c r="E341" s="2">
        <v>21436</v>
      </c>
      <c r="F341" s="3">
        <v>3.5</v>
      </c>
      <c r="G341" s="3">
        <v>6260</v>
      </c>
      <c r="H341" s="3">
        <v>73.400000000000006</v>
      </c>
      <c r="I341" s="3">
        <v>21.1</v>
      </c>
      <c r="J341" s="3">
        <v>5.5</v>
      </c>
      <c r="K341" s="3">
        <v>0</v>
      </c>
      <c r="L341" s="3">
        <v>10.4</v>
      </c>
      <c r="M341" t="str">
        <f>IF(acs2015_county_data[[#This Row],[PublicWork]]&gt;='Описательные характеристики'!$F$5,"да","нет")</f>
        <v>да</v>
      </c>
      <c r="N341" t="str">
        <f>IF(acs2015_county_data[[#This Row],[Unemployment]]&gt;='Описательные характеристики'!$I$5,"да","нет")</f>
        <v>да</v>
      </c>
    </row>
    <row r="342" spans="1:14" x14ac:dyDescent="0.35">
      <c r="A342">
        <v>12043</v>
      </c>
      <c r="B342" t="s">
        <v>305</v>
      </c>
      <c r="C342" t="s">
        <v>321</v>
      </c>
      <c r="D342" s="2">
        <v>13272</v>
      </c>
      <c r="E342" s="2">
        <v>17879</v>
      </c>
      <c r="F342" s="3">
        <v>6.1</v>
      </c>
      <c r="G342" s="3">
        <v>3701</v>
      </c>
      <c r="H342" s="3">
        <v>70.099999999999994</v>
      </c>
      <c r="I342" s="3">
        <v>17.7</v>
      </c>
      <c r="J342" s="3">
        <v>11.1</v>
      </c>
      <c r="K342" s="3">
        <v>1.1000000000000001</v>
      </c>
      <c r="L342" s="3">
        <v>12.9</v>
      </c>
      <c r="M342" t="str">
        <f>IF(acs2015_county_data[[#This Row],[PublicWork]]&gt;='Описательные характеристики'!$F$5,"да","нет")</f>
        <v>да</v>
      </c>
      <c r="N342" t="str">
        <f>IF(acs2015_county_data[[#This Row],[Unemployment]]&gt;='Описательные характеристики'!$I$5,"да","нет")</f>
        <v>да</v>
      </c>
    </row>
    <row r="343" spans="1:14" x14ac:dyDescent="0.35">
      <c r="A343">
        <v>12045</v>
      </c>
      <c r="B343" t="s">
        <v>305</v>
      </c>
      <c r="C343" t="s">
        <v>322</v>
      </c>
      <c r="D343" s="2">
        <v>15785</v>
      </c>
      <c r="E343" s="2">
        <v>19631</v>
      </c>
      <c r="F343" s="3">
        <v>4.2</v>
      </c>
      <c r="G343" s="3">
        <v>5604</v>
      </c>
      <c r="H343" s="3">
        <v>69.599999999999994</v>
      </c>
      <c r="I343" s="3">
        <v>24.2</v>
      </c>
      <c r="J343" s="3">
        <v>5.9</v>
      </c>
      <c r="K343" s="3">
        <v>0.3</v>
      </c>
      <c r="L343" s="3">
        <v>10.199999999999999</v>
      </c>
      <c r="M343" t="str">
        <f>IF(acs2015_county_data[[#This Row],[PublicWork]]&gt;='Описательные характеристики'!$F$5,"да","нет")</f>
        <v>да</v>
      </c>
      <c r="N343" t="str">
        <f>IF(acs2015_county_data[[#This Row],[Unemployment]]&gt;='Описательные характеристики'!$I$5,"да","нет")</f>
        <v>да</v>
      </c>
    </row>
    <row r="344" spans="1:14" x14ac:dyDescent="0.35">
      <c r="A344">
        <v>12047</v>
      </c>
      <c r="B344" t="s">
        <v>305</v>
      </c>
      <c r="C344" t="s">
        <v>323</v>
      </c>
      <c r="D344" s="2">
        <v>14395</v>
      </c>
      <c r="E344" s="2">
        <v>14742</v>
      </c>
      <c r="F344" s="3">
        <v>3.7</v>
      </c>
      <c r="G344" s="3">
        <v>3966</v>
      </c>
      <c r="H344" s="3">
        <v>65.900000000000006</v>
      </c>
      <c r="I344" s="3">
        <v>24.5</v>
      </c>
      <c r="J344" s="3">
        <v>8.8000000000000007</v>
      </c>
      <c r="K344" s="3">
        <v>0.8</v>
      </c>
      <c r="L344" s="3">
        <v>15.8</v>
      </c>
      <c r="M344" t="str">
        <f>IF(acs2015_county_data[[#This Row],[PublicWork]]&gt;='Описательные характеристики'!$F$5,"да","нет")</f>
        <v>да</v>
      </c>
      <c r="N344" t="str">
        <f>IF(acs2015_county_data[[#This Row],[Unemployment]]&gt;='Описательные характеристики'!$I$5,"да","нет")</f>
        <v>да</v>
      </c>
    </row>
    <row r="345" spans="1:14" x14ac:dyDescent="0.35">
      <c r="A345">
        <v>12049</v>
      </c>
      <c r="B345" t="s">
        <v>305</v>
      </c>
      <c r="C345" t="s">
        <v>324</v>
      </c>
      <c r="D345" s="2">
        <v>27468</v>
      </c>
      <c r="E345" s="2">
        <v>16298</v>
      </c>
      <c r="F345" s="3">
        <v>2.6</v>
      </c>
      <c r="G345" s="3">
        <v>9517</v>
      </c>
      <c r="H345" s="3">
        <v>78.900000000000006</v>
      </c>
      <c r="I345" s="3">
        <v>14.7</v>
      </c>
      <c r="J345" s="3">
        <v>6.3</v>
      </c>
      <c r="K345" s="3">
        <v>0.1</v>
      </c>
      <c r="L345" s="3">
        <v>11</v>
      </c>
      <c r="M345" t="str">
        <f>IF(acs2015_county_data[[#This Row],[PublicWork]]&gt;='Описательные характеристики'!$F$5,"да","нет")</f>
        <v>нет</v>
      </c>
      <c r="N345" t="str">
        <f>IF(acs2015_county_data[[#This Row],[Unemployment]]&gt;='Описательные характеристики'!$I$5,"да","нет")</f>
        <v>да</v>
      </c>
    </row>
    <row r="346" spans="1:14" x14ac:dyDescent="0.35">
      <c r="A346">
        <v>12051</v>
      </c>
      <c r="B346" t="s">
        <v>305</v>
      </c>
      <c r="C346" t="s">
        <v>325</v>
      </c>
      <c r="D346" s="2">
        <v>38363</v>
      </c>
      <c r="E346" s="2">
        <v>16980</v>
      </c>
      <c r="F346" s="3">
        <v>2.9</v>
      </c>
      <c r="G346" s="3">
        <v>14732</v>
      </c>
      <c r="H346" s="3">
        <v>81.3</v>
      </c>
      <c r="I346" s="3">
        <v>14.5</v>
      </c>
      <c r="J346" s="3">
        <v>4</v>
      </c>
      <c r="K346" s="3">
        <v>0.2</v>
      </c>
      <c r="L346" s="3">
        <v>11.9</v>
      </c>
      <c r="M346" t="str">
        <f>IF(acs2015_county_data[[#This Row],[PublicWork]]&gt;='Описательные характеристики'!$F$5,"да","нет")</f>
        <v>нет</v>
      </c>
      <c r="N346" t="str">
        <f>IF(acs2015_county_data[[#This Row],[Unemployment]]&gt;='Описательные характеристики'!$I$5,"да","нет")</f>
        <v>да</v>
      </c>
    </row>
    <row r="347" spans="1:14" x14ac:dyDescent="0.35">
      <c r="A347">
        <v>12053</v>
      </c>
      <c r="B347" t="s">
        <v>305</v>
      </c>
      <c r="C347" t="s">
        <v>326</v>
      </c>
      <c r="D347" s="2">
        <v>174809</v>
      </c>
      <c r="E347" s="2">
        <v>21586</v>
      </c>
      <c r="F347" s="3">
        <v>5</v>
      </c>
      <c r="G347" s="3">
        <v>58359</v>
      </c>
      <c r="H347" s="3">
        <v>79.900000000000006</v>
      </c>
      <c r="I347" s="3">
        <v>14.5</v>
      </c>
      <c r="J347" s="3">
        <v>5.4</v>
      </c>
      <c r="K347" s="3">
        <v>0.1</v>
      </c>
      <c r="L347" s="3">
        <v>13.7</v>
      </c>
      <c r="M347" t="str">
        <f>IF(acs2015_county_data[[#This Row],[PublicWork]]&gt;='Описательные характеристики'!$F$5,"да","нет")</f>
        <v>нет</v>
      </c>
      <c r="N347" t="str">
        <f>IF(acs2015_county_data[[#This Row],[Unemployment]]&gt;='Описательные характеристики'!$I$5,"да","нет")</f>
        <v>да</v>
      </c>
    </row>
    <row r="348" spans="1:14" x14ac:dyDescent="0.35">
      <c r="A348">
        <v>12055</v>
      </c>
      <c r="B348" t="s">
        <v>305</v>
      </c>
      <c r="C348" t="s">
        <v>327</v>
      </c>
      <c r="D348" s="2">
        <v>98328</v>
      </c>
      <c r="E348" s="2">
        <v>21117</v>
      </c>
      <c r="F348" s="3">
        <v>3.8</v>
      </c>
      <c r="G348" s="3">
        <v>31131</v>
      </c>
      <c r="H348" s="3">
        <v>78.400000000000006</v>
      </c>
      <c r="I348" s="3">
        <v>16.100000000000001</v>
      </c>
      <c r="J348" s="3">
        <v>5.4</v>
      </c>
      <c r="K348" s="3">
        <v>0.1</v>
      </c>
      <c r="L348" s="3">
        <v>13.3</v>
      </c>
      <c r="M348" t="str">
        <f>IF(acs2015_county_data[[#This Row],[PublicWork]]&gt;='Описательные характеристики'!$F$5,"да","нет")</f>
        <v>нет</v>
      </c>
      <c r="N348" t="str">
        <f>IF(acs2015_county_data[[#This Row],[Unemployment]]&gt;='Описательные характеристики'!$I$5,"да","нет")</f>
        <v>да</v>
      </c>
    </row>
    <row r="349" spans="1:14" x14ac:dyDescent="0.35">
      <c r="A349">
        <v>12057</v>
      </c>
      <c r="B349" t="s">
        <v>305</v>
      </c>
      <c r="C349" t="s">
        <v>328</v>
      </c>
      <c r="D349" s="2">
        <v>1302884</v>
      </c>
      <c r="E349" s="2">
        <v>27764</v>
      </c>
      <c r="F349" s="3">
        <v>5.5</v>
      </c>
      <c r="G349" s="3">
        <v>608977</v>
      </c>
      <c r="H349" s="3">
        <v>83.4</v>
      </c>
      <c r="I349" s="3">
        <v>12.2</v>
      </c>
      <c r="J349" s="3">
        <v>4.3</v>
      </c>
      <c r="K349" s="3">
        <v>0.1</v>
      </c>
      <c r="L349" s="3">
        <v>9</v>
      </c>
      <c r="M349" t="str">
        <f>IF(acs2015_county_data[[#This Row],[PublicWork]]&gt;='Описательные характеристики'!$F$5,"да","нет")</f>
        <v>нет</v>
      </c>
      <c r="N349" t="str">
        <f>IF(acs2015_county_data[[#This Row],[Unemployment]]&gt;='Описательные характеристики'!$I$5,"да","нет")</f>
        <v>да</v>
      </c>
    </row>
    <row r="350" spans="1:14" x14ac:dyDescent="0.35">
      <c r="A350">
        <v>12059</v>
      </c>
      <c r="B350" t="s">
        <v>305</v>
      </c>
      <c r="C350" t="s">
        <v>329</v>
      </c>
      <c r="D350" s="2">
        <v>19635</v>
      </c>
      <c r="E350" s="2">
        <v>16468</v>
      </c>
      <c r="F350" s="3">
        <v>2.7</v>
      </c>
      <c r="G350" s="3">
        <v>6118</v>
      </c>
      <c r="H350" s="3">
        <v>71.5</v>
      </c>
      <c r="I350" s="3">
        <v>22.3</v>
      </c>
      <c r="J350" s="3">
        <v>6.1</v>
      </c>
      <c r="K350" s="3">
        <v>0.1</v>
      </c>
      <c r="L350" s="3">
        <v>15.4</v>
      </c>
      <c r="M350" t="str">
        <f>IF(acs2015_county_data[[#This Row],[PublicWork]]&gt;='Описательные характеристики'!$F$5,"да","нет")</f>
        <v>да</v>
      </c>
      <c r="N350" t="str">
        <f>IF(acs2015_county_data[[#This Row],[Unemployment]]&gt;='Описательные характеристики'!$I$5,"да","нет")</f>
        <v>да</v>
      </c>
    </row>
    <row r="351" spans="1:14" x14ac:dyDescent="0.35">
      <c r="A351">
        <v>12061</v>
      </c>
      <c r="B351" t="s">
        <v>305</v>
      </c>
      <c r="C351" t="s">
        <v>330</v>
      </c>
      <c r="D351" s="2">
        <v>142866</v>
      </c>
      <c r="E351" s="2">
        <v>31882</v>
      </c>
      <c r="F351" s="3">
        <v>5.7</v>
      </c>
      <c r="G351" s="3">
        <v>53211</v>
      </c>
      <c r="H351" s="3">
        <v>80.8</v>
      </c>
      <c r="I351" s="3">
        <v>12.9</v>
      </c>
      <c r="J351" s="3">
        <v>6.1</v>
      </c>
      <c r="K351" s="3">
        <v>0.2</v>
      </c>
      <c r="L351" s="3">
        <v>12.2</v>
      </c>
      <c r="M351" t="str">
        <f>IF(acs2015_county_data[[#This Row],[PublicWork]]&gt;='Описательные характеристики'!$F$5,"да","нет")</f>
        <v>нет</v>
      </c>
      <c r="N351" t="str">
        <f>IF(acs2015_county_data[[#This Row],[Unemployment]]&gt;='Описательные характеристики'!$I$5,"да","нет")</f>
        <v>да</v>
      </c>
    </row>
    <row r="352" spans="1:14" x14ac:dyDescent="0.35">
      <c r="A352">
        <v>12063</v>
      </c>
      <c r="B352" t="s">
        <v>305</v>
      </c>
      <c r="C352" t="s">
        <v>49</v>
      </c>
      <c r="D352" s="2">
        <v>48900</v>
      </c>
      <c r="E352" s="2">
        <v>17196</v>
      </c>
      <c r="F352" s="3">
        <v>1.9</v>
      </c>
      <c r="G352" s="3">
        <v>15621</v>
      </c>
      <c r="H352" s="3">
        <v>62.1</v>
      </c>
      <c r="I352" s="3">
        <v>32.1</v>
      </c>
      <c r="J352" s="3">
        <v>5.6</v>
      </c>
      <c r="K352" s="3">
        <v>0.2</v>
      </c>
      <c r="L352" s="3">
        <v>13.2</v>
      </c>
      <c r="M352" t="str">
        <f>IF(acs2015_county_data[[#This Row],[PublicWork]]&gt;='Описательные характеристики'!$F$5,"да","нет")</f>
        <v>да</v>
      </c>
      <c r="N352" t="str">
        <f>IF(acs2015_county_data[[#This Row],[Unemployment]]&gt;='Описательные характеристики'!$I$5,"да","нет")</f>
        <v>да</v>
      </c>
    </row>
    <row r="353" spans="1:14" x14ac:dyDescent="0.35">
      <c r="A353">
        <v>12065</v>
      </c>
      <c r="B353" t="s">
        <v>305</v>
      </c>
      <c r="C353" t="s">
        <v>50</v>
      </c>
      <c r="D353" s="2">
        <v>14198</v>
      </c>
      <c r="E353" s="2">
        <v>21080</v>
      </c>
      <c r="F353" s="3">
        <v>5.0999999999999996</v>
      </c>
      <c r="G353" s="3">
        <v>4946</v>
      </c>
      <c r="H353" s="3">
        <v>58.6</v>
      </c>
      <c r="I353" s="3">
        <v>34.700000000000003</v>
      </c>
      <c r="J353" s="3">
        <v>6.7</v>
      </c>
      <c r="K353" s="3">
        <v>0</v>
      </c>
      <c r="L353" s="3">
        <v>9.4</v>
      </c>
      <c r="M353" t="str">
        <f>IF(acs2015_county_data[[#This Row],[PublicWork]]&gt;='Описательные характеристики'!$F$5,"да","нет")</f>
        <v>да</v>
      </c>
      <c r="N353" t="str">
        <f>IF(acs2015_county_data[[#This Row],[Unemployment]]&gt;='Описательные характеристики'!$I$5,"да","нет")</f>
        <v>да</v>
      </c>
    </row>
    <row r="354" spans="1:14" x14ac:dyDescent="0.35">
      <c r="A354">
        <v>12067</v>
      </c>
      <c r="B354" t="s">
        <v>305</v>
      </c>
      <c r="C354" t="s">
        <v>151</v>
      </c>
      <c r="D354" s="2">
        <v>8801</v>
      </c>
      <c r="E354" s="2">
        <v>19404</v>
      </c>
      <c r="F354" s="3">
        <v>3.6</v>
      </c>
      <c r="G354" s="3">
        <v>2685</v>
      </c>
      <c r="H354" s="3">
        <v>59.1</v>
      </c>
      <c r="I354" s="3">
        <v>33.1</v>
      </c>
      <c r="J354" s="3">
        <v>7.8</v>
      </c>
      <c r="K354" s="3">
        <v>0</v>
      </c>
      <c r="L354" s="3">
        <v>14.6</v>
      </c>
      <c r="M354" t="str">
        <f>IF(acs2015_county_data[[#This Row],[PublicWork]]&gt;='Описательные характеристики'!$F$5,"да","нет")</f>
        <v>да</v>
      </c>
      <c r="N354" t="str">
        <f>IF(acs2015_county_data[[#This Row],[Unemployment]]&gt;='Описательные характеристики'!$I$5,"да","нет")</f>
        <v>да</v>
      </c>
    </row>
    <row r="355" spans="1:14" x14ac:dyDescent="0.35">
      <c r="A355">
        <v>12069</v>
      </c>
      <c r="B355" t="s">
        <v>305</v>
      </c>
      <c r="C355" t="s">
        <v>196</v>
      </c>
      <c r="D355" s="2">
        <v>310561</v>
      </c>
      <c r="E355" s="2">
        <v>24236</v>
      </c>
      <c r="F355" s="3">
        <v>5.3</v>
      </c>
      <c r="G355" s="3">
        <v>121642</v>
      </c>
      <c r="H355" s="3">
        <v>81.5</v>
      </c>
      <c r="I355" s="3">
        <v>13.1</v>
      </c>
      <c r="J355" s="3">
        <v>5.2</v>
      </c>
      <c r="K355" s="3">
        <v>0.1</v>
      </c>
      <c r="L355" s="3">
        <v>9.6999999999999993</v>
      </c>
      <c r="M355" t="str">
        <f>IF(acs2015_county_data[[#This Row],[PublicWork]]&gt;='Описательные характеристики'!$F$5,"да","нет")</f>
        <v>нет</v>
      </c>
      <c r="N355" t="str">
        <f>IF(acs2015_county_data[[#This Row],[Unemployment]]&gt;='Описательные характеристики'!$I$5,"да","нет")</f>
        <v>да</v>
      </c>
    </row>
    <row r="356" spans="1:14" x14ac:dyDescent="0.35">
      <c r="A356">
        <v>12071</v>
      </c>
      <c r="B356" t="s">
        <v>305</v>
      </c>
      <c r="C356" t="s">
        <v>53</v>
      </c>
      <c r="D356" s="2">
        <v>663675</v>
      </c>
      <c r="E356" s="2">
        <v>28010</v>
      </c>
      <c r="F356" s="3">
        <v>5.6</v>
      </c>
      <c r="G356" s="3">
        <v>263079</v>
      </c>
      <c r="H356" s="3">
        <v>82.8</v>
      </c>
      <c r="I356" s="3">
        <v>10.6</v>
      </c>
      <c r="J356" s="3">
        <v>6.4</v>
      </c>
      <c r="K356" s="3">
        <v>0.2</v>
      </c>
      <c r="L356" s="3">
        <v>10.1</v>
      </c>
      <c r="M356" t="str">
        <f>IF(acs2015_county_data[[#This Row],[PublicWork]]&gt;='Описательные характеристики'!$F$5,"да","нет")</f>
        <v>нет</v>
      </c>
      <c r="N356" t="str">
        <f>IF(acs2015_county_data[[#This Row],[Unemployment]]&gt;='Описательные характеристики'!$I$5,"да","нет")</f>
        <v>да</v>
      </c>
    </row>
    <row r="357" spans="1:14" x14ac:dyDescent="0.35">
      <c r="A357">
        <v>12073</v>
      </c>
      <c r="B357" t="s">
        <v>305</v>
      </c>
      <c r="C357" t="s">
        <v>331</v>
      </c>
      <c r="D357" s="2">
        <v>282940</v>
      </c>
      <c r="E357" s="2">
        <v>26522</v>
      </c>
      <c r="F357" s="3">
        <v>3.7</v>
      </c>
      <c r="G357" s="3">
        <v>140338</v>
      </c>
      <c r="H357" s="3">
        <v>64.400000000000006</v>
      </c>
      <c r="I357" s="3">
        <v>31.2</v>
      </c>
      <c r="J357" s="3">
        <v>4.3</v>
      </c>
      <c r="K357" s="3">
        <v>0.1</v>
      </c>
      <c r="L357" s="3">
        <v>10.6</v>
      </c>
      <c r="M357" t="str">
        <f>IF(acs2015_county_data[[#This Row],[PublicWork]]&gt;='Описательные характеристики'!$F$5,"да","нет")</f>
        <v>да</v>
      </c>
      <c r="N357" t="str">
        <f>IF(acs2015_county_data[[#This Row],[Unemployment]]&gt;='Описательные характеристики'!$I$5,"да","нет")</f>
        <v>да</v>
      </c>
    </row>
    <row r="358" spans="1:14" x14ac:dyDescent="0.35">
      <c r="A358">
        <v>12075</v>
      </c>
      <c r="B358" t="s">
        <v>305</v>
      </c>
      <c r="C358" t="s">
        <v>332</v>
      </c>
      <c r="D358" s="2">
        <v>39821</v>
      </c>
      <c r="E358" s="2">
        <v>20299</v>
      </c>
      <c r="F358" s="3">
        <v>5.8</v>
      </c>
      <c r="G358" s="3">
        <v>14392</v>
      </c>
      <c r="H358" s="3">
        <v>70.900000000000006</v>
      </c>
      <c r="I358" s="3">
        <v>18.7</v>
      </c>
      <c r="J358" s="3">
        <v>10.3</v>
      </c>
      <c r="K358" s="3">
        <v>0.1</v>
      </c>
      <c r="L358" s="3">
        <v>11.1</v>
      </c>
      <c r="M358" t="str">
        <f>IF(acs2015_county_data[[#This Row],[PublicWork]]&gt;='Описательные характеристики'!$F$5,"да","нет")</f>
        <v>да</v>
      </c>
      <c r="N358" t="str">
        <f>IF(acs2015_county_data[[#This Row],[Unemployment]]&gt;='Описательные характеристики'!$I$5,"да","нет")</f>
        <v>да</v>
      </c>
    </row>
    <row r="359" spans="1:14" x14ac:dyDescent="0.35">
      <c r="A359">
        <v>12077</v>
      </c>
      <c r="B359" t="s">
        <v>305</v>
      </c>
      <c r="C359" t="s">
        <v>333</v>
      </c>
      <c r="D359" s="2">
        <v>8295</v>
      </c>
      <c r="E359" s="2">
        <v>16972</v>
      </c>
      <c r="F359" s="3">
        <v>1.8</v>
      </c>
      <c r="G359" s="3">
        <v>2748</v>
      </c>
      <c r="H359" s="3">
        <v>52.2</v>
      </c>
      <c r="I359" s="3">
        <v>38.6</v>
      </c>
      <c r="J359" s="3">
        <v>9.1999999999999993</v>
      </c>
      <c r="K359" s="3">
        <v>0</v>
      </c>
      <c r="L359" s="3">
        <v>10.199999999999999</v>
      </c>
      <c r="M359" t="str">
        <f>IF(acs2015_county_data[[#This Row],[PublicWork]]&gt;='Описательные характеристики'!$F$5,"да","нет")</f>
        <v>да</v>
      </c>
      <c r="N359" t="str">
        <f>IF(acs2015_county_data[[#This Row],[Unemployment]]&gt;='Описательные характеристики'!$I$5,"да","нет")</f>
        <v>да</v>
      </c>
    </row>
    <row r="360" spans="1:14" x14ac:dyDescent="0.35">
      <c r="A360">
        <v>12079</v>
      </c>
      <c r="B360" t="s">
        <v>305</v>
      </c>
      <c r="C360" t="s">
        <v>57</v>
      </c>
      <c r="D360" s="2">
        <v>18729</v>
      </c>
      <c r="E360" s="2">
        <v>16274</v>
      </c>
      <c r="F360" s="3">
        <v>3.6</v>
      </c>
      <c r="G360" s="3">
        <v>6141</v>
      </c>
      <c r="H360" s="3">
        <v>67.5</v>
      </c>
      <c r="I360" s="3">
        <v>26.7</v>
      </c>
      <c r="J360" s="3">
        <v>5.7</v>
      </c>
      <c r="K360" s="3">
        <v>0.1</v>
      </c>
      <c r="L360" s="3">
        <v>11.8</v>
      </c>
      <c r="M360" t="str">
        <f>IF(acs2015_county_data[[#This Row],[PublicWork]]&gt;='Описательные характеристики'!$F$5,"да","нет")</f>
        <v>да</v>
      </c>
      <c r="N360" t="str">
        <f>IF(acs2015_county_data[[#This Row],[Unemployment]]&gt;='Описательные характеристики'!$I$5,"да","нет")</f>
        <v>да</v>
      </c>
    </row>
    <row r="361" spans="1:14" x14ac:dyDescent="0.35">
      <c r="A361">
        <v>12081</v>
      </c>
      <c r="B361" t="s">
        <v>305</v>
      </c>
      <c r="C361" t="s">
        <v>1995</v>
      </c>
      <c r="D361" s="2">
        <v>343729</v>
      </c>
      <c r="E361" s="2">
        <v>27958</v>
      </c>
      <c r="F361" s="3">
        <v>6.7</v>
      </c>
      <c r="G361" s="3">
        <v>140416</v>
      </c>
      <c r="H361" s="3">
        <v>82.3</v>
      </c>
      <c r="I361" s="3">
        <v>11.8</v>
      </c>
      <c r="J361" s="3">
        <v>5.5</v>
      </c>
      <c r="K361" s="3">
        <v>0.3</v>
      </c>
      <c r="L361" s="3">
        <v>8.6</v>
      </c>
      <c r="M361" t="str">
        <f>IF(acs2015_county_data[[#This Row],[PublicWork]]&gt;='Описательные характеристики'!$F$5,"да","нет")</f>
        <v>нет</v>
      </c>
      <c r="N361" t="str">
        <f>IF(acs2015_county_data[[#This Row],[Unemployment]]&gt;='Описательные характеристики'!$I$5,"да","нет")</f>
        <v>да</v>
      </c>
    </row>
    <row r="362" spans="1:14" x14ac:dyDescent="0.35">
      <c r="A362">
        <v>12083</v>
      </c>
      <c r="B362" t="s">
        <v>305</v>
      </c>
      <c r="C362" t="s">
        <v>59</v>
      </c>
      <c r="D362" s="2">
        <v>336811</v>
      </c>
      <c r="E362" s="2">
        <v>21675</v>
      </c>
      <c r="F362" s="3">
        <v>5.7</v>
      </c>
      <c r="G362" s="3">
        <v>115459</v>
      </c>
      <c r="H362" s="3">
        <v>80.3</v>
      </c>
      <c r="I362" s="3">
        <v>12.4</v>
      </c>
      <c r="J362" s="3">
        <v>6.9</v>
      </c>
      <c r="K362" s="3">
        <v>0.4</v>
      </c>
      <c r="L362" s="3">
        <v>12</v>
      </c>
      <c r="M362" t="str">
        <f>IF(acs2015_county_data[[#This Row],[PublicWork]]&gt;='Описательные характеристики'!$F$5,"да","нет")</f>
        <v>нет</v>
      </c>
      <c r="N362" t="str">
        <f>IF(acs2015_county_data[[#This Row],[Unemployment]]&gt;='Описательные характеристики'!$I$5,"да","нет")</f>
        <v>да</v>
      </c>
    </row>
    <row r="363" spans="1:14" x14ac:dyDescent="0.35">
      <c r="A363">
        <v>12085</v>
      </c>
      <c r="B363" t="s">
        <v>305</v>
      </c>
      <c r="C363" t="s">
        <v>334</v>
      </c>
      <c r="D363" s="2">
        <v>151586</v>
      </c>
      <c r="E363" s="2">
        <v>34742</v>
      </c>
      <c r="F363" s="3">
        <v>7.9</v>
      </c>
      <c r="G363" s="3">
        <v>61157</v>
      </c>
      <c r="H363" s="3">
        <v>81.7</v>
      </c>
      <c r="I363" s="3">
        <v>11.4</v>
      </c>
      <c r="J363" s="3">
        <v>6.7</v>
      </c>
      <c r="K363" s="3">
        <v>0.2</v>
      </c>
      <c r="L363" s="3">
        <v>9.6999999999999993</v>
      </c>
      <c r="M363" t="str">
        <f>IF(acs2015_county_data[[#This Row],[PublicWork]]&gt;='Описательные характеристики'!$F$5,"да","нет")</f>
        <v>нет</v>
      </c>
      <c r="N363" t="str">
        <f>IF(acs2015_county_data[[#This Row],[Unemployment]]&gt;='Описательные характеристики'!$I$5,"да","нет")</f>
        <v>да</v>
      </c>
    </row>
    <row r="364" spans="1:14" x14ac:dyDescent="0.35">
      <c r="A364">
        <v>12086</v>
      </c>
      <c r="B364" t="s">
        <v>305</v>
      </c>
      <c r="C364" t="s">
        <v>335</v>
      </c>
      <c r="D364" s="2">
        <v>2639042</v>
      </c>
      <c r="E364" s="2">
        <v>23850</v>
      </c>
      <c r="F364" s="3">
        <v>4.3</v>
      </c>
      <c r="G364" s="3">
        <v>1204871</v>
      </c>
      <c r="H364" s="3">
        <v>81.900000000000006</v>
      </c>
      <c r="I364" s="3">
        <v>10.199999999999999</v>
      </c>
      <c r="J364" s="3">
        <v>7.7</v>
      </c>
      <c r="K364" s="3">
        <v>0.2</v>
      </c>
      <c r="L364" s="3">
        <v>10</v>
      </c>
      <c r="M364" t="str">
        <f>IF(acs2015_county_data[[#This Row],[PublicWork]]&gt;='Описательные характеристики'!$F$5,"да","нет")</f>
        <v>нет</v>
      </c>
      <c r="N364" t="str">
        <f>IF(acs2015_county_data[[#This Row],[Unemployment]]&gt;='Описательные характеристики'!$I$5,"да","нет")</f>
        <v>да</v>
      </c>
    </row>
    <row r="365" spans="1:14" x14ac:dyDescent="0.35">
      <c r="A365">
        <v>12087</v>
      </c>
      <c r="B365" t="s">
        <v>305</v>
      </c>
      <c r="C365" t="s">
        <v>62</v>
      </c>
      <c r="D365" s="2">
        <v>75901</v>
      </c>
      <c r="E365" s="2">
        <v>36208</v>
      </c>
      <c r="F365" s="3">
        <v>5.6</v>
      </c>
      <c r="G365" s="3">
        <v>38504</v>
      </c>
      <c r="H365" s="3">
        <v>76.7</v>
      </c>
      <c r="I365" s="3">
        <v>14</v>
      </c>
      <c r="J365" s="3">
        <v>9.1</v>
      </c>
      <c r="K365" s="3">
        <v>0.2</v>
      </c>
      <c r="L365" s="3">
        <v>6</v>
      </c>
      <c r="M365" t="str">
        <f>IF(acs2015_county_data[[#This Row],[PublicWork]]&gt;='Описательные характеристики'!$F$5,"да","нет")</f>
        <v>нет</v>
      </c>
      <c r="N365" t="str">
        <f>IF(acs2015_county_data[[#This Row],[Unemployment]]&gt;='Описательные характеристики'!$I$5,"да","нет")</f>
        <v>нет</v>
      </c>
    </row>
    <row r="366" spans="1:14" x14ac:dyDescent="0.35">
      <c r="A366">
        <v>12089</v>
      </c>
      <c r="B366" t="s">
        <v>305</v>
      </c>
      <c r="C366" t="s">
        <v>336</v>
      </c>
      <c r="D366" s="2">
        <v>75880</v>
      </c>
      <c r="E366" s="2">
        <v>28670</v>
      </c>
      <c r="F366" s="3">
        <v>3.1</v>
      </c>
      <c r="G366" s="3">
        <v>31605</v>
      </c>
      <c r="H366" s="3">
        <v>81</v>
      </c>
      <c r="I366" s="3">
        <v>13.5</v>
      </c>
      <c r="J366" s="3">
        <v>5.4</v>
      </c>
      <c r="K366" s="3">
        <v>0.1</v>
      </c>
      <c r="L366" s="3">
        <v>9.8000000000000007</v>
      </c>
      <c r="M366" t="str">
        <f>IF(acs2015_county_data[[#This Row],[PublicWork]]&gt;='Описательные характеристики'!$F$5,"да","нет")</f>
        <v>нет</v>
      </c>
      <c r="N366" t="str">
        <f>IF(acs2015_county_data[[#This Row],[Unemployment]]&gt;='Описательные характеристики'!$I$5,"да","нет")</f>
        <v>да</v>
      </c>
    </row>
    <row r="367" spans="1:14" x14ac:dyDescent="0.35">
      <c r="A367">
        <v>12091</v>
      </c>
      <c r="B367" t="s">
        <v>305</v>
      </c>
      <c r="C367" t="s">
        <v>337</v>
      </c>
      <c r="D367" s="2">
        <v>192237</v>
      </c>
      <c r="E367" s="2">
        <v>28902</v>
      </c>
      <c r="F367" s="3">
        <v>3</v>
      </c>
      <c r="G367" s="3">
        <v>84899</v>
      </c>
      <c r="H367" s="3">
        <v>73.7</v>
      </c>
      <c r="I367" s="3">
        <v>20.100000000000001</v>
      </c>
      <c r="J367" s="3">
        <v>6.1</v>
      </c>
      <c r="K367" s="3">
        <v>0.1</v>
      </c>
      <c r="L367" s="3">
        <v>6.9</v>
      </c>
      <c r="M367" t="str">
        <f>IF(acs2015_county_data[[#This Row],[PublicWork]]&gt;='Описательные характеристики'!$F$5,"да","нет")</f>
        <v>да</v>
      </c>
      <c r="N367" t="str">
        <f>IF(acs2015_county_data[[#This Row],[Unemployment]]&gt;='Описательные характеристики'!$I$5,"да","нет")</f>
        <v>нет</v>
      </c>
    </row>
    <row r="368" spans="1:14" x14ac:dyDescent="0.35">
      <c r="A368">
        <v>12093</v>
      </c>
      <c r="B368" t="s">
        <v>305</v>
      </c>
      <c r="C368" t="s">
        <v>338</v>
      </c>
      <c r="D368" s="2">
        <v>39255</v>
      </c>
      <c r="E368" s="2">
        <v>16931</v>
      </c>
      <c r="F368" s="3">
        <v>3.2</v>
      </c>
      <c r="G368" s="3">
        <v>13227</v>
      </c>
      <c r="H368" s="3">
        <v>81</v>
      </c>
      <c r="I368" s="3">
        <v>13.2</v>
      </c>
      <c r="J368" s="3">
        <v>5.7</v>
      </c>
      <c r="K368" s="3">
        <v>0.1</v>
      </c>
      <c r="L368" s="3">
        <v>11.8</v>
      </c>
      <c r="M368" t="str">
        <f>IF(acs2015_county_data[[#This Row],[PublicWork]]&gt;='Описательные характеристики'!$F$5,"да","нет")</f>
        <v>нет</v>
      </c>
      <c r="N368" t="str">
        <f>IF(acs2015_county_data[[#This Row],[Unemployment]]&gt;='Описательные характеристики'!$I$5,"да","нет")</f>
        <v>да</v>
      </c>
    </row>
    <row r="369" spans="1:14" x14ac:dyDescent="0.35">
      <c r="A369">
        <v>12095</v>
      </c>
      <c r="B369" t="s">
        <v>305</v>
      </c>
      <c r="C369" t="s">
        <v>208</v>
      </c>
      <c r="D369" s="2">
        <v>1229039</v>
      </c>
      <c r="E369" s="2">
        <v>25411</v>
      </c>
      <c r="F369" s="3">
        <v>4.5999999999999996</v>
      </c>
      <c r="G369" s="3">
        <v>603683</v>
      </c>
      <c r="H369" s="3">
        <v>86.5</v>
      </c>
      <c r="I369" s="3">
        <v>9.1</v>
      </c>
      <c r="J369" s="3">
        <v>4.3</v>
      </c>
      <c r="K369" s="3">
        <v>0.1</v>
      </c>
      <c r="L369" s="3">
        <v>9.1</v>
      </c>
      <c r="M369" t="str">
        <f>IF(acs2015_county_data[[#This Row],[PublicWork]]&gt;='Описательные характеристики'!$F$5,"да","нет")</f>
        <v>нет</v>
      </c>
      <c r="N369" t="str">
        <f>IF(acs2015_county_data[[#This Row],[Unemployment]]&gt;='Описательные характеристики'!$I$5,"да","нет")</f>
        <v>да</v>
      </c>
    </row>
    <row r="370" spans="1:14" x14ac:dyDescent="0.35">
      <c r="A370">
        <v>12097</v>
      </c>
      <c r="B370" t="s">
        <v>305</v>
      </c>
      <c r="C370" t="s">
        <v>339</v>
      </c>
      <c r="D370" s="2">
        <v>300870</v>
      </c>
      <c r="E370" s="2">
        <v>19165</v>
      </c>
      <c r="F370" s="3">
        <v>3.9</v>
      </c>
      <c r="G370" s="3">
        <v>131450</v>
      </c>
      <c r="H370" s="3">
        <v>84.6</v>
      </c>
      <c r="I370" s="3">
        <v>11.2</v>
      </c>
      <c r="J370" s="3">
        <v>4.2</v>
      </c>
      <c r="K370" s="3">
        <v>0</v>
      </c>
      <c r="L370" s="3">
        <v>9.8000000000000007</v>
      </c>
      <c r="M370" t="str">
        <f>IF(acs2015_county_data[[#This Row],[PublicWork]]&gt;='Описательные характеристики'!$F$5,"да","нет")</f>
        <v>нет</v>
      </c>
      <c r="N370" t="str">
        <f>IF(acs2015_county_data[[#This Row],[Unemployment]]&gt;='Описательные характеристики'!$I$5,"да","нет")</f>
        <v>да</v>
      </c>
    </row>
    <row r="371" spans="1:14" x14ac:dyDescent="0.35">
      <c r="A371">
        <v>12099</v>
      </c>
      <c r="B371" t="s">
        <v>305</v>
      </c>
      <c r="C371" t="s">
        <v>340</v>
      </c>
      <c r="D371" s="2">
        <v>1378806</v>
      </c>
      <c r="E371" s="2">
        <v>33650</v>
      </c>
      <c r="F371" s="3">
        <v>5.9</v>
      </c>
      <c r="G371" s="3">
        <v>617902</v>
      </c>
      <c r="H371" s="3">
        <v>82.6</v>
      </c>
      <c r="I371" s="3">
        <v>10.8</v>
      </c>
      <c r="J371" s="3">
        <v>6.5</v>
      </c>
      <c r="K371" s="3">
        <v>0.1</v>
      </c>
      <c r="L371" s="3">
        <v>9.5</v>
      </c>
      <c r="M371" t="str">
        <f>IF(acs2015_county_data[[#This Row],[PublicWork]]&gt;='Описательные характеристики'!$F$5,"да","нет")</f>
        <v>нет</v>
      </c>
      <c r="N371" t="str">
        <f>IF(acs2015_county_data[[#This Row],[Unemployment]]&gt;='Описательные характеристики'!$I$5,"да","нет")</f>
        <v>да</v>
      </c>
    </row>
    <row r="372" spans="1:14" x14ac:dyDescent="0.35">
      <c r="A372">
        <v>12101</v>
      </c>
      <c r="B372" t="s">
        <v>305</v>
      </c>
      <c r="C372" t="s">
        <v>341</v>
      </c>
      <c r="D372" s="2">
        <v>479288</v>
      </c>
      <c r="E372" s="2">
        <v>24455</v>
      </c>
      <c r="F372" s="3">
        <v>6.7</v>
      </c>
      <c r="G372" s="3">
        <v>187556</v>
      </c>
      <c r="H372" s="3">
        <v>81.2</v>
      </c>
      <c r="I372" s="3">
        <v>13.3</v>
      </c>
      <c r="J372" s="3">
        <v>5.3</v>
      </c>
      <c r="K372" s="3">
        <v>0.2</v>
      </c>
      <c r="L372" s="3">
        <v>9.4</v>
      </c>
      <c r="M372" t="str">
        <f>IF(acs2015_county_data[[#This Row],[PublicWork]]&gt;='Описательные характеристики'!$F$5,"да","нет")</f>
        <v>нет</v>
      </c>
      <c r="N372" t="str">
        <f>IF(acs2015_county_data[[#This Row],[Unemployment]]&gt;='Описательные характеристики'!$I$5,"да","нет")</f>
        <v>да</v>
      </c>
    </row>
    <row r="373" spans="1:14" x14ac:dyDescent="0.35">
      <c r="A373">
        <v>12103</v>
      </c>
      <c r="B373" t="s">
        <v>305</v>
      </c>
      <c r="C373" t="s">
        <v>342</v>
      </c>
      <c r="D373" s="2">
        <v>931477</v>
      </c>
      <c r="E373" s="2">
        <v>30170</v>
      </c>
      <c r="F373" s="3">
        <v>5.5</v>
      </c>
      <c r="G373" s="3">
        <v>423351</v>
      </c>
      <c r="H373" s="3">
        <v>83.7</v>
      </c>
      <c r="I373" s="3">
        <v>10.9</v>
      </c>
      <c r="J373" s="3">
        <v>5.2</v>
      </c>
      <c r="K373" s="3">
        <v>0.2</v>
      </c>
      <c r="L373" s="3">
        <v>8.4</v>
      </c>
      <c r="M373" t="str">
        <f>IF(acs2015_county_data[[#This Row],[PublicWork]]&gt;='Описательные характеристики'!$F$5,"да","нет")</f>
        <v>нет</v>
      </c>
      <c r="N373" t="str">
        <f>IF(acs2015_county_data[[#This Row],[Unemployment]]&gt;='Описательные характеристики'!$I$5,"да","нет")</f>
        <v>да</v>
      </c>
    </row>
    <row r="374" spans="1:14" x14ac:dyDescent="0.35">
      <c r="A374">
        <v>12105</v>
      </c>
      <c r="B374" t="s">
        <v>305</v>
      </c>
      <c r="C374" t="s">
        <v>164</v>
      </c>
      <c r="D374" s="2">
        <v>626676</v>
      </c>
      <c r="E374" s="2">
        <v>21196</v>
      </c>
      <c r="F374" s="3">
        <v>4</v>
      </c>
      <c r="G374" s="3">
        <v>245853</v>
      </c>
      <c r="H374" s="3">
        <v>82.6</v>
      </c>
      <c r="I374" s="3">
        <v>12</v>
      </c>
      <c r="J374" s="3">
        <v>5.3</v>
      </c>
      <c r="K374" s="3">
        <v>0.1</v>
      </c>
      <c r="L374" s="3">
        <v>10.6</v>
      </c>
      <c r="M374" t="str">
        <f>IF(acs2015_county_data[[#This Row],[PublicWork]]&gt;='Описательные характеристики'!$F$5,"да","нет")</f>
        <v>нет</v>
      </c>
      <c r="N374" t="str">
        <f>IF(acs2015_county_data[[#This Row],[Unemployment]]&gt;='Описательные характеристики'!$I$5,"да","нет")</f>
        <v>да</v>
      </c>
    </row>
    <row r="375" spans="1:14" x14ac:dyDescent="0.35">
      <c r="A375">
        <v>12107</v>
      </c>
      <c r="B375" t="s">
        <v>305</v>
      </c>
      <c r="C375" t="s">
        <v>343</v>
      </c>
      <c r="D375" s="2">
        <v>72696</v>
      </c>
      <c r="E375" s="2">
        <v>18082</v>
      </c>
      <c r="F375" s="3">
        <v>4.3</v>
      </c>
      <c r="G375" s="3">
        <v>24209</v>
      </c>
      <c r="H375" s="3">
        <v>76.599999999999994</v>
      </c>
      <c r="I375" s="3">
        <v>17.3</v>
      </c>
      <c r="J375" s="3">
        <v>5.9</v>
      </c>
      <c r="K375" s="3">
        <v>0.2</v>
      </c>
      <c r="L375" s="3">
        <v>12.6</v>
      </c>
      <c r="M375" t="str">
        <f>IF(acs2015_county_data[[#This Row],[PublicWork]]&gt;='Описательные характеристики'!$F$5,"да","нет")</f>
        <v>да</v>
      </c>
      <c r="N375" t="str">
        <f>IF(acs2015_county_data[[#This Row],[Unemployment]]&gt;='Описательные характеристики'!$I$5,"да","нет")</f>
        <v>да</v>
      </c>
    </row>
    <row r="376" spans="1:14" x14ac:dyDescent="0.35">
      <c r="A376">
        <v>12109</v>
      </c>
      <c r="B376" t="s">
        <v>305</v>
      </c>
      <c r="C376" t="s">
        <v>344</v>
      </c>
      <c r="D376" s="2">
        <v>210495</v>
      </c>
      <c r="E376" s="2">
        <v>37581</v>
      </c>
      <c r="F376" s="3">
        <v>6.7</v>
      </c>
      <c r="G376" s="3">
        <v>96436</v>
      </c>
      <c r="H376" s="3">
        <v>83</v>
      </c>
      <c r="I376" s="3">
        <v>12.1</v>
      </c>
      <c r="J376" s="3">
        <v>4.8</v>
      </c>
      <c r="K376" s="3">
        <v>0.2</v>
      </c>
      <c r="L376" s="3">
        <v>6.7</v>
      </c>
      <c r="M376" t="str">
        <f>IF(acs2015_county_data[[#This Row],[PublicWork]]&gt;='Описательные характеристики'!$F$5,"да","нет")</f>
        <v>нет</v>
      </c>
      <c r="N376" t="str">
        <f>IF(acs2015_county_data[[#This Row],[Unemployment]]&gt;='Описательные характеристики'!$I$5,"да","нет")</f>
        <v>нет</v>
      </c>
    </row>
    <row r="377" spans="1:14" x14ac:dyDescent="0.35">
      <c r="A377">
        <v>12111</v>
      </c>
      <c r="B377" t="s">
        <v>305</v>
      </c>
      <c r="C377" t="s">
        <v>345</v>
      </c>
      <c r="D377" s="2">
        <v>288006</v>
      </c>
      <c r="E377" s="2">
        <v>23657</v>
      </c>
      <c r="F377" s="3">
        <v>5.6</v>
      </c>
      <c r="G377" s="3">
        <v>112310</v>
      </c>
      <c r="H377" s="3">
        <v>80.2</v>
      </c>
      <c r="I377" s="3">
        <v>13.5</v>
      </c>
      <c r="J377" s="3">
        <v>6.1</v>
      </c>
      <c r="K377" s="3">
        <v>0.3</v>
      </c>
      <c r="L377" s="3">
        <v>12.4</v>
      </c>
      <c r="M377" t="str">
        <f>IF(acs2015_county_data[[#This Row],[PublicWork]]&gt;='Описательные характеристики'!$F$5,"да","нет")</f>
        <v>нет</v>
      </c>
      <c r="N377" t="str">
        <f>IF(acs2015_county_data[[#This Row],[Unemployment]]&gt;='Описательные характеристики'!$I$5,"да","нет")</f>
        <v>да</v>
      </c>
    </row>
    <row r="378" spans="1:14" x14ac:dyDescent="0.35">
      <c r="A378">
        <v>12113</v>
      </c>
      <c r="B378" t="s">
        <v>305</v>
      </c>
      <c r="C378" t="s">
        <v>346</v>
      </c>
      <c r="D378" s="2">
        <v>161021</v>
      </c>
      <c r="E378" s="2">
        <v>27892</v>
      </c>
      <c r="F378" s="3">
        <v>4.7</v>
      </c>
      <c r="G378" s="3">
        <v>67510</v>
      </c>
      <c r="H378" s="3">
        <v>75.099999999999994</v>
      </c>
      <c r="I378" s="3">
        <v>18.100000000000001</v>
      </c>
      <c r="J378" s="3">
        <v>6.7</v>
      </c>
      <c r="K378" s="3">
        <v>0.1</v>
      </c>
      <c r="L378" s="3">
        <v>7.9</v>
      </c>
      <c r="M378" t="str">
        <f>IF(acs2015_county_data[[#This Row],[PublicWork]]&gt;='Описательные характеристики'!$F$5,"да","нет")</f>
        <v>да</v>
      </c>
      <c r="N378" t="str">
        <f>IF(acs2015_county_data[[#This Row],[Unemployment]]&gt;='Описательные характеристики'!$I$5,"да","нет")</f>
        <v>да</v>
      </c>
    </row>
    <row r="379" spans="1:14" x14ac:dyDescent="0.35">
      <c r="A379">
        <v>12115</v>
      </c>
      <c r="B379" t="s">
        <v>305</v>
      </c>
      <c r="C379" t="s">
        <v>347</v>
      </c>
      <c r="D379" s="2">
        <v>392038</v>
      </c>
      <c r="E379" s="2">
        <v>34479</v>
      </c>
      <c r="F379" s="3">
        <v>5.8</v>
      </c>
      <c r="G379" s="3">
        <v>155023</v>
      </c>
      <c r="H379" s="3">
        <v>81.599999999999994</v>
      </c>
      <c r="I379" s="3">
        <v>9.6999999999999993</v>
      </c>
      <c r="J379" s="3">
        <v>8.5</v>
      </c>
      <c r="K379" s="3">
        <v>0.2</v>
      </c>
      <c r="L379" s="3">
        <v>8.1999999999999993</v>
      </c>
      <c r="M379" t="str">
        <f>IF(acs2015_county_data[[#This Row],[PublicWork]]&gt;='Описательные характеристики'!$F$5,"да","нет")</f>
        <v>нет</v>
      </c>
      <c r="N379" t="str">
        <f>IF(acs2015_county_data[[#This Row],[Unemployment]]&gt;='Описательные характеристики'!$I$5,"да","нет")</f>
        <v>да</v>
      </c>
    </row>
    <row r="380" spans="1:14" x14ac:dyDescent="0.35">
      <c r="A380">
        <v>12117</v>
      </c>
      <c r="B380" t="s">
        <v>305</v>
      </c>
      <c r="C380" t="s">
        <v>348</v>
      </c>
      <c r="D380" s="2">
        <v>437346</v>
      </c>
      <c r="E380" s="2">
        <v>29162</v>
      </c>
      <c r="F380" s="3">
        <v>6.1</v>
      </c>
      <c r="G380" s="3">
        <v>210450</v>
      </c>
      <c r="H380" s="3">
        <v>82.9</v>
      </c>
      <c r="I380" s="3">
        <v>11.6</v>
      </c>
      <c r="J380" s="3">
        <v>5.4</v>
      </c>
      <c r="K380" s="3">
        <v>0.1</v>
      </c>
      <c r="L380" s="3">
        <v>9.4</v>
      </c>
      <c r="M380" t="str">
        <f>IF(acs2015_county_data[[#This Row],[PublicWork]]&gt;='Описательные характеристики'!$F$5,"да","нет")</f>
        <v>нет</v>
      </c>
      <c r="N380" t="str">
        <f>IF(acs2015_county_data[[#This Row],[Unemployment]]&gt;='Описательные характеристики'!$I$5,"да","нет")</f>
        <v>да</v>
      </c>
    </row>
    <row r="381" spans="1:14" x14ac:dyDescent="0.35">
      <c r="A381">
        <v>12119</v>
      </c>
      <c r="B381" t="s">
        <v>305</v>
      </c>
      <c r="C381" t="s">
        <v>71</v>
      </c>
      <c r="D381" s="2">
        <v>108501</v>
      </c>
      <c r="E381" s="2">
        <v>30145</v>
      </c>
      <c r="F381" s="3">
        <v>8.5</v>
      </c>
      <c r="G381" s="3">
        <v>22298</v>
      </c>
      <c r="H381" s="3">
        <v>79.599999999999994</v>
      </c>
      <c r="I381" s="3">
        <v>13.4</v>
      </c>
      <c r="J381" s="3">
        <v>7</v>
      </c>
      <c r="K381" s="3">
        <v>0.1</v>
      </c>
      <c r="L381" s="3">
        <v>9</v>
      </c>
      <c r="M381" t="str">
        <f>IF(acs2015_county_data[[#This Row],[PublicWork]]&gt;='Описательные характеристики'!$F$5,"да","нет")</f>
        <v>нет</v>
      </c>
      <c r="N381" t="str">
        <f>IF(acs2015_county_data[[#This Row],[Unemployment]]&gt;='Описательные характеристики'!$I$5,"да","нет")</f>
        <v>да</v>
      </c>
    </row>
    <row r="382" spans="1:14" x14ac:dyDescent="0.35">
      <c r="A382">
        <v>12121</v>
      </c>
      <c r="B382" t="s">
        <v>305</v>
      </c>
      <c r="C382" t="s">
        <v>349</v>
      </c>
      <c r="D382" s="2">
        <v>43595</v>
      </c>
      <c r="E382" s="2">
        <v>18573</v>
      </c>
      <c r="F382" s="3">
        <v>2.9</v>
      </c>
      <c r="G382" s="3">
        <v>15676</v>
      </c>
      <c r="H382" s="3">
        <v>73.8</v>
      </c>
      <c r="I382" s="3">
        <v>20.6</v>
      </c>
      <c r="J382" s="3">
        <v>5.5</v>
      </c>
      <c r="K382" s="3">
        <v>0.1</v>
      </c>
      <c r="L382" s="3">
        <v>11.1</v>
      </c>
      <c r="M382" t="str">
        <f>IF(acs2015_county_data[[#This Row],[PublicWork]]&gt;='Описательные характеристики'!$F$5,"да","нет")</f>
        <v>да</v>
      </c>
      <c r="N382" t="str">
        <f>IF(acs2015_county_data[[#This Row],[Unemployment]]&gt;='Описательные характеристики'!$I$5,"да","нет")</f>
        <v>да</v>
      </c>
    </row>
    <row r="383" spans="1:14" x14ac:dyDescent="0.35">
      <c r="A383">
        <v>12123</v>
      </c>
      <c r="B383" t="s">
        <v>305</v>
      </c>
      <c r="C383" t="s">
        <v>350</v>
      </c>
      <c r="D383" s="2">
        <v>22685</v>
      </c>
      <c r="E383" s="2">
        <v>15811</v>
      </c>
      <c r="F383" s="3">
        <v>1.4</v>
      </c>
      <c r="G383" s="3">
        <v>7155</v>
      </c>
      <c r="H383" s="3">
        <v>70.2</v>
      </c>
      <c r="I383" s="3">
        <v>23.5</v>
      </c>
      <c r="J383" s="3">
        <v>6.3</v>
      </c>
      <c r="K383" s="3">
        <v>0.1</v>
      </c>
      <c r="L383" s="3">
        <v>9</v>
      </c>
      <c r="M383" t="str">
        <f>IF(acs2015_county_data[[#This Row],[PublicWork]]&gt;='Описательные характеристики'!$F$5,"да","нет")</f>
        <v>да</v>
      </c>
      <c r="N383" t="str">
        <f>IF(acs2015_county_data[[#This Row],[Unemployment]]&gt;='Описательные характеристики'!$I$5,"да","нет")</f>
        <v>да</v>
      </c>
    </row>
    <row r="384" spans="1:14" x14ac:dyDescent="0.35">
      <c r="A384">
        <v>12125</v>
      </c>
      <c r="B384" t="s">
        <v>305</v>
      </c>
      <c r="C384" t="s">
        <v>175</v>
      </c>
      <c r="D384" s="2">
        <v>15191</v>
      </c>
      <c r="E384" s="2">
        <v>12291</v>
      </c>
      <c r="F384" s="3">
        <v>3.3</v>
      </c>
      <c r="G384" s="3">
        <v>3955</v>
      </c>
      <c r="H384" s="3">
        <v>60.3</v>
      </c>
      <c r="I384" s="3">
        <v>35.5</v>
      </c>
      <c r="J384" s="3">
        <v>4</v>
      </c>
      <c r="K384" s="3">
        <v>0.2</v>
      </c>
      <c r="L384" s="3">
        <v>11.7</v>
      </c>
      <c r="M384" t="str">
        <f>IF(acs2015_county_data[[#This Row],[PublicWork]]&gt;='Описательные характеристики'!$F$5,"да","нет")</f>
        <v>да</v>
      </c>
      <c r="N384" t="str">
        <f>IF(acs2015_county_data[[#This Row],[Unemployment]]&gt;='Описательные характеристики'!$I$5,"да","нет")</f>
        <v>да</v>
      </c>
    </row>
    <row r="385" spans="1:14" x14ac:dyDescent="0.35">
      <c r="A385">
        <v>12127</v>
      </c>
      <c r="B385" t="s">
        <v>305</v>
      </c>
      <c r="C385" t="s">
        <v>351</v>
      </c>
      <c r="D385" s="2">
        <v>503719</v>
      </c>
      <c r="E385" s="2">
        <v>24026</v>
      </c>
      <c r="F385" s="3">
        <v>5</v>
      </c>
      <c r="G385" s="3">
        <v>199287</v>
      </c>
      <c r="H385" s="3">
        <v>81.8</v>
      </c>
      <c r="I385" s="3">
        <v>12.1</v>
      </c>
      <c r="J385" s="3">
        <v>5.9</v>
      </c>
      <c r="K385" s="3">
        <v>0.2</v>
      </c>
      <c r="L385" s="3">
        <v>9.1</v>
      </c>
      <c r="M385" t="str">
        <f>IF(acs2015_county_data[[#This Row],[PublicWork]]&gt;='Описательные характеристики'!$F$5,"да","нет")</f>
        <v>нет</v>
      </c>
      <c r="N385" t="str">
        <f>IF(acs2015_county_data[[#This Row],[Unemployment]]&gt;='Описательные характеристики'!$I$5,"да","нет")</f>
        <v>да</v>
      </c>
    </row>
    <row r="386" spans="1:14" x14ac:dyDescent="0.35">
      <c r="A386">
        <v>12129</v>
      </c>
      <c r="B386" t="s">
        <v>305</v>
      </c>
      <c r="C386" t="s">
        <v>352</v>
      </c>
      <c r="D386" s="2">
        <v>31128</v>
      </c>
      <c r="E386" s="2">
        <v>20823</v>
      </c>
      <c r="F386" s="3">
        <v>1.6</v>
      </c>
      <c r="G386" s="3">
        <v>12899</v>
      </c>
      <c r="H386" s="3">
        <v>60.9</v>
      </c>
      <c r="I386" s="3">
        <v>34.799999999999997</v>
      </c>
      <c r="J386" s="3">
        <v>4</v>
      </c>
      <c r="K386" s="3">
        <v>0.2</v>
      </c>
      <c r="L386" s="3">
        <v>9.3000000000000007</v>
      </c>
      <c r="M386" t="str">
        <f>IF(acs2015_county_data[[#This Row],[PublicWork]]&gt;='Описательные характеристики'!$F$5,"да","нет")</f>
        <v>да</v>
      </c>
      <c r="N386" t="str">
        <f>IF(acs2015_county_data[[#This Row],[Unemployment]]&gt;='Описательные характеристики'!$I$5,"да","нет")</f>
        <v>да</v>
      </c>
    </row>
    <row r="387" spans="1:14" x14ac:dyDescent="0.35">
      <c r="A387">
        <v>12131</v>
      </c>
      <c r="B387" t="s">
        <v>305</v>
      </c>
      <c r="C387" t="s">
        <v>353</v>
      </c>
      <c r="D387" s="2">
        <v>59487</v>
      </c>
      <c r="E387" s="2">
        <v>27393</v>
      </c>
      <c r="F387" s="3">
        <v>5.2</v>
      </c>
      <c r="G387" s="3">
        <v>25377</v>
      </c>
      <c r="H387" s="3">
        <v>80</v>
      </c>
      <c r="I387" s="3">
        <v>10.5</v>
      </c>
      <c r="J387" s="3">
        <v>9.1999999999999993</v>
      </c>
      <c r="K387" s="3">
        <v>0.2</v>
      </c>
      <c r="L387" s="3">
        <v>7.9</v>
      </c>
      <c r="M387" t="str">
        <f>IF(acs2015_county_data[[#This Row],[PublicWork]]&gt;='Описательные характеристики'!$F$5,"да","нет")</f>
        <v>нет</v>
      </c>
      <c r="N387" t="str">
        <f>IF(acs2015_county_data[[#This Row],[Unemployment]]&gt;='Описательные характеристики'!$I$5,"да","нет")</f>
        <v>да</v>
      </c>
    </row>
    <row r="388" spans="1:14" x14ac:dyDescent="0.35">
      <c r="A388">
        <v>12133</v>
      </c>
      <c r="B388" t="s">
        <v>305</v>
      </c>
      <c r="C388" t="s">
        <v>75</v>
      </c>
      <c r="D388" s="2">
        <v>24629</v>
      </c>
      <c r="E388" s="2">
        <v>18164</v>
      </c>
      <c r="F388" s="3">
        <v>2.2999999999999998</v>
      </c>
      <c r="G388" s="3">
        <v>8307</v>
      </c>
      <c r="H388" s="3">
        <v>72.5</v>
      </c>
      <c r="I388" s="3">
        <v>18.8</v>
      </c>
      <c r="J388" s="3">
        <v>8.4</v>
      </c>
      <c r="K388" s="3">
        <v>0.3</v>
      </c>
      <c r="L388" s="3">
        <v>11.5</v>
      </c>
      <c r="M388" t="str">
        <f>IF(acs2015_county_data[[#This Row],[PublicWork]]&gt;='Описательные характеристики'!$F$5,"да","нет")</f>
        <v>да</v>
      </c>
      <c r="N388" t="str">
        <f>IF(acs2015_county_data[[#This Row],[Unemployment]]&gt;='Описательные характеристики'!$I$5,"да","нет")</f>
        <v>да</v>
      </c>
    </row>
    <row r="389" spans="1:14" x14ac:dyDescent="0.35">
      <c r="A389">
        <v>13001</v>
      </c>
      <c r="B389" t="s">
        <v>354</v>
      </c>
      <c r="C389" t="s">
        <v>355</v>
      </c>
      <c r="D389" s="2">
        <v>18417</v>
      </c>
      <c r="E389" s="2">
        <v>19178</v>
      </c>
      <c r="F389" s="3">
        <v>2.6</v>
      </c>
      <c r="G389" s="3">
        <v>7071</v>
      </c>
      <c r="H389" s="3">
        <v>80.099999999999994</v>
      </c>
      <c r="I389" s="3">
        <v>13.6</v>
      </c>
      <c r="J389" s="3">
        <v>6</v>
      </c>
      <c r="K389" s="3">
        <v>0.3</v>
      </c>
      <c r="L389" s="3">
        <v>7.9</v>
      </c>
      <c r="M389" t="str">
        <f>IF(acs2015_county_data[[#This Row],[PublicWork]]&gt;='Описательные характеристики'!$F$5,"да","нет")</f>
        <v>нет</v>
      </c>
      <c r="N389" t="str">
        <f>IF(acs2015_county_data[[#This Row],[Unemployment]]&gt;='Описательные характеристики'!$I$5,"да","нет")</f>
        <v>да</v>
      </c>
    </row>
    <row r="390" spans="1:14" x14ac:dyDescent="0.35">
      <c r="A390">
        <v>13003</v>
      </c>
      <c r="B390" t="s">
        <v>354</v>
      </c>
      <c r="C390" t="s">
        <v>356</v>
      </c>
      <c r="D390" s="2">
        <v>8294</v>
      </c>
      <c r="E390" s="2">
        <v>17022</v>
      </c>
      <c r="F390" s="3">
        <v>0.9</v>
      </c>
      <c r="G390" s="3">
        <v>3389</v>
      </c>
      <c r="H390" s="3">
        <v>82.1</v>
      </c>
      <c r="I390" s="3">
        <v>12.8</v>
      </c>
      <c r="J390" s="3">
        <v>5.0999999999999996</v>
      </c>
      <c r="K390" s="3">
        <v>0</v>
      </c>
      <c r="L390" s="3">
        <v>7.3</v>
      </c>
      <c r="M390" t="str">
        <f>IF(acs2015_county_data[[#This Row],[PublicWork]]&gt;='Описательные характеристики'!$F$5,"да","нет")</f>
        <v>нет</v>
      </c>
      <c r="N390" t="str">
        <f>IF(acs2015_county_data[[#This Row],[Unemployment]]&gt;='Описательные характеристики'!$I$5,"да","нет")</f>
        <v>нет</v>
      </c>
    </row>
    <row r="391" spans="1:14" x14ac:dyDescent="0.35">
      <c r="A391">
        <v>13005</v>
      </c>
      <c r="B391" t="s">
        <v>354</v>
      </c>
      <c r="C391" t="s">
        <v>357</v>
      </c>
      <c r="D391" s="2">
        <v>11222</v>
      </c>
      <c r="E391" s="2">
        <v>18349</v>
      </c>
      <c r="F391" s="3">
        <v>0.5</v>
      </c>
      <c r="G391" s="3">
        <v>4598</v>
      </c>
      <c r="H391" s="3">
        <v>80.400000000000006</v>
      </c>
      <c r="I391" s="3">
        <v>14.9</v>
      </c>
      <c r="J391" s="3">
        <v>4.5999999999999996</v>
      </c>
      <c r="K391" s="3">
        <v>0.2</v>
      </c>
      <c r="L391" s="3">
        <v>4.4000000000000004</v>
      </c>
      <c r="M391" t="str">
        <f>IF(acs2015_county_data[[#This Row],[PublicWork]]&gt;='Описательные характеристики'!$F$5,"да","нет")</f>
        <v>нет</v>
      </c>
      <c r="N391" t="str">
        <f>IF(acs2015_county_data[[#This Row],[Unemployment]]&gt;='Описательные характеристики'!$I$5,"да","нет")</f>
        <v>нет</v>
      </c>
    </row>
    <row r="392" spans="1:14" x14ac:dyDescent="0.35">
      <c r="A392">
        <v>13007</v>
      </c>
      <c r="B392" t="s">
        <v>354</v>
      </c>
      <c r="C392" t="s">
        <v>307</v>
      </c>
      <c r="D392" s="2">
        <v>3292</v>
      </c>
      <c r="E392" s="2">
        <v>20959</v>
      </c>
      <c r="F392" s="3">
        <v>1.6</v>
      </c>
      <c r="G392" s="3">
        <v>1282</v>
      </c>
      <c r="H392" s="3">
        <v>73.2</v>
      </c>
      <c r="I392" s="3">
        <v>20.7</v>
      </c>
      <c r="J392" s="3">
        <v>6.1</v>
      </c>
      <c r="K392" s="3">
        <v>0</v>
      </c>
      <c r="L392" s="3">
        <v>7.1</v>
      </c>
      <c r="M392" t="str">
        <f>IF(acs2015_county_data[[#This Row],[PublicWork]]&gt;='Описательные характеристики'!$F$5,"да","нет")</f>
        <v>да</v>
      </c>
      <c r="N392" t="str">
        <f>IF(acs2015_county_data[[#This Row],[Unemployment]]&gt;='Описательные характеристики'!$I$5,"да","нет")</f>
        <v>нет</v>
      </c>
    </row>
    <row r="393" spans="1:14" x14ac:dyDescent="0.35">
      <c r="A393">
        <v>13009</v>
      </c>
      <c r="B393" t="s">
        <v>354</v>
      </c>
      <c r="C393" t="s">
        <v>16</v>
      </c>
      <c r="D393" s="2">
        <v>45795</v>
      </c>
      <c r="E393" s="2">
        <v>18611</v>
      </c>
      <c r="F393" s="3">
        <v>1.6</v>
      </c>
      <c r="G393" s="3">
        <v>16387</v>
      </c>
      <c r="H393" s="3">
        <v>72.900000000000006</v>
      </c>
      <c r="I393" s="3">
        <v>23.4</v>
      </c>
      <c r="J393" s="3">
        <v>3.6</v>
      </c>
      <c r="K393" s="3">
        <v>0</v>
      </c>
      <c r="L393" s="3">
        <v>8.4</v>
      </c>
      <c r="M393" t="str">
        <f>IF(acs2015_county_data[[#This Row],[PublicWork]]&gt;='Описательные характеристики'!$F$5,"да","нет")</f>
        <v>да</v>
      </c>
      <c r="N393" t="str">
        <f>IF(acs2015_county_data[[#This Row],[Unemployment]]&gt;='Описательные характеристики'!$I$5,"да","нет")</f>
        <v>да</v>
      </c>
    </row>
    <row r="394" spans="1:14" x14ac:dyDescent="0.35">
      <c r="A394">
        <v>13011</v>
      </c>
      <c r="B394" t="s">
        <v>354</v>
      </c>
      <c r="C394" t="s">
        <v>358</v>
      </c>
      <c r="D394" s="2">
        <v>18336</v>
      </c>
      <c r="E394" s="2">
        <v>19211</v>
      </c>
      <c r="F394" s="3">
        <v>4.2</v>
      </c>
      <c r="G394" s="3">
        <v>7801</v>
      </c>
      <c r="H394" s="3">
        <v>78.2</v>
      </c>
      <c r="I394" s="3">
        <v>13.8</v>
      </c>
      <c r="J394" s="3">
        <v>7.2</v>
      </c>
      <c r="K394" s="3">
        <v>0.8</v>
      </c>
      <c r="L394" s="3">
        <v>8.5</v>
      </c>
      <c r="M394" t="str">
        <f>IF(acs2015_county_data[[#This Row],[PublicWork]]&gt;='Описательные характеристики'!$F$5,"да","нет")</f>
        <v>нет</v>
      </c>
      <c r="N394" t="str">
        <f>IF(acs2015_county_data[[#This Row],[Unemployment]]&gt;='Описательные характеристики'!$I$5,"да","нет")</f>
        <v>да</v>
      </c>
    </row>
    <row r="395" spans="1:14" x14ac:dyDescent="0.35">
      <c r="A395">
        <v>13013</v>
      </c>
      <c r="B395" t="s">
        <v>354</v>
      </c>
      <c r="C395" t="s">
        <v>359</v>
      </c>
      <c r="D395" s="2">
        <v>72012</v>
      </c>
      <c r="E395" s="2">
        <v>21411</v>
      </c>
      <c r="F395" s="3">
        <v>3.3</v>
      </c>
      <c r="G395" s="3">
        <v>32137</v>
      </c>
      <c r="H395" s="3">
        <v>82.2</v>
      </c>
      <c r="I395" s="3">
        <v>13.4</v>
      </c>
      <c r="J395" s="3">
        <v>4.3</v>
      </c>
      <c r="K395" s="3">
        <v>0.1</v>
      </c>
      <c r="L395" s="3">
        <v>10.1</v>
      </c>
      <c r="M395" t="str">
        <f>IF(acs2015_county_data[[#This Row],[PublicWork]]&gt;='Описательные характеристики'!$F$5,"да","нет")</f>
        <v>нет</v>
      </c>
      <c r="N395" t="str">
        <f>IF(acs2015_county_data[[#This Row],[Unemployment]]&gt;='Описательные характеристики'!$I$5,"да","нет")</f>
        <v>да</v>
      </c>
    </row>
    <row r="396" spans="1:14" x14ac:dyDescent="0.35">
      <c r="A396">
        <v>13015</v>
      </c>
      <c r="B396" t="s">
        <v>354</v>
      </c>
      <c r="C396" t="s">
        <v>360</v>
      </c>
      <c r="D396" s="2">
        <v>101336</v>
      </c>
      <c r="E396" s="2">
        <v>22592</v>
      </c>
      <c r="F396" s="3">
        <v>4</v>
      </c>
      <c r="G396" s="3">
        <v>44594</v>
      </c>
      <c r="H396" s="3">
        <v>81.599999999999994</v>
      </c>
      <c r="I396" s="3">
        <v>14.3</v>
      </c>
      <c r="J396" s="3">
        <v>4</v>
      </c>
      <c r="K396" s="3">
        <v>0.1</v>
      </c>
      <c r="L396" s="3">
        <v>8.8000000000000007</v>
      </c>
      <c r="M396" t="str">
        <f>IF(acs2015_county_data[[#This Row],[PublicWork]]&gt;='Описательные характеристики'!$F$5,"да","нет")</f>
        <v>нет</v>
      </c>
      <c r="N396" t="str">
        <f>IF(acs2015_county_data[[#This Row],[Unemployment]]&gt;='Описательные характеристики'!$I$5,"да","нет")</f>
        <v>да</v>
      </c>
    </row>
    <row r="397" spans="1:14" x14ac:dyDescent="0.35">
      <c r="A397">
        <v>13017</v>
      </c>
      <c r="B397" t="s">
        <v>354</v>
      </c>
      <c r="C397" t="s">
        <v>361</v>
      </c>
      <c r="D397" s="2">
        <v>17477</v>
      </c>
      <c r="E397" s="2">
        <v>15316</v>
      </c>
      <c r="F397" s="3">
        <v>1.1000000000000001</v>
      </c>
      <c r="G397" s="3">
        <v>6019</v>
      </c>
      <c r="H397" s="3">
        <v>75.7</v>
      </c>
      <c r="I397" s="3">
        <v>18.899999999999999</v>
      </c>
      <c r="J397" s="3">
        <v>5.3</v>
      </c>
      <c r="K397" s="3">
        <v>0.1</v>
      </c>
      <c r="L397" s="3">
        <v>9.6999999999999993</v>
      </c>
      <c r="M397" t="str">
        <f>IF(acs2015_county_data[[#This Row],[PublicWork]]&gt;='Описательные характеристики'!$F$5,"да","нет")</f>
        <v>да</v>
      </c>
      <c r="N397" t="str">
        <f>IF(acs2015_county_data[[#This Row],[Unemployment]]&gt;='Описательные характеристики'!$I$5,"да","нет")</f>
        <v>да</v>
      </c>
    </row>
    <row r="398" spans="1:14" x14ac:dyDescent="0.35">
      <c r="A398">
        <v>13019</v>
      </c>
      <c r="B398" t="s">
        <v>354</v>
      </c>
      <c r="C398" t="s">
        <v>362</v>
      </c>
      <c r="D398" s="2">
        <v>19019</v>
      </c>
      <c r="E398" s="2">
        <v>16523</v>
      </c>
      <c r="F398" s="3">
        <v>2.4</v>
      </c>
      <c r="G398" s="3">
        <v>6457</v>
      </c>
      <c r="H398" s="3">
        <v>72.599999999999994</v>
      </c>
      <c r="I398" s="3">
        <v>20.6</v>
      </c>
      <c r="J398" s="3">
        <v>6.4</v>
      </c>
      <c r="K398" s="3">
        <v>0.4</v>
      </c>
      <c r="L398" s="3">
        <v>13.8</v>
      </c>
      <c r="M398" t="str">
        <f>IF(acs2015_county_data[[#This Row],[PublicWork]]&gt;='Описательные характеристики'!$F$5,"да","нет")</f>
        <v>да</v>
      </c>
      <c r="N398" t="str">
        <f>IF(acs2015_county_data[[#This Row],[Unemployment]]&gt;='Описательные характеристики'!$I$5,"да","нет")</f>
        <v>да</v>
      </c>
    </row>
    <row r="399" spans="1:14" x14ac:dyDescent="0.35">
      <c r="A399">
        <v>13021</v>
      </c>
      <c r="B399" t="s">
        <v>354</v>
      </c>
      <c r="C399" t="s">
        <v>18</v>
      </c>
      <c r="D399" s="2">
        <v>154816</v>
      </c>
      <c r="E399" s="2">
        <v>21591</v>
      </c>
      <c r="F399" s="3">
        <v>2.5</v>
      </c>
      <c r="G399" s="3">
        <v>60115</v>
      </c>
      <c r="H399" s="3">
        <v>79.2</v>
      </c>
      <c r="I399" s="3">
        <v>16.3</v>
      </c>
      <c r="J399" s="3">
        <v>4.3</v>
      </c>
      <c r="K399" s="3">
        <v>0.2</v>
      </c>
      <c r="L399" s="3">
        <v>12.4</v>
      </c>
      <c r="M399" t="str">
        <f>IF(acs2015_county_data[[#This Row],[PublicWork]]&gt;='Описательные характеристики'!$F$5,"да","нет")</f>
        <v>да</v>
      </c>
      <c r="N399" t="str">
        <f>IF(acs2015_county_data[[#This Row],[Unemployment]]&gt;='Описательные характеристики'!$I$5,"да","нет")</f>
        <v>да</v>
      </c>
    </row>
    <row r="400" spans="1:14" x14ac:dyDescent="0.35">
      <c r="A400">
        <v>13023</v>
      </c>
      <c r="B400" t="s">
        <v>354</v>
      </c>
      <c r="C400" t="s">
        <v>363</v>
      </c>
      <c r="D400" s="2">
        <v>12746</v>
      </c>
      <c r="E400" s="2">
        <v>19503</v>
      </c>
      <c r="F400" s="3">
        <v>3.2</v>
      </c>
      <c r="G400" s="3">
        <v>4365</v>
      </c>
      <c r="H400" s="3">
        <v>60.3</v>
      </c>
      <c r="I400" s="3">
        <v>33.4</v>
      </c>
      <c r="J400" s="3">
        <v>6.3</v>
      </c>
      <c r="K400" s="3">
        <v>0</v>
      </c>
      <c r="L400" s="3">
        <v>4.8</v>
      </c>
      <c r="M400" t="str">
        <f>IF(acs2015_county_data[[#This Row],[PublicWork]]&gt;='Описательные характеристики'!$F$5,"да","нет")</f>
        <v>да</v>
      </c>
      <c r="N400" t="str">
        <f>IF(acs2015_county_data[[#This Row],[Unemployment]]&gt;='Описательные характеристики'!$I$5,"да","нет")</f>
        <v>нет</v>
      </c>
    </row>
    <row r="401" spans="1:14" x14ac:dyDescent="0.35">
      <c r="A401">
        <v>13025</v>
      </c>
      <c r="B401" t="s">
        <v>354</v>
      </c>
      <c r="C401" t="s">
        <v>364</v>
      </c>
      <c r="D401" s="2">
        <v>18452</v>
      </c>
      <c r="E401" s="2">
        <v>17276</v>
      </c>
      <c r="F401" s="3">
        <v>4.0999999999999996</v>
      </c>
      <c r="G401" s="3">
        <v>6702</v>
      </c>
      <c r="H401" s="3">
        <v>70.8</v>
      </c>
      <c r="I401" s="3">
        <v>21.1</v>
      </c>
      <c r="J401" s="3">
        <v>7.4</v>
      </c>
      <c r="K401" s="3">
        <v>0.7</v>
      </c>
      <c r="L401" s="3">
        <v>10.9</v>
      </c>
      <c r="M401" t="str">
        <f>IF(acs2015_county_data[[#This Row],[PublicWork]]&gt;='Описательные характеристики'!$F$5,"да","нет")</f>
        <v>да</v>
      </c>
      <c r="N401" t="str">
        <f>IF(acs2015_county_data[[#This Row],[Unemployment]]&gt;='Описательные характеристики'!$I$5,"да","нет")</f>
        <v>да</v>
      </c>
    </row>
    <row r="402" spans="1:14" x14ac:dyDescent="0.35">
      <c r="A402">
        <v>13027</v>
      </c>
      <c r="B402" t="s">
        <v>354</v>
      </c>
      <c r="C402" t="s">
        <v>365</v>
      </c>
      <c r="D402" s="2">
        <v>15637</v>
      </c>
      <c r="E402" s="2">
        <v>19744</v>
      </c>
      <c r="F402" s="3">
        <v>6.5</v>
      </c>
      <c r="G402" s="3">
        <v>5703</v>
      </c>
      <c r="H402" s="3">
        <v>71.099999999999994</v>
      </c>
      <c r="I402" s="3">
        <v>20</v>
      </c>
      <c r="J402" s="3">
        <v>8.6999999999999993</v>
      </c>
      <c r="K402" s="3">
        <v>0.3</v>
      </c>
      <c r="L402" s="3">
        <v>17</v>
      </c>
      <c r="M402" t="str">
        <f>IF(acs2015_county_data[[#This Row],[PublicWork]]&gt;='Описательные характеристики'!$F$5,"да","нет")</f>
        <v>да</v>
      </c>
      <c r="N402" t="str">
        <f>IF(acs2015_county_data[[#This Row],[Unemployment]]&gt;='Описательные характеристики'!$I$5,"да","нет")</f>
        <v>да</v>
      </c>
    </row>
    <row r="403" spans="1:14" x14ac:dyDescent="0.35">
      <c r="A403">
        <v>13029</v>
      </c>
      <c r="B403" t="s">
        <v>354</v>
      </c>
      <c r="C403" t="s">
        <v>366</v>
      </c>
      <c r="D403" s="2">
        <v>33151</v>
      </c>
      <c r="E403" s="2">
        <v>26934</v>
      </c>
      <c r="F403" s="3">
        <v>1.9</v>
      </c>
      <c r="G403" s="3">
        <v>14224</v>
      </c>
      <c r="H403" s="3">
        <v>73.3</v>
      </c>
      <c r="I403" s="3">
        <v>19.399999999999999</v>
      </c>
      <c r="J403" s="3">
        <v>7.2</v>
      </c>
      <c r="K403" s="3">
        <v>0.1</v>
      </c>
      <c r="L403" s="3">
        <v>9</v>
      </c>
      <c r="M403" t="str">
        <f>IF(acs2015_county_data[[#This Row],[PublicWork]]&gt;='Описательные характеристики'!$F$5,"да","нет")</f>
        <v>да</v>
      </c>
      <c r="N403" t="str">
        <f>IF(acs2015_county_data[[#This Row],[Unemployment]]&gt;='Описательные характеристики'!$I$5,"да","нет")</f>
        <v>да</v>
      </c>
    </row>
    <row r="404" spans="1:14" x14ac:dyDescent="0.35">
      <c r="A404">
        <v>13031</v>
      </c>
      <c r="B404" t="s">
        <v>354</v>
      </c>
      <c r="C404" t="s">
        <v>367</v>
      </c>
      <c r="D404" s="2">
        <v>72386</v>
      </c>
      <c r="E404" s="2">
        <v>18719</v>
      </c>
      <c r="F404" s="3">
        <v>5.3</v>
      </c>
      <c r="G404" s="3">
        <v>31144</v>
      </c>
      <c r="H404" s="3">
        <v>69.5</v>
      </c>
      <c r="I404" s="3">
        <v>22.6</v>
      </c>
      <c r="J404" s="3">
        <v>7.6</v>
      </c>
      <c r="K404" s="3">
        <v>0.3</v>
      </c>
      <c r="L404" s="3">
        <v>9.1</v>
      </c>
      <c r="M404" t="str">
        <f>IF(acs2015_county_data[[#This Row],[PublicWork]]&gt;='Описательные характеристики'!$F$5,"да","нет")</f>
        <v>да</v>
      </c>
      <c r="N404" t="str">
        <f>IF(acs2015_county_data[[#This Row],[Unemployment]]&gt;='Описательные характеристики'!$I$5,"да","нет")</f>
        <v>да</v>
      </c>
    </row>
    <row r="405" spans="1:14" x14ac:dyDescent="0.35">
      <c r="A405">
        <v>13033</v>
      </c>
      <c r="B405" t="s">
        <v>354</v>
      </c>
      <c r="C405" t="s">
        <v>368</v>
      </c>
      <c r="D405" s="2">
        <v>23007</v>
      </c>
      <c r="E405" s="2">
        <v>17546</v>
      </c>
      <c r="F405" s="3">
        <v>2.1</v>
      </c>
      <c r="G405" s="3">
        <v>8676</v>
      </c>
      <c r="H405" s="3">
        <v>78.599999999999994</v>
      </c>
      <c r="I405" s="3">
        <v>16.399999999999999</v>
      </c>
      <c r="J405" s="3">
        <v>4.9000000000000004</v>
      </c>
      <c r="K405" s="3">
        <v>0.1</v>
      </c>
      <c r="L405" s="3">
        <v>8.1999999999999993</v>
      </c>
      <c r="M405" t="str">
        <f>IF(acs2015_county_data[[#This Row],[PublicWork]]&gt;='Описательные характеристики'!$F$5,"да","нет")</f>
        <v>да</v>
      </c>
      <c r="N405" t="str">
        <f>IF(acs2015_county_data[[#This Row],[Unemployment]]&gt;='Описательные характеристики'!$I$5,"да","нет")</f>
        <v>да</v>
      </c>
    </row>
    <row r="406" spans="1:14" x14ac:dyDescent="0.35">
      <c r="A406">
        <v>13035</v>
      </c>
      <c r="B406" t="s">
        <v>354</v>
      </c>
      <c r="C406" t="s">
        <v>369</v>
      </c>
      <c r="D406" s="2">
        <v>23445</v>
      </c>
      <c r="E406" s="2">
        <v>19433</v>
      </c>
      <c r="F406" s="3">
        <v>4.4000000000000004</v>
      </c>
      <c r="G406" s="3">
        <v>8700</v>
      </c>
      <c r="H406" s="3">
        <v>75.900000000000006</v>
      </c>
      <c r="I406" s="3">
        <v>18.7</v>
      </c>
      <c r="J406" s="3">
        <v>4.2</v>
      </c>
      <c r="K406" s="3">
        <v>1.1000000000000001</v>
      </c>
      <c r="L406" s="3">
        <v>10.3</v>
      </c>
      <c r="M406" t="str">
        <f>IF(acs2015_county_data[[#This Row],[PublicWork]]&gt;='Описательные характеристики'!$F$5,"да","нет")</f>
        <v>да</v>
      </c>
      <c r="N406" t="str">
        <f>IF(acs2015_county_data[[#This Row],[Unemployment]]&gt;='Описательные характеристики'!$I$5,"да","нет")</f>
        <v>да</v>
      </c>
    </row>
    <row r="407" spans="1:14" x14ac:dyDescent="0.35">
      <c r="A407">
        <v>13037</v>
      </c>
      <c r="B407" t="s">
        <v>354</v>
      </c>
      <c r="C407" t="s">
        <v>22</v>
      </c>
      <c r="D407" s="2">
        <v>6489</v>
      </c>
      <c r="E407" s="2">
        <v>14242</v>
      </c>
      <c r="F407" s="3">
        <v>8.6</v>
      </c>
      <c r="G407" s="3">
        <v>2036</v>
      </c>
      <c r="H407" s="3">
        <v>53.2</v>
      </c>
      <c r="I407" s="3">
        <v>42.3</v>
      </c>
      <c r="J407" s="3">
        <v>4.4000000000000004</v>
      </c>
      <c r="K407" s="3">
        <v>0.1</v>
      </c>
      <c r="L407" s="3">
        <v>7.7</v>
      </c>
      <c r="M407" t="str">
        <f>IF(acs2015_county_data[[#This Row],[PublicWork]]&gt;='Описательные характеристики'!$F$5,"да","нет")</f>
        <v>да</v>
      </c>
      <c r="N407" t="str">
        <f>IF(acs2015_county_data[[#This Row],[Unemployment]]&gt;='Описательные характеристики'!$I$5,"да","нет")</f>
        <v>да</v>
      </c>
    </row>
    <row r="408" spans="1:14" x14ac:dyDescent="0.35">
      <c r="A408">
        <v>13039</v>
      </c>
      <c r="B408" t="s">
        <v>354</v>
      </c>
      <c r="C408" t="s">
        <v>370</v>
      </c>
      <c r="D408" s="2">
        <v>51445</v>
      </c>
      <c r="E408" s="2">
        <v>23856</v>
      </c>
      <c r="F408" s="3">
        <v>2.2999999999999998</v>
      </c>
      <c r="G408" s="3">
        <v>20674</v>
      </c>
      <c r="H408" s="3">
        <v>67.099999999999994</v>
      </c>
      <c r="I408" s="3">
        <v>28.4</v>
      </c>
      <c r="J408" s="3">
        <v>4.3</v>
      </c>
      <c r="K408" s="3">
        <v>0.2</v>
      </c>
      <c r="L408" s="3">
        <v>8.5</v>
      </c>
      <c r="M408" t="str">
        <f>IF(acs2015_county_data[[#This Row],[PublicWork]]&gt;='Описательные характеристики'!$F$5,"да","нет")</f>
        <v>да</v>
      </c>
      <c r="N408" t="str">
        <f>IF(acs2015_county_data[[#This Row],[Unemployment]]&gt;='Описательные характеристики'!$I$5,"да","нет")</f>
        <v>да</v>
      </c>
    </row>
    <row r="409" spans="1:14" x14ac:dyDescent="0.35">
      <c r="A409">
        <v>13043</v>
      </c>
      <c r="B409" t="s">
        <v>354</v>
      </c>
      <c r="C409" t="s">
        <v>371</v>
      </c>
      <c r="D409" s="2">
        <v>11031</v>
      </c>
      <c r="E409" s="2">
        <v>16897</v>
      </c>
      <c r="F409" s="3">
        <v>1.6</v>
      </c>
      <c r="G409" s="3">
        <v>4168</v>
      </c>
      <c r="H409" s="3">
        <v>73.8</v>
      </c>
      <c r="I409" s="3">
        <v>18.2</v>
      </c>
      <c r="J409" s="3">
        <v>7.9</v>
      </c>
      <c r="K409" s="3">
        <v>0</v>
      </c>
      <c r="L409" s="3">
        <v>8.1</v>
      </c>
      <c r="M409" t="str">
        <f>IF(acs2015_county_data[[#This Row],[PublicWork]]&gt;='Описательные характеристики'!$F$5,"да","нет")</f>
        <v>да</v>
      </c>
      <c r="N409" t="str">
        <f>IF(acs2015_county_data[[#This Row],[Unemployment]]&gt;='Описательные характеристики'!$I$5,"да","нет")</f>
        <v>да</v>
      </c>
    </row>
    <row r="410" spans="1:14" x14ac:dyDescent="0.35">
      <c r="A410">
        <v>13045</v>
      </c>
      <c r="B410" t="s">
        <v>354</v>
      </c>
      <c r="C410" t="s">
        <v>129</v>
      </c>
      <c r="D410" s="2">
        <v>112595</v>
      </c>
      <c r="E410" s="2">
        <v>21320</v>
      </c>
      <c r="F410" s="3">
        <v>2.7</v>
      </c>
      <c r="G410" s="3">
        <v>47372</v>
      </c>
      <c r="H410" s="3">
        <v>79</v>
      </c>
      <c r="I410" s="3">
        <v>14.1</v>
      </c>
      <c r="J410" s="3">
        <v>6.7</v>
      </c>
      <c r="K410" s="3">
        <v>0.2</v>
      </c>
      <c r="L410" s="3">
        <v>12.1</v>
      </c>
      <c r="M410" t="str">
        <f>IF(acs2015_county_data[[#This Row],[PublicWork]]&gt;='Описательные характеристики'!$F$5,"да","нет")</f>
        <v>нет</v>
      </c>
      <c r="N410" t="str">
        <f>IF(acs2015_county_data[[#This Row],[Unemployment]]&gt;='Описательные характеристики'!$I$5,"да","нет")</f>
        <v>да</v>
      </c>
    </row>
    <row r="411" spans="1:14" x14ac:dyDescent="0.35">
      <c r="A411">
        <v>13047</v>
      </c>
      <c r="B411" t="s">
        <v>354</v>
      </c>
      <c r="C411" t="s">
        <v>372</v>
      </c>
      <c r="D411" s="2">
        <v>65375</v>
      </c>
      <c r="E411" s="2">
        <v>22642</v>
      </c>
      <c r="F411" s="3">
        <v>2.6</v>
      </c>
      <c r="G411" s="3">
        <v>30069</v>
      </c>
      <c r="H411" s="3">
        <v>82.1</v>
      </c>
      <c r="I411" s="3">
        <v>13</v>
      </c>
      <c r="J411" s="3">
        <v>4.8</v>
      </c>
      <c r="K411" s="3">
        <v>0</v>
      </c>
      <c r="L411" s="3">
        <v>8.1</v>
      </c>
      <c r="M411" t="str">
        <f>IF(acs2015_county_data[[#This Row],[PublicWork]]&gt;='Описательные характеристики'!$F$5,"да","нет")</f>
        <v>нет</v>
      </c>
      <c r="N411" t="str">
        <f>IF(acs2015_county_data[[#This Row],[Unemployment]]&gt;='Описательные характеристики'!$I$5,"да","нет")</f>
        <v>да</v>
      </c>
    </row>
    <row r="412" spans="1:14" x14ac:dyDescent="0.35">
      <c r="A412">
        <v>13049</v>
      </c>
      <c r="B412" t="s">
        <v>354</v>
      </c>
      <c r="C412" t="s">
        <v>373</v>
      </c>
      <c r="D412" s="2">
        <v>13130</v>
      </c>
      <c r="E412" s="2">
        <v>18036</v>
      </c>
      <c r="F412" s="3">
        <v>4.3</v>
      </c>
      <c r="G412" s="3">
        <v>4705</v>
      </c>
      <c r="H412" s="3">
        <v>72.099999999999994</v>
      </c>
      <c r="I412" s="3">
        <v>24.5</v>
      </c>
      <c r="J412" s="3">
        <v>3.3</v>
      </c>
      <c r="K412" s="3">
        <v>0</v>
      </c>
      <c r="L412" s="3">
        <v>13.8</v>
      </c>
      <c r="M412" t="str">
        <f>IF(acs2015_county_data[[#This Row],[PublicWork]]&gt;='Описательные характеристики'!$F$5,"да","нет")</f>
        <v>да</v>
      </c>
      <c r="N412" t="str">
        <f>IF(acs2015_county_data[[#This Row],[Unemployment]]&gt;='Описательные характеристики'!$I$5,"да","нет")</f>
        <v>да</v>
      </c>
    </row>
    <row r="413" spans="1:14" x14ac:dyDescent="0.35">
      <c r="A413">
        <v>13051</v>
      </c>
      <c r="B413" t="s">
        <v>354</v>
      </c>
      <c r="C413" t="s">
        <v>374</v>
      </c>
      <c r="D413" s="2">
        <v>279290</v>
      </c>
      <c r="E413" s="2">
        <v>25690</v>
      </c>
      <c r="F413" s="3">
        <v>3.5</v>
      </c>
      <c r="G413" s="3">
        <v>124627</v>
      </c>
      <c r="H413" s="3">
        <v>78.7</v>
      </c>
      <c r="I413" s="3">
        <v>15.8</v>
      </c>
      <c r="J413" s="3">
        <v>5.3</v>
      </c>
      <c r="K413" s="3">
        <v>0.2</v>
      </c>
      <c r="L413" s="3">
        <v>9.6999999999999993</v>
      </c>
      <c r="M413" t="str">
        <f>IF(acs2015_county_data[[#This Row],[PublicWork]]&gt;='Описательные характеристики'!$F$5,"да","нет")</f>
        <v>нет</v>
      </c>
      <c r="N413" t="str">
        <f>IF(acs2015_county_data[[#This Row],[Unemployment]]&gt;='Описательные характеристики'!$I$5,"да","нет")</f>
        <v>да</v>
      </c>
    </row>
    <row r="414" spans="1:14" x14ac:dyDescent="0.35">
      <c r="A414">
        <v>13053</v>
      </c>
      <c r="B414" t="s">
        <v>354</v>
      </c>
      <c r="C414" t="s">
        <v>375</v>
      </c>
      <c r="D414" s="2">
        <v>11914</v>
      </c>
      <c r="E414" s="2">
        <v>19487</v>
      </c>
      <c r="F414" s="3">
        <v>31.7</v>
      </c>
      <c r="G414" s="3">
        <v>2204</v>
      </c>
      <c r="H414" s="3">
        <v>54.4</v>
      </c>
      <c r="I414" s="3">
        <v>38.299999999999997</v>
      </c>
      <c r="J414" s="3">
        <v>7.3</v>
      </c>
      <c r="K414" s="3">
        <v>0</v>
      </c>
      <c r="L414" s="3">
        <v>16.5</v>
      </c>
      <c r="M414" t="str">
        <f>IF(acs2015_county_data[[#This Row],[PublicWork]]&gt;='Описательные характеристики'!$F$5,"да","нет")</f>
        <v>да</v>
      </c>
      <c r="N414" t="str">
        <f>IF(acs2015_county_data[[#This Row],[Unemployment]]&gt;='Описательные характеристики'!$I$5,"да","нет")</f>
        <v>да</v>
      </c>
    </row>
    <row r="415" spans="1:14" x14ac:dyDescent="0.35">
      <c r="A415">
        <v>13055</v>
      </c>
      <c r="B415" t="s">
        <v>354</v>
      </c>
      <c r="C415" t="s">
        <v>376</v>
      </c>
      <c r="D415" s="2">
        <v>25241</v>
      </c>
      <c r="E415" s="2">
        <v>16333</v>
      </c>
      <c r="F415" s="3">
        <v>1.8</v>
      </c>
      <c r="G415" s="3">
        <v>8976</v>
      </c>
      <c r="H415" s="3">
        <v>81.3</v>
      </c>
      <c r="I415" s="3">
        <v>11</v>
      </c>
      <c r="J415" s="3">
        <v>7</v>
      </c>
      <c r="K415" s="3">
        <v>0.7</v>
      </c>
      <c r="L415" s="3">
        <v>10</v>
      </c>
      <c r="M415" t="str">
        <f>IF(acs2015_county_data[[#This Row],[PublicWork]]&gt;='Описательные характеристики'!$F$5,"да","нет")</f>
        <v>нет</v>
      </c>
      <c r="N415" t="str">
        <f>IF(acs2015_county_data[[#This Row],[Unemployment]]&gt;='Описательные характеристики'!$I$5,"да","нет")</f>
        <v>да</v>
      </c>
    </row>
    <row r="416" spans="1:14" x14ac:dyDescent="0.35">
      <c r="A416">
        <v>13057</v>
      </c>
      <c r="B416" t="s">
        <v>354</v>
      </c>
      <c r="C416" t="s">
        <v>24</v>
      </c>
      <c r="D416" s="2">
        <v>225944</v>
      </c>
      <c r="E416" s="2">
        <v>30595</v>
      </c>
      <c r="F416" s="3">
        <v>7.8</v>
      </c>
      <c r="G416" s="3">
        <v>110111</v>
      </c>
      <c r="H416" s="3">
        <v>83.5</v>
      </c>
      <c r="I416" s="3">
        <v>10.7</v>
      </c>
      <c r="J416" s="3">
        <v>5.5</v>
      </c>
      <c r="K416" s="3">
        <v>0.3</v>
      </c>
      <c r="L416" s="3">
        <v>6.3</v>
      </c>
      <c r="M416" t="str">
        <f>IF(acs2015_county_data[[#This Row],[PublicWork]]&gt;='Описательные характеристики'!$F$5,"да","нет")</f>
        <v>нет</v>
      </c>
      <c r="N416" t="str">
        <f>IF(acs2015_county_data[[#This Row],[Unemployment]]&gt;='Описательные характеристики'!$I$5,"да","нет")</f>
        <v>нет</v>
      </c>
    </row>
    <row r="417" spans="1:14" x14ac:dyDescent="0.35">
      <c r="A417">
        <v>13059</v>
      </c>
      <c r="B417" t="s">
        <v>354</v>
      </c>
      <c r="C417" t="s">
        <v>27</v>
      </c>
      <c r="D417" s="2">
        <v>120905</v>
      </c>
      <c r="E417" s="2">
        <v>19276</v>
      </c>
      <c r="F417" s="3">
        <v>2.9</v>
      </c>
      <c r="G417" s="3">
        <v>53922</v>
      </c>
      <c r="H417" s="3">
        <v>69.599999999999994</v>
      </c>
      <c r="I417" s="3">
        <v>26</v>
      </c>
      <c r="J417" s="3">
        <v>4.3</v>
      </c>
      <c r="K417" s="3">
        <v>0.1</v>
      </c>
      <c r="L417" s="3">
        <v>9.1999999999999993</v>
      </c>
      <c r="M417" t="str">
        <f>IF(acs2015_county_data[[#This Row],[PublicWork]]&gt;='Описательные характеристики'!$F$5,"да","нет")</f>
        <v>да</v>
      </c>
      <c r="N417" t="str">
        <f>IF(acs2015_county_data[[#This Row],[Unemployment]]&gt;='Описательные характеристики'!$I$5,"да","нет")</f>
        <v>да</v>
      </c>
    </row>
    <row r="418" spans="1:14" x14ac:dyDescent="0.35">
      <c r="A418">
        <v>13061</v>
      </c>
      <c r="B418" t="s">
        <v>354</v>
      </c>
      <c r="C418" t="s">
        <v>28</v>
      </c>
      <c r="D418" s="2">
        <v>3104</v>
      </c>
      <c r="E418" s="2">
        <v>12790</v>
      </c>
      <c r="F418" s="3">
        <v>6.8</v>
      </c>
      <c r="G418" s="3">
        <v>848</v>
      </c>
      <c r="H418" s="3">
        <v>70.2</v>
      </c>
      <c r="I418" s="3">
        <v>20.8</v>
      </c>
      <c r="J418" s="3">
        <v>7.7</v>
      </c>
      <c r="K418" s="3">
        <v>1.4</v>
      </c>
      <c r="L418" s="3">
        <v>19.2</v>
      </c>
      <c r="M418" t="str">
        <f>IF(acs2015_county_data[[#This Row],[PublicWork]]&gt;='Описательные характеристики'!$F$5,"да","нет")</f>
        <v>да</v>
      </c>
      <c r="N418" t="str">
        <f>IF(acs2015_county_data[[#This Row],[Unemployment]]&gt;='Описательные характеристики'!$I$5,"да","нет")</f>
        <v>да</v>
      </c>
    </row>
    <row r="419" spans="1:14" x14ac:dyDescent="0.35">
      <c r="A419">
        <v>13063</v>
      </c>
      <c r="B419" t="s">
        <v>354</v>
      </c>
      <c r="C419" t="s">
        <v>377</v>
      </c>
      <c r="D419" s="2">
        <v>267234</v>
      </c>
      <c r="E419" s="2">
        <v>18107</v>
      </c>
      <c r="F419" s="3">
        <v>2.2999999999999998</v>
      </c>
      <c r="G419" s="3">
        <v>114144</v>
      </c>
      <c r="H419" s="3">
        <v>79.599999999999994</v>
      </c>
      <c r="I419" s="3">
        <v>15.4</v>
      </c>
      <c r="J419" s="3">
        <v>4.9000000000000004</v>
      </c>
      <c r="K419" s="3">
        <v>0.1</v>
      </c>
      <c r="L419" s="3">
        <v>14.1</v>
      </c>
      <c r="M419" t="str">
        <f>IF(acs2015_county_data[[#This Row],[PublicWork]]&gt;='Описательные характеристики'!$F$5,"да","нет")</f>
        <v>нет</v>
      </c>
      <c r="N419" t="str">
        <f>IF(acs2015_county_data[[#This Row],[Unemployment]]&gt;='Описательные характеристики'!$I$5,"да","нет")</f>
        <v>да</v>
      </c>
    </row>
    <row r="420" spans="1:14" x14ac:dyDescent="0.35">
      <c r="A420">
        <v>13065</v>
      </c>
      <c r="B420" t="s">
        <v>354</v>
      </c>
      <c r="C420" t="s">
        <v>378</v>
      </c>
      <c r="D420" s="2">
        <v>6791</v>
      </c>
      <c r="E420" s="2">
        <v>17127</v>
      </c>
      <c r="F420" s="3">
        <v>2.4</v>
      </c>
      <c r="G420" s="3">
        <v>2309</v>
      </c>
      <c r="H420" s="3">
        <v>72.900000000000006</v>
      </c>
      <c r="I420" s="3">
        <v>22.7</v>
      </c>
      <c r="J420" s="3">
        <v>4.3</v>
      </c>
      <c r="K420" s="3">
        <v>0</v>
      </c>
      <c r="L420" s="3">
        <v>10.7</v>
      </c>
      <c r="M420" t="str">
        <f>IF(acs2015_county_data[[#This Row],[PublicWork]]&gt;='Описательные характеристики'!$F$5,"да","нет")</f>
        <v>да</v>
      </c>
      <c r="N420" t="str">
        <f>IF(acs2015_county_data[[#This Row],[Unemployment]]&gt;='Описательные характеристики'!$I$5,"да","нет")</f>
        <v>да</v>
      </c>
    </row>
    <row r="421" spans="1:14" x14ac:dyDescent="0.35">
      <c r="A421">
        <v>13067</v>
      </c>
      <c r="B421" t="s">
        <v>354</v>
      </c>
      <c r="C421" t="s">
        <v>379</v>
      </c>
      <c r="D421" s="2">
        <v>719133</v>
      </c>
      <c r="E421" s="2">
        <v>33778</v>
      </c>
      <c r="F421" s="3">
        <v>7.1</v>
      </c>
      <c r="G421" s="3">
        <v>366793</v>
      </c>
      <c r="H421" s="3">
        <v>83.8</v>
      </c>
      <c r="I421" s="3">
        <v>10.199999999999999</v>
      </c>
      <c r="J421" s="3">
        <v>5.9</v>
      </c>
      <c r="K421" s="3">
        <v>0.1</v>
      </c>
      <c r="L421" s="3">
        <v>8</v>
      </c>
      <c r="M421" t="str">
        <f>IF(acs2015_county_data[[#This Row],[PublicWork]]&gt;='Описательные характеристики'!$F$5,"да","нет")</f>
        <v>нет</v>
      </c>
      <c r="N421" t="str">
        <f>IF(acs2015_county_data[[#This Row],[Unemployment]]&gt;='Описательные характеристики'!$I$5,"да","нет")</f>
        <v>да</v>
      </c>
    </row>
    <row r="422" spans="1:14" x14ac:dyDescent="0.35">
      <c r="A422">
        <v>13069</v>
      </c>
      <c r="B422" t="s">
        <v>354</v>
      </c>
      <c r="C422" t="s">
        <v>30</v>
      </c>
      <c r="D422" s="2">
        <v>43003</v>
      </c>
      <c r="E422" s="2">
        <v>17540</v>
      </c>
      <c r="F422" s="3">
        <v>2.2999999999999998</v>
      </c>
      <c r="G422" s="3">
        <v>15358</v>
      </c>
      <c r="H422" s="3">
        <v>78.3</v>
      </c>
      <c r="I422" s="3">
        <v>13.8</v>
      </c>
      <c r="J422" s="3">
        <v>7.6</v>
      </c>
      <c r="K422" s="3">
        <v>0.3</v>
      </c>
      <c r="L422" s="3">
        <v>8.3000000000000007</v>
      </c>
      <c r="M422" t="str">
        <f>IF(acs2015_county_data[[#This Row],[PublicWork]]&gt;='Описательные характеристики'!$F$5,"да","нет")</f>
        <v>нет</v>
      </c>
      <c r="N422" t="str">
        <f>IF(acs2015_county_data[[#This Row],[Unemployment]]&gt;='Описательные характеристики'!$I$5,"да","нет")</f>
        <v>да</v>
      </c>
    </row>
    <row r="423" spans="1:14" x14ac:dyDescent="0.35">
      <c r="A423">
        <v>13071</v>
      </c>
      <c r="B423" t="s">
        <v>354</v>
      </c>
      <c r="C423" t="s">
        <v>380</v>
      </c>
      <c r="D423" s="2">
        <v>46024</v>
      </c>
      <c r="E423" s="2">
        <v>17353</v>
      </c>
      <c r="F423" s="3">
        <v>2.7</v>
      </c>
      <c r="G423" s="3">
        <v>18354</v>
      </c>
      <c r="H423" s="3">
        <v>78.5</v>
      </c>
      <c r="I423" s="3">
        <v>16.5</v>
      </c>
      <c r="J423" s="3">
        <v>5</v>
      </c>
      <c r="K423" s="3">
        <v>0.1</v>
      </c>
      <c r="L423" s="3">
        <v>8.3000000000000007</v>
      </c>
      <c r="M423" t="str">
        <f>IF(acs2015_county_data[[#This Row],[PublicWork]]&gt;='Описательные характеристики'!$F$5,"да","нет")</f>
        <v>да</v>
      </c>
      <c r="N423" t="str">
        <f>IF(acs2015_county_data[[#This Row],[Unemployment]]&gt;='Описательные характеристики'!$I$5,"да","нет")</f>
        <v>да</v>
      </c>
    </row>
    <row r="424" spans="1:14" x14ac:dyDescent="0.35">
      <c r="A424">
        <v>13073</v>
      </c>
      <c r="B424" t="s">
        <v>354</v>
      </c>
      <c r="C424" t="s">
        <v>133</v>
      </c>
      <c r="D424" s="2">
        <v>136204</v>
      </c>
      <c r="E424" s="2">
        <v>30603</v>
      </c>
      <c r="F424" s="3">
        <v>2.2999999999999998</v>
      </c>
      <c r="G424" s="3">
        <v>60928</v>
      </c>
      <c r="H424" s="3">
        <v>74.5</v>
      </c>
      <c r="I424" s="3">
        <v>20.3</v>
      </c>
      <c r="J424" s="3">
        <v>5</v>
      </c>
      <c r="K424" s="3">
        <v>0.1</v>
      </c>
      <c r="L424" s="3">
        <v>7.1</v>
      </c>
      <c r="M424" t="str">
        <f>IF(acs2015_county_data[[#This Row],[PublicWork]]&gt;='Описательные характеристики'!$F$5,"да","нет")</f>
        <v>да</v>
      </c>
      <c r="N424" t="str">
        <f>IF(acs2015_county_data[[#This Row],[Unemployment]]&gt;='Описательные характеристики'!$I$5,"да","нет")</f>
        <v>нет</v>
      </c>
    </row>
    <row r="425" spans="1:14" x14ac:dyDescent="0.35">
      <c r="A425">
        <v>13075</v>
      </c>
      <c r="B425" t="s">
        <v>354</v>
      </c>
      <c r="C425" t="s">
        <v>381</v>
      </c>
      <c r="D425" s="2">
        <v>17033</v>
      </c>
      <c r="E425" s="2">
        <v>18790</v>
      </c>
      <c r="F425" s="3">
        <v>4.3</v>
      </c>
      <c r="G425" s="3">
        <v>7043</v>
      </c>
      <c r="H425" s="3">
        <v>74.900000000000006</v>
      </c>
      <c r="I425" s="3">
        <v>17.5</v>
      </c>
      <c r="J425" s="3">
        <v>7.6</v>
      </c>
      <c r="K425" s="3">
        <v>0</v>
      </c>
      <c r="L425" s="3">
        <v>6.6</v>
      </c>
      <c r="M425" t="str">
        <f>IF(acs2015_county_data[[#This Row],[PublicWork]]&gt;='Описательные характеристики'!$F$5,"да","нет")</f>
        <v>да</v>
      </c>
      <c r="N425" t="str">
        <f>IF(acs2015_county_data[[#This Row],[Unemployment]]&gt;='Описательные характеристики'!$I$5,"да","нет")</f>
        <v>нет</v>
      </c>
    </row>
    <row r="426" spans="1:14" x14ac:dyDescent="0.35">
      <c r="A426">
        <v>13077</v>
      </c>
      <c r="B426" t="s">
        <v>354</v>
      </c>
      <c r="C426" t="s">
        <v>382</v>
      </c>
      <c r="D426" s="2">
        <v>133416</v>
      </c>
      <c r="E426" s="2">
        <v>28106</v>
      </c>
      <c r="F426" s="3">
        <v>4.5999999999999996</v>
      </c>
      <c r="G426" s="3">
        <v>62298</v>
      </c>
      <c r="H426" s="3">
        <v>80.8</v>
      </c>
      <c r="I426" s="3">
        <v>14.2</v>
      </c>
      <c r="J426" s="3">
        <v>4.8</v>
      </c>
      <c r="K426" s="3">
        <v>0.2</v>
      </c>
      <c r="L426" s="3">
        <v>7</v>
      </c>
      <c r="M426" t="str">
        <f>IF(acs2015_county_data[[#This Row],[PublicWork]]&gt;='Описательные характеристики'!$F$5,"да","нет")</f>
        <v>нет</v>
      </c>
      <c r="N426" t="str">
        <f>IF(acs2015_county_data[[#This Row],[Unemployment]]&gt;='Описательные характеристики'!$I$5,"да","нет")</f>
        <v>нет</v>
      </c>
    </row>
    <row r="427" spans="1:14" x14ac:dyDescent="0.35">
      <c r="A427">
        <v>13079</v>
      </c>
      <c r="B427" t="s">
        <v>354</v>
      </c>
      <c r="C427" t="s">
        <v>136</v>
      </c>
      <c r="D427" s="2">
        <v>12539</v>
      </c>
      <c r="E427" s="2">
        <v>20904</v>
      </c>
      <c r="F427" s="3">
        <v>1.8</v>
      </c>
      <c r="G427" s="3">
        <v>4843</v>
      </c>
      <c r="H427" s="3">
        <v>73.099999999999994</v>
      </c>
      <c r="I427" s="3">
        <v>21.1</v>
      </c>
      <c r="J427" s="3">
        <v>5.4</v>
      </c>
      <c r="K427" s="3">
        <v>0.4</v>
      </c>
      <c r="L427" s="3">
        <v>11</v>
      </c>
      <c r="M427" t="str">
        <f>IF(acs2015_county_data[[#This Row],[PublicWork]]&gt;='Описательные характеристики'!$F$5,"да","нет")</f>
        <v>да</v>
      </c>
      <c r="N427" t="str">
        <f>IF(acs2015_county_data[[#This Row],[Unemployment]]&gt;='Описательные характеристики'!$I$5,"да","нет")</f>
        <v>да</v>
      </c>
    </row>
    <row r="428" spans="1:14" x14ac:dyDescent="0.35">
      <c r="A428">
        <v>13081</v>
      </c>
      <c r="B428" t="s">
        <v>354</v>
      </c>
      <c r="C428" t="s">
        <v>383</v>
      </c>
      <c r="D428" s="2">
        <v>23314</v>
      </c>
      <c r="E428" s="2">
        <v>19439</v>
      </c>
      <c r="F428" s="3">
        <v>3.5</v>
      </c>
      <c r="G428" s="3">
        <v>8633</v>
      </c>
      <c r="H428" s="3">
        <v>70.5</v>
      </c>
      <c r="I428" s="3">
        <v>20.7</v>
      </c>
      <c r="J428" s="3">
        <v>8.6</v>
      </c>
      <c r="K428" s="3">
        <v>0.1</v>
      </c>
      <c r="L428" s="3">
        <v>15.5</v>
      </c>
      <c r="M428" t="str">
        <f>IF(acs2015_county_data[[#This Row],[PublicWork]]&gt;='Описательные характеристики'!$F$5,"да","нет")</f>
        <v>да</v>
      </c>
      <c r="N428" t="str">
        <f>IF(acs2015_county_data[[#This Row],[Unemployment]]&gt;='Описательные характеристики'!$I$5,"да","нет")</f>
        <v>да</v>
      </c>
    </row>
    <row r="429" spans="1:14" x14ac:dyDescent="0.35">
      <c r="A429">
        <v>13083</v>
      </c>
      <c r="B429" t="s">
        <v>354</v>
      </c>
      <c r="C429" t="s">
        <v>384</v>
      </c>
      <c r="D429" s="2">
        <v>16445</v>
      </c>
      <c r="E429" s="2">
        <v>21547</v>
      </c>
      <c r="F429" s="3">
        <v>7.2</v>
      </c>
      <c r="G429" s="3">
        <v>7848</v>
      </c>
      <c r="H429" s="3">
        <v>77.099999999999994</v>
      </c>
      <c r="I429" s="3">
        <v>10.4</v>
      </c>
      <c r="J429" s="3">
        <v>12.2</v>
      </c>
      <c r="K429" s="3">
        <v>0.3</v>
      </c>
      <c r="L429" s="3">
        <v>6.1</v>
      </c>
      <c r="M429" t="str">
        <f>IF(acs2015_county_data[[#This Row],[PublicWork]]&gt;='Описательные характеристики'!$F$5,"да","нет")</f>
        <v>нет</v>
      </c>
      <c r="N429" t="str">
        <f>IF(acs2015_county_data[[#This Row],[Unemployment]]&gt;='Описательные характеристики'!$I$5,"да","нет")</f>
        <v>нет</v>
      </c>
    </row>
    <row r="430" spans="1:14" x14ac:dyDescent="0.35">
      <c r="A430">
        <v>13085</v>
      </c>
      <c r="B430" t="s">
        <v>354</v>
      </c>
      <c r="C430" t="s">
        <v>385</v>
      </c>
      <c r="D430" s="2">
        <v>22673</v>
      </c>
      <c r="E430" s="2">
        <v>28832</v>
      </c>
      <c r="F430" s="3">
        <v>7.7</v>
      </c>
      <c r="G430" s="3">
        <v>9787</v>
      </c>
      <c r="H430" s="3">
        <v>80.599999999999994</v>
      </c>
      <c r="I430" s="3">
        <v>11.7</v>
      </c>
      <c r="J430" s="3">
        <v>7.4</v>
      </c>
      <c r="K430" s="3">
        <v>0.3</v>
      </c>
      <c r="L430" s="3">
        <v>8.5</v>
      </c>
      <c r="M430" t="str">
        <f>IF(acs2015_county_data[[#This Row],[PublicWork]]&gt;='Описательные характеристики'!$F$5,"да","нет")</f>
        <v>нет</v>
      </c>
      <c r="N430" t="str">
        <f>IF(acs2015_county_data[[#This Row],[Unemployment]]&gt;='Описательные характеристики'!$I$5,"да","нет")</f>
        <v>да</v>
      </c>
    </row>
    <row r="431" spans="1:14" x14ac:dyDescent="0.35">
      <c r="A431">
        <v>13087</v>
      </c>
      <c r="B431" t="s">
        <v>354</v>
      </c>
      <c r="C431" t="s">
        <v>386</v>
      </c>
      <c r="D431" s="2">
        <v>27378</v>
      </c>
      <c r="E431" s="2">
        <v>18310</v>
      </c>
      <c r="F431" s="3">
        <v>1.3</v>
      </c>
      <c r="G431" s="3">
        <v>9892</v>
      </c>
      <c r="H431" s="3">
        <v>71.7</v>
      </c>
      <c r="I431" s="3">
        <v>21.3</v>
      </c>
      <c r="J431" s="3">
        <v>7</v>
      </c>
      <c r="K431" s="3">
        <v>0</v>
      </c>
      <c r="L431" s="3">
        <v>6.5</v>
      </c>
      <c r="M431" t="str">
        <f>IF(acs2015_county_data[[#This Row],[PublicWork]]&gt;='Описательные характеристики'!$F$5,"да","нет")</f>
        <v>да</v>
      </c>
      <c r="N431" t="str">
        <f>IF(acs2015_county_data[[#This Row],[Unemployment]]&gt;='Описательные характеристики'!$I$5,"да","нет")</f>
        <v>нет</v>
      </c>
    </row>
    <row r="432" spans="1:14" x14ac:dyDescent="0.35">
      <c r="A432">
        <v>13089</v>
      </c>
      <c r="B432" t="s">
        <v>354</v>
      </c>
      <c r="C432" t="s">
        <v>38</v>
      </c>
      <c r="D432" s="2">
        <v>716331</v>
      </c>
      <c r="E432" s="2">
        <v>29486</v>
      </c>
      <c r="F432" s="3">
        <v>5.5</v>
      </c>
      <c r="G432" s="3">
        <v>344876</v>
      </c>
      <c r="H432" s="3">
        <v>80.599999999999994</v>
      </c>
      <c r="I432" s="3">
        <v>14.3</v>
      </c>
      <c r="J432" s="3">
        <v>5</v>
      </c>
      <c r="K432" s="3">
        <v>0.2</v>
      </c>
      <c r="L432" s="3">
        <v>11.3</v>
      </c>
      <c r="M432" t="str">
        <f>IF(acs2015_county_data[[#This Row],[PublicWork]]&gt;='Описательные характеристики'!$F$5,"да","нет")</f>
        <v>нет</v>
      </c>
      <c r="N432" t="str">
        <f>IF(acs2015_county_data[[#This Row],[Unemployment]]&gt;='Описательные характеристики'!$I$5,"да","нет")</f>
        <v>да</v>
      </c>
    </row>
    <row r="433" spans="1:14" x14ac:dyDescent="0.35">
      <c r="A433">
        <v>13091</v>
      </c>
      <c r="B433" t="s">
        <v>354</v>
      </c>
      <c r="C433" t="s">
        <v>387</v>
      </c>
      <c r="D433" s="2">
        <v>21180</v>
      </c>
      <c r="E433" s="2">
        <v>17887</v>
      </c>
      <c r="F433" s="3">
        <v>1.5</v>
      </c>
      <c r="G433" s="3">
        <v>7871</v>
      </c>
      <c r="H433" s="3">
        <v>60</v>
      </c>
      <c r="I433" s="3">
        <v>31.7</v>
      </c>
      <c r="J433" s="3">
        <v>8.3000000000000007</v>
      </c>
      <c r="K433" s="3">
        <v>0.1</v>
      </c>
      <c r="L433" s="3">
        <v>9.8000000000000007</v>
      </c>
      <c r="M433" t="str">
        <f>IF(acs2015_county_data[[#This Row],[PublicWork]]&gt;='Описательные характеристики'!$F$5,"да","нет")</f>
        <v>да</v>
      </c>
      <c r="N433" t="str">
        <f>IF(acs2015_county_data[[#This Row],[Unemployment]]&gt;='Описательные характеристики'!$I$5,"да","нет")</f>
        <v>да</v>
      </c>
    </row>
    <row r="434" spans="1:14" x14ac:dyDescent="0.35">
      <c r="A434">
        <v>13093</v>
      </c>
      <c r="B434" t="s">
        <v>354</v>
      </c>
      <c r="C434" t="s">
        <v>388</v>
      </c>
      <c r="D434" s="2">
        <v>14293</v>
      </c>
      <c r="E434" s="2">
        <v>14295</v>
      </c>
      <c r="F434" s="3">
        <v>3.7</v>
      </c>
      <c r="G434" s="3">
        <v>4895</v>
      </c>
      <c r="H434" s="3">
        <v>64.599999999999994</v>
      </c>
      <c r="I434" s="3">
        <v>23.8</v>
      </c>
      <c r="J434" s="3">
        <v>11.5</v>
      </c>
      <c r="K434" s="3">
        <v>0.1</v>
      </c>
      <c r="L434" s="3">
        <v>11.7</v>
      </c>
      <c r="M434" t="str">
        <f>IF(acs2015_county_data[[#This Row],[PublicWork]]&gt;='Описательные характеристики'!$F$5,"да","нет")</f>
        <v>да</v>
      </c>
      <c r="N434" t="str">
        <f>IF(acs2015_county_data[[#This Row],[Unemployment]]&gt;='Описательные характеристики'!$I$5,"да","нет")</f>
        <v>да</v>
      </c>
    </row>
    <row r="435" spans="1:14" x14ac:dyDescent="0.35">
      <c r="A435">
        <v>13095</v>
      </c>
      <c r="B435" t="s">
        <v>354</v>
      </c>
      <c r="C435" t="s">
        <v>389</v>
      </c>
      <c r="D435" s="2">
        <v>93310</v>
      </c>
      <c r="E435" s="2">
        <v>18999</v>
      </c>
      <c r="F435" s="3">
        <v>3.7</v>
      </c>
      <c r="G435" s="3">
        <v>34097</v>
      </c>
      <c r="H435" s="3">
        <v>72.099999999999994</v>
      </c>
      <c r="I435" s="3">
        <v>23.8</v>
      </c>
      <c r="J435" s="3">
        <v>4.0999999999999996</v>
      </c>
      <c r="K435" s="3">
        <v>0.1</v>
      </c>
      <c r="L435" s="3">
        <v>18</v>
      </c>
      <c r="M435" t="str">
        <f>IF(acs2015_county_data[[#This Row],[PublicWork]]&gt;='Описательные характеристики'!$F$5,"да","нет")</f>
        <v>да</v>
      </c>
      <c r="N435" t="str">
        <f>IF(acs2015_county_data[[#This Row],[Unemployment]]&gt;='Описательные характеристики'!$I$5,"да","нет")</f>
        <v>да</v>
      </c>
    </row>
    <row r="436" spans="1:14" x14ac:dyDescent="0.35">
      <c r="A436">
        <v>13097</v>
      </c>
      <c r="B436" t="s">
        <v>354</v>
      </c>
      <c r="C436" t="s">
        <v>254</v>
      </c>
      <c r="D436" s="2">
        <v>136520</v>
      </c>
      <c r="E436" s="2">
        <v>23158</v>
      </c>
      <c r="F436" s="3">
        <v>5.0999999999999996</v>
      </c>
      <c r="G436" s="3">
        <v>61844</v>
      </c>
      <c r="H436" s="3">
        <v>80.5</v>
      </c>
      <c r="I436" s="3">
        <v>13.7</v>
      </c>
      <c r="J436" s="3">
        <v>5.7</v>
      </c>
      <c r="K436" s="3">
        <v>0.1</v>
      </c>
      <c r="L436" s="3">
        <v>10.5</v>
      </c>
      <c r="M436" t="str">
        <f>IF(acs2015_county_data[[#This Row],[PublicWork]]&gt;='Описательные характеристики'!$F$5,"да","нет")</f>
        <v>нет</v>
      </c>
      <c r="N436" t="str">
        <f>IF(acs2015_county_data[[#This Row],[Unemployment]]&gt;='Описательные характеристики'!$I$5,"да","нет")</f>
        <v>да</v>
      </c>
    </row>
    <row r="437" spans="1:14" x14ac:dyDescent="0.35">
      <c r="A437">
        <v>13099</v>
      </c>
      <c r="B437" t="s">
        <v>354</v>
      </c>
      <c r="C437" t="s">
        <v>390</v>
      </c>
      <c r="D437" s="2">
        <v>10579</v>
      </c>
      <c r="E437" s="2">
        <v>18116</v>
      </c>
      <c r="F437" s="3">
        <v>1.7</v>
      </c>
      <c r="G437" s="3">
        <v>3742</v>
      </c>
      <c r="H437" s="3">
        <v>71.8</v>
      </c>
      <c r="I437" s="3">
        <v>21.6</v>
      </c>
      <c r="J437" s="3">
        <v>6.6</v>
      </c>
      <c r="K437" s="3">
        <v>0</v>
      </c>
      <c r="L437" s="3">
        <v>9.4</v>
      </c>
      <c r="M437" t="str">
        <f>IF(acs2015_county_data[[#This Row],[PublicWork]]&gt;='Описательные характеристики'!$F$5,"да","нет")</f>
        <v>да</v>
      </c>
      <c r="N437" t="str">
        <f>IF(acs2015_county_data[[#This Row],[Unemployment]]&gt;='Описательные характеристики'!$I$5,"да","нет")</f>
        <v>да</v>
      </c>
    </row>
    <row r="438" spans="1:14" x14ac:dyDescent="0.35">
      <c r="A438">
        <v>13101</v>
      </c>
      <c r="B438" t="s">
        <v>354</v>
      </c>
      <c r="C438" t="s">
        <v>391</v>
      </c>
      <c r="D438" s="2">
        <v>4048</v>
      </c>
      <c r="E438" s="2">
        <v>16954</v>
      </c>
      <c r="F438" s="3">
        <v>3.7</v>
      </c>
      <c r="G438" s="3">
        <v>1675</v>
      </c>
      <c r="H438" s="3">
        <v>78.8</v>
      </c>
      <c r="I438" s="3">
        <v>12.7</v>
      </c>
      <c r="J438" s="3">
        <v>8.5</v>
      </c>
      <c r="K438" s="3">
        <v>0</v>
      </c>
      <c r="L438" s="3">
        <v>10.1</v>
      </c>
      <c r="M438" t="str">
        <f>IF(acs2015_county_data[[#This Row],[PublicWork]]&gt;='Описательные характеристики'!$F$5,"да","нет")</f>
        <v>нет</v>
      </c>
      <c r="N438" t="str">
        <f>IF(acs2015_county_data[[#This Row],[Unemployment]]&gt;='Описательные характеристики'!$I$5,"да","нет")</f>
        <v>да</v>
      </c>
    </row>
    <row r="439" spans="1:14" x14ac:dyDescent="0.35">
      <c r="A439">
        <v>13103</v>
      </c>
      <c r="B439" t="s">
        <v>354</v>
      </c>
      <c r="C439" t="s">
        <v>392</v>
      </c>
      <c r="D439" s="2">
        <v>54630</v>
      </c>
      <c r="E439" s="2">
        <v>25123</v>
      </c>
      <c r="F439" s="3">
        <v>3</v>
      </c>
      <c r="G439" s="3">
        <v>25352</v>
      </c>
      <c r="H439" s="3">
        <v>79.8</v>
      </c>
      <c r="I439" s="3">
        <v>15.8</v>
      </c>
      <c r="J439" s="3">
        <v>4.4000000000000004</v>
      </c>
      <c r="K439" s="3">
        <v>0</v>
      </c>
      <c r="L439" s="3">
        <v>6</v>
      </c>
      <c r="M439" t="str">
        <f>IF(acs2015_county_data[[#This Row],[PublicWork]]&gt;='Описательные характеристики'!$F$5,"да","нет")</f>
        <v>нет</v>
      </c>
      <c r="N439" t="str">
        <f>IF(acs2015_county_data[[#This Row],[Unemployment]]&gt;='Описательные характеристики'!$I$5,"да","нет")</f>
        <v>нет</v>
      </c>
    </row>
    <row r="440" spans="1:14" x14ac:dyDescent="0.35">
      <c r="A440">
        <v>13105</v>
      </c>
      <c r="B440" t="s">
        <v>354</v>
      </c>
      <c r="C440" t="s">
        <v>1995</v>
      </c>
      <c r="D440" s="2">
        <v>19537</v>
      </c>
      <c r="E440" s="2">
        <v>19841</v>
      </c>
      <c r="F440" s="3">
        <v>2.2000000000000002</v>
      </c>
      <c r="G440" s="3">
        <v>7210</v>
      </c>
      <c r="H440" s="3">
        <v>74</v>
      </c>
      <c r="I440" s="3">
        <v>17.5</v>
      </c>
      <c r="J440" s="3">
        <v>8.4</v>
      </c>
      <c r="K440" s="3">
        <v>0.1</v>
      </c>
      <c r="L440" s="3">
        <v>10.8</v>
      </c>
      <c r="M440" t="str">
        <f>IF(acs2015_county_data[[#This Row],[PublicWork]]&gt;='Описательные характеристики'!$F$5,"да","нет")</f>
        <v>да</v>
      </c>
      <c r="N440" t="str">
        <f>IF(acs2015_county_data[[#This Row],[Unemployment]]&gt;='Описательные характеристики'!$I$5,"да","нет")</f>
        <v>да</v>
      </c>
    </row>
    <row r="441" spans="1:14" x14ac:dyDescent="0.35">
      <c r="A441">
        <v>13107</v>
      </c>
      <c r="B441" t="s">
        <v>354</v>
      </c>
      <c r="C441" t="s">
        <v>393</v>
      </c>
      <c r="D441" s="2">
        <v>22731</v>
      </c>
      <c r="E441" s="2">
        <v>17096</v>
      </c>
      <c r="F441" s="3">
        <v>1.4</v>
      </c>
      <c r="G441" s="3"/>
      <c r="H441" s="3">
        <v>72.3</v>
      </c>
      <c r="I441" s="3">
        <v>19.7</v>
      </c>
      <c r="J441" s="3">
        <v>7.8</v>
      </c>
      <c r="K441" s="3">
        <v>0.2</v>
      </c>
      <c r="L441" s="3">
        <v>13.2</v>
      </c>
      <c r="M441" t="str">
        <f>IF(acs2015_county_data[[#This Row],[PublicWork]]&gt;='Описательные характеристики'!$F$5,"да","нет")</f>
        <v>да</v>
      </c>
      <c r="N441" t="str">
        <f>IF(acs2015_county_data[[#This Row],[Unemployment]]&gt;='Описательные характеристики'!$I$5,"да","нет")</f>
        <v>да</v>
      </c>
    </row>
    <row r="442" spans="1:14" x14ac:dyDescent="0.35">
      <c r="A442">
        <v>13109</v>
      </c>
      <c r="B442" t="s">
        <v>354</v>
      </c>
      <c r="C442" t="s">
        <v>394</v>
      </c>
      <c r="D442" s="2">
        <v>10814</v>
      </c>
      <c r="E442" s="2">
        <v>19625</v>
      </c>
      <c r="F442" s="3">
        <v>5.3</v>
      </c>
      <c r="G442" s="3">
        <v>3979</v>
      </c>
      <c r="H442" s="3">
        <v>72.599999999999994</v>
      </c>
      <c r="I442" s="3">
        <v>16.5</v>
      </c>
      <c r="J442" s="3">
        <v>10.6</v>
      </c>
      <c r="K442" s="3">
        <v>0.3</v>
      </c>
      <c r="L442" s="3">
        <v>10.3</v>
      </c>
      <c r="M442" t="str">
        <f>IF(acs2015_county_data[[#This Row],[PublicWork]]&gt;='Описательные характеристики'!$F$5,"да","нет")</f>
        <v>да</v>
      </c>
      <c r="N442" t="str">
        <f>IF(acs2015_county_data[[#This Row],[Unemployment]]&gt;='Описательные характеристики'!$I$5,"да","нет")</f>
        <v>да</v>
      </c>
    </row>
    <row r="443" spans="1:14" x14ac:dyDescent="0.35">
      <c r="A443">
        <v>13111</v>
      </c>
      <c r="B443" t="s">
        <v>354</v>
      </c>
      <c r="C443" t="s">
        <v>395</v>
      </c>
      <c r="D443" s="2">
        <v>23742</v>
      </c>
      <c r="E443" s="2">
        <v>20534</v>
      </c>
      <c r="F443" s="3">
        <v>5.8</v>
      </c>
      <c r="G443" s="3">
        <v>8669</v>
      </c>
      <c r="H443" s="3">
        <v>73.400000000000006</v>
      </c>
      <c r="I443" s="3">
        <v>14.3</v>
      </c>
      <c r="J443" s="3">
        <v>12</v>
      </c>
      <c r="K443" s="3">
        <v>0.3</v>
      </c>
      <c r="L443" s="3">
        <v>12</v>
      </c>
      <c r="M443" t="str">
        <f>IF(acs2015_county_data[[#This Row],[PublicWork]]&gt;='Описательные характеристики'!$F$5,"да","нет")</f>
        <v>нет</v>
      </c>
      <c r="N443" t="str">
        <f>IF(acs2015_county_data[[#This Row],[Unemployment]]&gt;='Описательные характеристики'!$I$5,"да","нет")</f>
        <v>да</v>
      </c>
    </row>
    <row r="444" spans="1:14" x14ac:dyDescent="0.35">
      <c r="A444">
        <v>13113</v>
      </c>
      <c r="B444" t="s">
        <v>354</v>
      </c>
      <c r="C444" t="s">
        <v>42</v>
      </c>
      <c r="D444" s="2">
        <v>108655</v>
      </c>
      <c r="E444" s="2">
        <v>36362</v>
      </c>
      <c r="F444" s="3">
        <v>7.1</v>
      </c>
      <c r="G444" s="3">
        <v>49795</v>
      </c>
      <c r="H444" s="3">
        <v>79.2</v>
      </c>
      <c r="I444" s="3">
        <v>15.8</v>
      </c>
      <c r="J444" s="3">
        <v>4.9000000000000004</v>
      </c>
      <c r="K444" s="3">
        <v>0.1</v>
      </c>
      <c r="L444" s="3">
        <v>7.6</v>
      </c>
      <c r="M444" t="str">
        <f>IF(acs2015_county_data[[#This Row],[PublicWork]]&gt;='Описательные характеристики'!$F$5,"да","нет")</f>
        <v>нет</v>
      </c>
      <c r="N444" t="str">
        <f>IF(acs2015_county_data[[#This Row],[Unemployment]]&gt;='Описательные характеристики'!$I$5,"да","нет")</f>
        <v>да</v>
      </c>
    </row>
    <row r="445" spans="1:14" x14ac:dyDescent="0.35">
      <c r="A445">
        <v>13115</v>
      </c>
      <c r="B445" t="s">
        <v>354</v>
      </c>
      <c r="C445" t="s">
        <v>396</v>
      </c>
      <c r="D445" s="2">
        <v>96169</v>
      </c>
      <c r="E445" s="2">
        <v>21218</v>
      </c>
      <c r="F445" s="3">
        <v>3.8</v>
      </c>
      <c r="G445" s="3">
        <v>39669</v>
      </c>
      <c r="H445" s="3">
        <v>81.7</v>
      </c>
      <c r="I445" s="3">
        <v>14.3</v>
      </c>
      <c r="J445" s="3">
        <v>3.8</v>
      </c>
      <c r="K445" s="3">
        <v>0.2</v>
      </c>
      <c r="L445" s="3">
        <v>10.9</v>
      </c>
      <c r="M445" t="str">
        <f>IF(acs2015_county_data[[#This Row],[PublicWork]]&gt;='Описательные характеристики'!$F$5,"да","нет")</f>
        <v>нет</v>
      </c>
      <c r="N445" t="str">
        <f>IF(acs2015_county_data[[#This Row],[Unemployment]]&gt;='Описательные характеристики'!$I$5,"да","нет")</f>
        <v>да</v>
      </c>
    </row>
    <row r="446" spans="1:14" x14ac:dyDescent="0.35">
      <c r="A446">
        <v>13117</v>
      </c>
      <c r="B446" t="s">
        <v>354</v>
      </c>
      <c r="C446" t="s">
        <v>397</v>
      </c>
      <c r="D446" s="2">
        <v>196236</v>
      </c>
      <c r="E446" s="2">
        <v>35696</v>
      </c>
      <c r="F446" s="3">
        <v>9.3000000000000007</v>
      </c>
      <c r="G446" s="3">
        <v>92504</v>
      </c>
      <c r="H446" s="3">
        <v>84.1</v>
      </c>
      <c r="I446" s="3">
        <v>9.6</v>
      </c>
      <c r="J446" s="3">
        <v>6.2</v>
      </c>
      <c r="K446" s="3">
        <v>0.1</v>
      </c>
      <c r="L446" s="3">
        <v>6.2</v>
      </c>
      <c r="M446" t="str">
        <f>IF(acs2015_county_data[[#This Row],[PublicWork]]&gt;='Описательные характеристики'!$F$5,"да","нет")</f>
        <v>нет</v>
      </c>
      <c r="N446" t="str">
        <f>IF(acs2015_county_data[[#This Row],[Unemployment]]&gt;='Описательные характеристики'!$I$5,"да","нет")</f>
        <v>нет</v>
      </c>
    </row>
    <row r="447" spans="1:14" x14ac:dyDescent="0.35">
      <c r="A447">
        <v>13119</v>
      </c>
      <c r="B447" t="s">
        <v>354</v>
      </c>
      <c r="C447" t="s">
        <v>43</v>
      </c>
      <c r="D447" s="2">
        <v>22110</v>
      </c>
      <c r="E447" s="2">
        <v>17743</v>
      </c>
      <c r="F447" s="3">
        <v>4.8</v>
      </c>
      <c r="G447" s="3">
        <v>8038</v>
      </c>
      <c r="H447" s="3">
        <v>78</v>
      </c>
      <c r="I447" s="3">
        <v>14.6</v>
      </c>
      <c r="J447" s="3">
        <v>7.3</v>
      </c>
      <c r="K447" s="3">
        <v>0</v>
      </c>
      <c r="L447" s="3">
        <v>8.4</v>
      </c>
      <c r="M447" t="str">
        <f>IF(acs2015_county_data[[#This Row],[PublicWork]]&gt;='Описательные характеристики'!$F$5,"да","нет")</f>
        <v>нет</v>
      </c>
      <c r="N447" t="str">
        <f>IF(acs2015_county_data[[#This Row],[Unemployment]]&gt;='Описательные характеристики'!$I$5,"да","нет")</f>
        <v>да</v>
      </c>
    </row>
    <row r="448" spans="1:14" x14ac:dyDescent="0.35">
      <c r="A448">
        <v>13121</v>
      </c>
      <c r="B448" t="s">
        <v>354</v>
      </c>
      <c r="C448" t="s">
        <v>142</v>
      </c>
      <c r="D448" s="2">
        <v>983903</v>
      </c>
      <c r="E448" s="2">
        <v>37926</v>
      </c>
      <c r="F448" s="3">
        <v>7.9</v>
      </c>
      <c r="G448" s="3">
        <v>471816</v>
      </c>
      <c r="H448" s="3">
        <v>83.1</v>
      </c>
      <c r="I448" s="3">
        <v>11.5</v>
      </c>
      <c r="J448" s="3">
        <v>5.2</v>
      </c>
      <c r="K448" s="3">
        <v>0.1</v>
      </c>
      <c r="L448" s="3">
        <v>9.9</v>
      </c>
      <c r="M448" t="str">
        <f>IF(acs2015_county_data[[#This Row],[PublicWork]]&gt;='Описательные характеристики'!$F$5,"да","нет")</f>
        <v>нет</v>
      </c>
      <c r="N448" t="str">
        <f>IF(acs2015_county_data[[#This Row],[Unemployment]]&gt;='Описательные характеристики'!$I$5,"да","нет")</f>
        <v>да</v>
      </c>
    </row>
    <row r="449" spans="1:14" x14ac:dyDescent="0.35">
      <c r="A449">
        <v>13123</v>
      </c>
      <c r="B449" t="s">
        <v>354</v>
      </c>
      <c r="C449" t="s">
        <v>398</v>
      </c>
      <c r="D449" s="2">
        <v>28673</v>
      </c>
      <c r="E449" s="2">
        <v>21766</v>
      </c>
      <c r="F449" s="3">
        <v>4.4000000000000004</v>
      </c>
      <c r="G449" s="3">
        <v>10938</v>
      </c>
      <c r="H449" s="3">
        <v>78.599999999999994</v>
      </c>
      <c r="I449" s="3">
        <v>9.5</v>
      </c>
      <c r="J449" s="3">
        <v>11.5</v>
      </c>
      <c r="K449" s="3">
        <v>0.5</v>
      </c>
      <c r="L449" s="3">
        <v>10</v>
      </c>
      <c r="M449" t="str">
        <f>IF(acs2015_county_data[[#This Row],[PublicWork]]&gt;='Описательные характеристики'!$F$5,"да","нет")</f>
        <v>нет</v>
      </c>
      <c r="N449" t="str">
        <f>IF(acs2015_county_data[[#This Row],[Unemployment]]&gt;='Описательные характеристики'!$I$5,"да","нет")</f>
        <v>да</v>
      </c>
    </row>
    <row r="450" spans="1:14" x14ac:dyDescent="0.35">
      <c r="A450">
        <v>13125</v>
      </c>
      <c r="B450" t="s">
        <v>354</v>
      </c>
      <c r="C450" t="s">
        <v>399</v>
      </c>
      <c r="D450" s="2">
        <v>3087</v>
      </c>
      <c r="E450" s="2">
        <v>18921</v>
      </c>
      <c r="F450" s="3">
        <v>3.7</v>
      </c>
      <c r="G450" s="3">
        <v>1344</v>
      </c>
      <c r="H450" s="3">
        <v>75.2</v>
      </c>
      <c r="I450" s="3">
        <v>17.7</v>
      </c>
      <c r="J450" s="3">
        <v>6.9</v>
      </c>
      <c r="K450" s="3">
        <v>0.1</v>
      </c>
      <c r="L450" s="3">
        <v>7.1</v>
      </c>
      <c r="M450" t="str">
        <f>IF(acs2015_county_data[[#This Row],[PublicWork]]&gt;='Описательные характеристики'!$F$5,"да","нет")</f>
        <v>да</v>
      </c>
      <c r="N450" t="str">
        <f>IF(acs2015_county_data[[#This Row],[Unemployment]]&gt;='Описательные характеристики'!$I$5,"да","нет")</f>
        <v>нет</v>
      </c>
    </row>
    <row r="451" spans="1:14" x14ac:dyDescent="0.35">
      <c r="A451">
        <v>13127</v>
      </c>
      <c r="B451" t="s">
        <v>354</v>
      </c>
      <c r="C451" t="s">
        <v>400</v>
      </c>
      <c r="D451" s="2">
        <v>81743</v>
      </c>
      <c r="E451" s="2">
        <v>26541</v>
      </c>
      <c r="F451" s="3">
        <v>4.2</v>
      </c>
      <c r="G451" s="3">
        <v>36375</v>
      </c>
      <c r="H451" s="3">
        <v>76.900000000000006</v>
      </c>
      <c r="I451" s="3">
        <v>17.100000000000001</v>
      </c>
      <c r="J451" s="3">
        <v>5.7</v>
      </c>
      <c r="K451" s="3">
        <v>0.3</v>
      </c>
      <c r="L451" s="3">
        <v>9.3000000000000007</v>
      </c>
      <c r="M451" t="str">
        <f>IF(acs2015_county_data[[#This Row],[PublicWork]]&gt;='Описательные характеристики'!$F$5,"да","нет")</f>
        <v>да</v>
      </c>
      <c r="N451" t="str">
        <f>IF(acs2015_county_data[[#This Row],[Unemployment]]&gt;='Описательные характеристики'!$I$5,"да","нет")</f>
        <v>да</v>
      </c>
    </row>
    <row r="452" spans="1:14" x14ac:dyDescent="0.35">
      <c r="A452">
        <v>13129</v>
      </c>
      <c r="B452" t="s">
        <v>354</v>
      </c>
      <c r="C452" t="s">
        <v>401</v>
      </c>
      <c r="D452" s="2">
        <v>55889</v>
      </c>
      <c r="E452" s="2">
        <v>19707</v>
      </c>
      <c r="F452" s="3">
        <v>2.7</v>
      </c>
      <c r="G452" s="3">
        <v>23587</v>
      </c>
      <c r="H452" s="3">
        <v>82.9</v>
      </c>
      <c r="I452" s="3">
        <v>11.4</v>
      </c>
      <c r="J452" s="3">
        <v>5.2</v>
      </c>
      <c r="K452" s="3">
        <v>0.5</v>
      </c>
      <c r="L452" s="3">
        <v>8.3000000000000007</v>
      </c>
      <c r="M452" t="str">
        <f>IF(acs2015_county_data[[#This Row],[PublicWork]]&gt;='Описательные характеристики'!$F$5,"да","нет")</f>
        <v>нет</v>
      </c>
      <c r="N452" t="str">
        <f>IF(acs2015_county_data[[#This Row],[Unemployment]]&gt;='Описательные характеристики'!$I$5,"да","нет")</f>
        <v>да</v>
      </c>
    </row>
    <row r="453" spans="1:14" x14ac:dyDescent="0.35">
      <c r="A453">
        <v>13131</v>
      </c>
      <c r="B453" t="s">
        <v>354</v>
      </c>
      <c r="C453" t="s">
        <v>402</v>
      </c>
      <c r="D453" s="2">
        <v>25243</v>
      </c>
      <c r="E453" s="2">
        <v>16953</v>
      </c>
      <c r="F453" s="3">
        <v>2.5</v>
      </c>
      <c r="G453" s="3">
        <v>9291</v>
      </c>
      <c r="H453" s="3">
        <v>73.900000000000006</v>
      </c>
      <c r="I453" s="3">
        <v>15.7</v>
      </c>
      <c r="J453" s="3">
        <v>9.4</v>
      </c>
      <c r="K453" s="3">
        <v>1</v>
      </c>
      <c r="L453" s="3">
        <v>10.5</v>
      </c>
      <c r="M453" t="str">
        <f>IF(acs2015_county_data[[#This Row],[PublicWork]]&gt;='Описательные характеристики'!$F$5,"да","нет")</f>
        <v>нет</v>
      </c>
      <c r="N453" t="str">
        <f>IF(acs2015_county_data[[#This Row],[Unemployment]]&gt;='Описательные характеристики'!$I$5,"да","нет")</f>
        <v>да</v>
      </c>
    </row>
    <row r="454" spans="1:14" x14ac:dyDescent="0.35">
      <c r="A454">
        <v>13133</v>
      </c>
      <c r="B454" t="s">
        <v>354</v>
      </c>
      <c r="C454" t="s">
        <v>45</v>
      </c>
      <c r="D454" s="2">
        <v>16331</v>
      </c>
      <c r="E454" s="2">
        <v>28209</v>
      </c>
      <c r="F454" s="3">
        <v>6.3</v>
      </c>
      <c r="G454" s="3">
        <v>5952</v>
      </c>
      <c r="H454" s="3">
        <v>80.900000000000006</v>
      </c>
      <c r="I454" s="3">
        <v>13.4</v>
      </c>
      <c r="J454" s="3">
        <v>5.6</v>
      </c>
      <c r="K454" s="3">
        <v>0.1</v>
      </c>
      <c r="L454" s="3">
        <v>6.8</v>
      </c>
      <c r="M454" t="str">
        <f>IF(acs2015_county_data[[#This Row],[PublicWork]]&gt;='Описательные характеристики'!$F$5,"да","нет")</f>
        <v>нет</v>
      </c>
      <c r="N454" t="str">
        <f>IF(acs2015_county_data[[#This Row],[Unemployment]]&gt;='Описательные характеристики'!$I$5,"да","нет")</f>
        <v>нет</v>
      </c>
    </row>
    <row r="455" spans="1:14" x14ac:dyDescent="0.35">
      <c r="A455">
        <v>13135</v>
      </c>
      <c r="B455" t="s">
        <v>354</v>
      </c>
      <c r="C455" t="s">
        <v>403</v>
      </c>
      <c r="D455" s="2">
        <v>859234</v>
      </c>
      <c r="E455" s="2">
        <v>25831</v>
      </c>
      <c r="F455" s="3">
        <v>5.4</v>
      </c>
      <c r="G455" s="3">
        <v>410562</v>
      </c>
      <c r="H455" s="3">
        <v>83.2</v>
      </c>
      <c r="I455" s="3">
        <v>10.1</v>
      </c>
      <c r="J455" s="3">
        <v>6.3</v>
      </c>
      <c r="K455" s="3">
        <v>0.3</v>
      </c>
      <c r="L455" s="3">
        <v>8.3000000000000007</v>
      </c>
      <c r="M455" t="str">
        <f>IF(acs2015_county_data[[#This Row],[PublicWork]]&gt;='Описательные характеристики'!$F$5,"да","нет")</f>
        <v>нет</v>
      </c>
      <c r="N455" t="str">
        <f>IF(acs2015_county_data[[#This Row],[Unemployment]]&gt;='Описательные характеристики'!$I$5,"да","нет")</f>
        <v>да</v>
      </c>
    </row>
    <row r="456" spans="1:14" x14ac:dyDescent="0.35">
      <c r="A456">
        <v>13137</v>
      </c>
      <c r="B456" t="s">
        <v>354</v>
      </c>
      <c r="C456" t="s">
        <v>404</v>
      </c>
      <c r="D456" s="2">
        <v>43527</v>
      </c>
      <c r="E456" s="2">
        <v>19026</v>
      </c>
      <c r="F456" s="3">
        <v>3</v>
      </c>
      <c r="G456" s="3">
        <v>16970</v>
      </c>
      <c r="H456" s="3">
        <v>77.900000000000006</v>
      </c>
      <c r="I456" s="3">
        <v>14.6</v>
      </c>
      <c r="J456" s="3">
        <v>7.2</v>
      </c>
      <c r="K456" s="3">
        <v>0.3</v>
      </c>
      <c r="L456" s="3">
        <v>7.7</v>
      </c>
      <c r="M456" t="str">
        <f>IF(acs2015_county_data[[#This Row],[PublicWork]]&gt;='Описательные характеристики'!$F$5,"да","нет")</f>
        <v>нет</v>
      </c>
      <c r="N456" t="str">
        <f>IF(acs2015_county_data[[#This Row],[Unemployment]]&gt;='Описательные характеристики'!$I$5,"да","нет")</f>
        <v>да</v>
      </c>
    </row>
    <row r="457" spans="1:14" x14ac:dyDescent="0.35">
      <c r="A457">
        <v>13139</v>
      </c>
      <c r="B457" t="s">
        <v>354</v>
      </c>
      <c r="C457" t="s">
        <v>405</v>
      </c>
      <c r="D457" s="2">
        <v>187916</v>
      </c>
      <c r="E457" s="2">
        <v>24292</v>
      </c>
      <c r="F457" s="3">
        <v>3.9</v>
      </c>
      <c r="G457" s="3">
        <v>84198</v>
      </c>
      <c r="H457" s="3">
        <v>83.7</v>
      </c>
      <c r="I457" s="3">
        <v>11.2</v>
      </c>
      <c r="J457" s="3">
        <v>5.0999999999999996</v>
      </c>
      <c r="K457" s="3">
        <v>0</v>
      </c>
      <c r="L457" s="3">
        <v>7.5</v>
      </c>
      <c r="M457" t="str">
        <f>IF(acs2015_county_data[[#This Row],[PublicWork]]&gt;='Описательные характеристики'!$F$5,"да","нет")</f>
        <v>нет</v>
      </c>
      <c r="N457" t="str">
        <f>IF(acs2015_county_data[[#This Row],[Unemployment]]&gt;='Описательные характеристики'!$I$5,"да","нет")</f>
        <v>нет</v>
      </c>
    </row>
    <row r="458" spans="1:14" x14ac:dyDescent="0.35">
      <c r="A458">
        <v>13141</v>
      </c>
      <c r="B458" t="s">
        <v>354</v>
      </c>
      <c r="C458" t="s">
        <v>406</v>
      </c>
      <c r="D458" s="2">
        <v>8881</v>
      </c>
      <c r="E458" s="2">
        <v>12358</v>
      </c>
      <c r="F458" s="3">
        <v>2</v>
      </c>
      <c r="G458" s="3">
        <v>2159</v>
      </c>
      <c r="H458" s="3">
        <v>64.8</v>
      </c>
      <c r="I458" s="3">
        <v>29.5</v>
      </c>
      <c r="J458" s="3">
        <v>5.7</v>
      </c>
      <c r="K458" s="3">
        <v>0</v>
      </c>
      <c r="L458" s="3">
        <v>14.6</v>
      </c>
      <c r="M458" t="str">
        <f>IF(acs2015_county_data[[#This Row],[PublicWork]]&gt;='Описательные характеристики'!$F$5,"да","нет")</f>
        <v>да</v>
      </c>
      <c r="N458" t="str">
        <f>IF(acs2015_county_data[[#This Row],[Unemployment]]&gt;='Описательные характеристики'!$I$5,"да","нет")</f>
        <v>да</v>
      </c>
    </row>
    <row r="459" spans="1:14" x14ac:dyDescent="0.35">
      <c r="A459">
        <v>13143</v>
      </c>
      <c r="B459" t="s">
        <v>354</v>
      </c>
      <c r="C459" t="s">
        <v>407</v>
      </c>
      <c r="D459" s="2">
        <v>28565</v>
      </c>
      <c r="E459" s="2">
        <v>20740</v>
      </c>
      <c r="F459" s="3">
        <v>2.5</v>
      </c>
      <c r="G459" s="3">
        <v>11136</v>
      </c>
      <c r="H459" s="3">
        <v>74.8</v>
      </c>
      <c r="I459" s="3">
        <v>18.3</v>
      </c>
      <c r="J459" s="3">
        <v>6.8</v>
      </c>
      <c r="K459" s="3">
        <v>0</v>
      </c>
      <c r="L459" s="3">
        <v>12.3</v>
      </c>
      <c r="M459" t="str">
        <f>IF(acs2015_county_data[[#This Row],[PublicWork]]&gt;='Описательные характеристики'!$F$5,"да","нет")</f>
        <v>да</v>
      </c>
      <c r="N459" t="str">
        <f>IF(acs2015_county_data[[#This Row],[Unemployment]]&gt;='Описательные характеристики'!$I$5,"да","нет")</f>
        <v>да</v>
      </c>
    </row>
    <row r="460" spans="1:14" x14ac:dyDescent="0.35">
      <c r="A460">
        <v>13145</v>
      </c>
      <c r="B460" t="s">
        <v>354</v>
      </c>
      <c r="C460" t="s">
        <v>408</v>
      </c>
      <c r="D460" s="2">
        <v>32776</v>
      </c>
      <c r="E460" s="2">
        <v>30386</v>
      </c>
      <c r="F460" s="3">
        <v>2.8</v>
      </c>
      <c r="G460" s="3">
        <v>15071</v>
      </c>
      <c r="H460" s="3">
        <v>76.900000000000006</v>
      </c>
      <c r="I460" s="3">
        <v>17.600000000000001</v>
      </c>
      <c r="J460" s="3">
        <v>5.5</v>
      </c>
      <c r="K460" s="3">
        <v>0</v>
      </c>
      <c r="L460" s="3">
        <v>8</v>
      </c>
      <c r="M460" t="str">
        <f>IF(acs2015_county_data[[#This Row],[PublicWork]]&gt;='Описательные характеристики'!$F$5,"да","нет")</f>
        <v>да</v>
      </c>
      <c r="N460" t="str">
        <f>IF(acs2015_county_data[[#This Row],[Unemployment]]&gt;='Описательные характеристики'!$I$5,"да","нет")</f>
        <v>да</v>
      </c>
    </row>
    <row r="461" spans="1:14" x14ac:dyDescent="0.35">
      <c r="A461">
        <v>13147</v>
      </c>
      <c r="B461" t="s">
        <v>354</v>
      </c>
      <c r="C461" t="s">
        <v>409</v>
      </c>
      <c r="D461" s="2">
        <v>25498</v>
      </c>
      <c r="E461" s="2">
        <v>20733</v>
      </c>
      <c r="F461" s="3">
        <v>5.0999999999999996</v>
      </c>
      <c r="G461" s="3">
        <v>9660</v>
      </c>
      <c r="H461" s="3">
        <v>78.8</v>
      </c>
      <c r="I461" s="3">
        <v>11.7</v>
      </c>
      <c r="J461" s="3">
        <v>9.1</v>
      </c>
      <c r="K461" s="3">
        <v>0.4</v>
      </c>
      <c r="L461" s="3">
        <v>6.2</v>
      </c>
      <c r="M461" t="str">
        <f>IF(acs2015_county_data[[#This Row],[PublicWork]]&gt;='Описательные характеристики'!$F$5,"да","нет")</f>
        <v>нет</v>
      </c>
      <c r="N461" t="str">
        <f>IF(acs2015_county_data[[#This Row],[Unemployment]]&gt;='Описательные характеристики'!$I$5,"да","нет")</f>
        <v>нет</v>
      </c>
    </row>
    <row r="462" spans="1:14" x14ac:dyDescent="0.35">
      <c r="A462">
        <v>13149</v>
      </c>
      <c r="B462" t="s">
        <v>354</v>
      </c>
      <c r="C462" t="s">
        <v>410</v>
      </c>
      <c r="D462" s="2">
        <v>11617</v>
      </c>
      <c r="E462" s="2">
        <v>19222</v>
      </c>
      <c r="F462" s="3">
        <v>0.5</v>
      </c>
      <c r="G462" s="3">
        <v>4547</v>
      </c>
      <c r="H462" s="3">
        <v>76</v>
      </c>
      <c r="I462" s="3">
        <v>15.2</v>
      </c>
      <c r="J462" s="3">
        <v>8.6</v>
      </c>
      <c r="K462" s="3">
        <v>0.2</v>
      </c>
      <c r="L462" s="3">
        <v>12.1</v>
      </c>
      <c r="M462" t="str">
        <f>IF(acs2015_county_data[[#This Row],[PublicWork]]&gt;='Описательные характеристики'!$F$5,"да","нет")</f>
        <v>нет</v>
      </c>
      <c r="N462" t="str">
        <f>IF(acs2015_county_data[[#This Row],[Unemployment]]&gt;='Описательные характеристики'!$I$5,"да","нет")</f>
        <v>да</v>
      </c>
    </row>
    <row r="463" spans="1:14" x14ac:dyDescent="0.35">
      <c r="A463">
        <v>13151</v>
      </c>
      <c r="B463" t="s">
        <v>354</v>
      </c>
      <c r="C463" t="s">
        <v>47</v>
      </c>
      <c r="D463" s="2">
        <v>211512</v>
      </c>
      <c r="E463" s="2">
        <v>24996</v>
      </c>
      <c r="F463" s="3">
        <v>5.0999999999999996</v>
      </c>
      <c r="G463" s="3">
        <v>92993</v>
      </c>
      <c r="H463" s="3">
        <v>77.900000000000006</v>
      </c>
      <c r="I463" s="3">
        <v>18.7</v>
      </c>
      <c r="J463" s="3">
        <v>3.3</v>
      </c>
      <c r="K463" s="3">
        <v>0</v>
      </c>
      <c r="L463" s="3">
        <v>10.3</v>
      </c>
      <c r="M463" t="str">
        <f>IF(acs2015_county_data[[#This Row],[PublicWork]]&gt;='Описательные характеристики'!$F$5,"да","нет")</f>
        <v>да</v>
      </c>
      <c r="N463" t="str">
        <f>IF(acs2015_county_data[[#This Row],[Unemployment]]&gt;='Описательные характеристики'!$I$5,"да","нет")</f>
        <v>да</v>
      </c>
    </row>
    <row r="464" spans="1:14" x14ac:dyDescent="0.35">
      <c r="A464">
        <v>13153</v>
      </c>
      <c r="B464" t="s">
        <v>354</v>
      </c>
      <c r="C464" t="s">
        <v>48</v>
      </c>
      <c r="D464" s="2">
        <v>147570</v>
      </c>
      <c r="E464" s="2">
        <v>24368</v>
      </c>
      <c r="F464" s="3">
        <v>1.9</v>
      </c>
      <c r="G464" s="3">
        <v>64013</v>
      </c>
      <c r="H464" s="3">
        <v>64.2</v>
      </c>
      <c r="I464" s="3">
        <v>31.4</v>
      </c>
      <c r="J464" s="3">
        <v>4.3</v>
      </c>
      <c r="K464" s="3">
        <v>0.1</v>
      </c>
      <c r="L464" s="3">
        <v>9.6999999999999993</v>
      </c>
      <c r="M464" t="str">
        <f>IF(acs2015_county_data[[#This Row],[PublicWork]]&gt;='Описательные характеристики'!$F$5,"да","нет")</f>
        <v>да</v>
      </c>
      <c r="N464" t="str">
        <f>IF(acs2015_county_data[[#This Row],[Unemployment]]&gt;='Описательные характеристики'!$I$5,"да","нет")</f>
        <v>да</v>
      </c>
    </row>
    <row r="465" spans="1:14" x14ac:dyDescent="0.35">
      <c r="A465">
        <v>13155</v>
      </c>
      <c r="B465" t="s">
        <v>354</v>
      </c>
      <c r="C465" t="s">
        <v>411</v>
      </c>
      <c r="D465" s="2">
        <v>9408</v>
      </c>
      <c r="E465" s="2">
        <v>17576</v>
      </c>
      <c r="F465" s="3">
        <v>4.2</v>
      </c>
      <c r="G465" s="3">
        <v>3158</v>
      </c>
      <c r="H465" s="3">
        <v>76.099999999999994</v>
      </c>
      <c r="I465" s="3">
        <v>16.100000000000001</v>
      </c>
      <c r="J465" s="3">
        <v>7.8</v>
      </c>
      <c r="K465" s="3">
        <v>0</v>
      </c>
      <c r="L465" s="3">
        <v>6.8</v>
      </c>
      <c r="M465" t="str">
        <f>IF(acs2015_county_data[[#This Row],[PublicWork]]&gt;='Описательные характеристики'!$F$5,"да","нет")</f>
        <v>нет</v>
      </c>
      <c r="N465" t="str">
        <f>IF(acs2015_county_data[[#This Row],[Unemployment]]&gt;='Описательные характеристики'!$I$5,"да","нет")</f>
        <v>нет</v>
      </c>
    </row>
    <row r="466" spans="1:14" x14ac:dyDescent="0.35">
      <c r="A466">
        <v>13157</v>
      </c>
      <c r="B466" t="s">
        <v>354</v>
      </c>
      <c r="C466" t="s">
        <v>49</v>
      </c>
      <c r="D466" s="2">
        <v>61420</v>
      </c>
      <c r="E466" s="2">
        <v>23504</v>
      </c>
      <c r="F466" s="3">
        <v>5.4</v>
      </c>
      <c r="G466" s="3">
        <v>26679</v>
      </c>
      <c r="H466" s="3">
        <v>78.3</v>
      </c>
      <c r="I466" s="3">
        <v>15.3</v>
      </c>
      <c r="J466" s="3">
        <v>6</v>
      </c>
      <c r="K466" s="3">
        <v>0.4</v>
      </c>
      <c r="L466" s="3">
        <v>7.9</v>
      </c>
      <c r="M466" t="str">
        <f>IF(acs2015_county_data[[#This Row],[PublicWork]]&gt;='Описательные характеристики'!$F$5,"да","нет")</f>
        <v>нет</v>
      </c>
      <c r="N466" t="str">
        <f>IF(acs2015_county_data[[#This Row],[Unemployment]]&gt;='Описательные характеристики'!$I$5,"да","нет")</f>
        <v>да</v>
      </c>
    </row>
    <row r="467" spans="1:14" x14ac:dyDescent="0.35">
      <c r="A467">
        <v>13159</v>
      </c>
      <c r="B467" t="s">
        <v>354</v>
      </c>
      <c r="C467" t="s">
        <v>412</v>
      </c>
      <c r="D467" s="2">
        <v>13593</v>
      </c>
      <c r="E467" s="2">
        <v>20570</v>
      </c>
      <c r="F467" s="3">
        <v>3.7</v>
      </c>
      <c r="G467" s="3">
        <v>5520</v>
      </c>
      <c r="H467" s="3">
        <v>77.400000000000006</v>
      </c>
      <c r="I467" s="3">
        <v>14.4</v>
      </c>
      <c r="J467" s="3">
        <v>8.1</v>
      </c>
      <c r="K467" s="3">
        <v>0.1</v>
      </c>
      <c r="L467" s="3">
        <v>12.7</v>
      </c>
      <c r="M467" t="str">
        <f>IF(acs2015_county_data[[#This Row],[PublicWork]]&gt;='Описательные характеристики'!$F$5,"да","нет")</f>
        <v>нет</v>
      </c>
      <c r="N467" t="str">
        <f>IF(acs2015_county_data[[#This Row],[Unemployment]]&gt;='Описательные характеристики'!$I$5,"да","нет")</f>
        <v>да</v>
      </c>
    </row>
    <row r="468" spans="1:14" x14ac:dyDescent="0.35">
      <c r="A468">
        <v>13161</v>
      </c>
      <c r="B468" t="s">
        <v>354</v>
      </c>
      <c r="C468" t="s">
        <v>413</v>
      </c>
      <c r="D468" s="2">
        <v>14990</v>
      </c>
      <c r="E468" s="2">
        <v>18446</v>
      </c>
      <c r="F468" s="3">
        <v>2.9</v>
      </c>
      <c r="G468" s="3">
        <v>5606</v>
      </c>
      <c r="H468" s="3">
        <v>72.400000000000006</v>
      </c>
      <c r="I468" s="3">
        <v>23.4</v>
      </c>
      <c r="J468" s="3">
        <v>4.2</v>
      </c>
      <c r="K468" s="3">
        <v>0</v>
      </c>
      <c r="L468" s="3">
        <v>6.6</v>
      </c>
      <c r="M468" t="str">
        <f>IF(acs2015_county_data[[#This Row],[PublicWork]]&gt;='Описательные характеристики'!$F$5,"да","нет")</f>
        <v>да</v>
      </c>
      <c r="N468" t="str">
        <f>IF(acs2015_county_data[[#This Row],[Unemployment]]&gt;='Описательные характеристики'!$I$5,"да","нет")</f>
        <v>нет</v>
      </c>
    </row>
    <row r="469" spans="1:14" x14ac:dyDescent="0.35">
      <c r="A469">
        <v>13163</v>
      </c>
      <c r="B469" t="s">
        <v>354</v>
      </c>
      <c r="C469" t="s">
        <v>50</v>
      </c>
      <c r="D469" s="2">
        <v>16374</v>
      </c>
      <c r="E469" s="2">
        <v>16048</v>
      </c>
      <c r="F469" s="3">
        <v>3.7</v>
      </c>
      <c r="G469" s="3">
        <v>5097</v>
      </c>
      <c r="H469" s="3">
        <v>68.599999999999994</v>
      </c>
      <c r="I469" s="3">
        <v>24.2</v>
      </c>
      <c r="J469" s="3">
        <v>7.1</v>
      </c>
      <c r="K469" s="3">
        <v>0.1</v>
      </c>
      <c r="L469" s="3">
        <v>17</v>
      </c>
      <c r="M469" t="str">
        <f>IF(acs2015_county_data[[#This Row],[PublicWork]]&gt;='Описательные характеристики'!$F$5,"да","нет")</f>
        <v>да</v>
      </c>
      <c r="N469" t="str">
        <f>IF(acs2015_county_data[[#This Row],[Unemployment]]&gt;='Описательные характеристики'!$I$5,"да","нет")</f>
        <v>да</v>
      </c>
    </row>
    <row r="470" spans="1:14" x14ac:dyDescent="0.35">
      <c r="A470">
        <v>13165</v>
      </c>
      <c r="B470" t="s">
        <v>354</v>
      </c>
      <c r="C470" t="s">
        <v>414</v>
      </c>
      <c r="D470" s="2">
        <v>8922</v>
      </c>
      <c r="E470" s="2">
        <v>17366</v>
      </c>
      <c r="F470" s="3">
        <v>2</v>
      </c>
      <c r="G470" s="3">
        <v>3035</v>
      </c>
      <c r="H470" s="3">
        <v>74.599999999999994</v>
      </c>
      <c r="I470" s="3">
        <v>21</v>
      </c>
      <c r="J470" s="3">
        <v>4.4000000000000004</v>
      </c>
      <c r="K470" s="3">
        <v>0</v>
      </c>
      <c r="L470" s="3">
        <v>10.3</v>
      </c>
      <c r="M470" t="str">
        <f>IF(acs2015_county_data[[#This Row],[PublicWork]]&gt;='Описательные характеристики'!$F$5,"да","нет")</f>
        <v>да</v>
      </c>
      <c r="N470" t="str">
        <f>IF(acs2015_county_data[[#This Row],[Unemployment]]&gt;='Описательные характеристики'!$I$5,"да","нет")</f>
        <v>да</v>
      </c>
    </row>
    <row r="471" spans="1:14" x14ac:dyDescent="0.35">
      <c r="A471">
        <v>13167</v>
      </c>
      <c r="B471" t="s">
        <v>354</v>
      </c>
      <c r="C471" t="s">
        <v>150</v>
      </c>
      <c r="D471" s="2">
        <v>9794</v>
      </c>
      <c r="E471" s="2">
        <v>16954</v>
      </c>
      <c r="F471" s="3">
        <v>1.5</v>
      </c>
      <c r="G471" s="3">
        <v>3909</v>
      </c>
      <c r="H471" s="3">
        <v>70.900000000000006</v>
      </c>
      <c r="I471" s="3">
        <v>21</v>
      </c>
      <c r="J471" s="3">
        <v>7.5</v>
      </c>
      <c r="K471" s="3">
        <v>0.5</v>
      </c>
      <c r="L471" s="3">
        <v>9</v>
      </c>
      <c r="M471" t="str">
        <f>IF(acs2015_county_data[[#This Row],[PublicWork]]&gt;='Описательные характеристики'!$F$5,"да","нет")</f>
        <v>да</v>
      </c>
      <c r="N471" t="str">
        <f>IF(acs2015_county_data[[#This Row],[Unemployment]]&gt;='Описательные характеристики'!$I$5,"да","нет")</f>
        <v>да</v>
      </c>
    </row>
    <row r="472" spans="1:14" x14ac:dyDescent="0.35">
      <c r="A472">
        <v>13169</v>
      </c>
      <c r="B472" t="s">
        <v>354</v>
      </c>
      <c r="C472" t="s">
        <v>415</v>
      </c>
      <c r="D472" s="2">
        <v>28738</v>
      </c>
      <c r="E472" s="2">
        <v>26005</v>
      </c>
      <c r="F472" s="3">
        <v>3.3</v>
      </c>
      <c r="G472" s="3">
        <v>12176</v>
      </c>
      <c r="H472" s="3">
        <v>72.8</v>
      </c>
      <c r="I472" s="3">
        <v>21.2</v>
      </c>
      <c r="J472" s="3">
        <v>6</v>
      </c>
      <c r="K472" s="3">
        <v>0.1</v>
      </c>
      <c r="L472" s="3">
        <v>9.5</v>
      </c>
      <c r="M472" t="str">
        <f>IF(acs2015_county_data[[#This Row],[PublicWork]]&gt;='Описательные характеристики'!$F$5,"да","нет")</f>
        <v>да</v>
      </c>
      <c r="N472" t="str">
        <f>IF(acs2015_county_data[[#This Row],[Unemployment]]&gt;='Описательные характеристики'!$I$5,"да","нет")</f>
        <v>да</v>
      </c>
    </row>
    <row r="473" spans="1:14" x14ac:dyDescent="0.35">
      <c r="A473">
        <v>13171</v>
      </c>
      <c r="B473" t="s">
        <v>354</v>
      </c>
      <c r="C473" t="s">
        <v>51</v>
      </c>
      <c r="D473" s="2">
        <v>18114</v>
      </c>
      <c r="E473" s="2">
        <v>19217</v>
      </c>
      <c r="F473" s="3">
        <v>4.4000000000000004</v>
      </c>
      <c r="G473" s="3">
        <v>6860</v>
      </c>
      <c r="H473" s="3">
        <v>75</v>
      </c>
      <c r="I473" s="3">
        <v>18.399999999999999</v>
      </c>
      <c r="J473" s="3">
        <v>6.5</v>
      </c>
      <c r="K473" s="3">
        <v>0</v>
      </c>
      <c r="L473" s="3">
        <v>15.6</v>
      </c>
      <c r="M473" t="str">
        <f>IF(acs2015_county_data[[#This Row],[PublicWork]]&gt;='Описательные характеристики'!$F$5,"да","нет")</f>
        <v>да</v>
      </c>
      <c r="N473" t="str">
        <f>IF(acs2015_county_data[[#This Row],[Unemployment]]&gt;='Описательные характеристики'!$I$5,"да","нет")</f>
        <v>да</v>
      </c>
    </row>
    <row r="474" spans="1:14" x14ac:dyDescent="0.35">
      <c r="A474">
        <v>13173</v>
      </c>
      <c r="B474" t="s">
        <v>354</v>
      </c>
      <c r="C474" t="s">
        <v>416</v>
      </c>
      <c r="D474" s="2">
        <v>10403</v>
      </c>
      <c r="E474" s="2">
        <v>16688</v>
      </c>
      <c r="F474" s="3">
        <v>2.8</v>
      </c>
      <c r="G474" s="3">
        <v>3476</v>
      </c>
      <c r="H474" s="3">
        <v>74</v>
      </c>
      <c r="I474" s="3">
        <v>21.5</v>
      </c>
      <c r="J474" s="3">
        <v>4.3</v>
      </c>
      <c r="K474" s="3">
        <v>0.2</v>
      </c>
      <c r="L474" s="3">
        <v>14.6</v>
      </c>
      <c r="M474" t="str">
        <f>IF(acs2015_county_data[[#This Row],[PublicWork]]&gt;='Описательные характеристики'!$F$5,"да","нет")</f>
        <v>да</v>
      </c>
      <c r="N474" t="str">
        <f>IF(acs2015_county_data[[#This Row],[Unemployment]]&gt;='Описательные характеристики'!$I$5,"да","нет")</f>
        <v>да</v>
      </c>
    </row>
    <row r="475" spans="1:14" x14ac:dyDescent="0.35">
      <c r="A475">
        <v>13175</v>
      </c>
      <c r="B475" t="s">
        <v>354</v>
      </c>
      <c r="C475" t="s">
        <v>417</v>
      </c>
      <c r="D475" s="2">
        <v>47886</v>
      </c>
      <c r="E475" s="2">
        <v>19194</v>
      </c>
      <c r="F475" s="3">
        <v>1.5</v>
      </c>
      <c r="G475" s="3">
        <v>16926</v>
      </c>
      <c r="H475" s="3">
        <v>72.8</v>
      </c>
      <c r="I475" s="3">
        <v>20.3</v>
      </c>
      <c r="J475" s="3">
        <v>6.6</v>
      </c>
      <c r="K475" s="3">
        <v>0.2</v>
      </c>
      <c r="L475" s="3">
        <v>6.6</v>
      </c>
      <c r="M475" t="str">
        <f>IF(acs2015_county_data[[#This Row],[PublicWork]]&gt;='Описательные характеристики'!$F$5,"да","нет")</f>
        <v>да</v>
      </c>
      <c r="N475" t="str">
        <f>IF(acs2015_county_data[[#This Row],[Unemployment]]&gt;='Описательные характеристики'!$I$5,"да","нет")</f>
        <v>нет</v>
      </c>
    </row>
    <row r="476" spans="1:14" x14ac:dyDescent="0.35">
      <c r="A476">
        <v>13177</v>
      </c>
      <c r="B476" t="s">
        <v>354</v>
      </c>
      <c r="C476" t="s">
        <v>53</v>
      </c>
      <c r="D476" s="2">
        <v>28946</v>
      </c>
      <c r="E476" s="2">
        <v>27999</v>
      </c>
      <c r="F476" s="3">
        <v>3.3</v>
      </c>
      <c r="G476" s="3">
        <v>12990</v>
      </c>
      <c r="H476" s="3">
        <v>68.8</v>
      </c>
      <c r="I476" s="3">
        <v>26.2</v>
      </c>
      <c r="J476" s="3">
        <v>5</v>
      </c>
      <c r="K476" s="3">
        <v>0.1</v>
      </c>
      <c r="L476" s="3">
        <v>7.2</v>
      </c>
      <c r="M476" t="str">
        <f>IF(acs2015_county_data[[#This Row],[PublicWork]]&gt;='Описательные характеристики'!$F$5,"да","нет")</f>
        <v>да</v>
      </c>
      <c r="N476" t="str">
        <f>IF(acs2015_county_data[[#This Row],[Unemployment]]&gt;='Описательные характеристики'!$I$5,"да","нет")</f>
        <v>нет</v>
      </c>
    </row>
    <row r="477" spans="1:14" x14ac:dyDescent="0.35">
      <c r="A477">
        <v>13179</v>
      </c>
      <c r="B477" t="s">
        <v>354</v>
      </c>
      <c r="C477" t="s">
        <v>333</v>
      </c>
      <c r="D477" s="2">
        <v>64427</v>
      </c>
      <c r="E477" s="2">
        <v>19785</v>
      </c>
      <c r="F477" s="3">
        <v>0.6</v>
      </c>
      <c r="G477" s="3">
        <v>23102</v>
      </c>
      <c r="H477" s="3">
        <v>61.8</v>
      </c>
      <c r="I477" s="3">
        <v>34.700000000000003</v>
      </c>
      <c r="J477" s="3">
        <v>3.4</v>
      </c>
      <c r="K477" s="3">
        <v>0.1</v>
      </c>
      <c r="L477" s="3">
        <v>12.9</v>
      </c>
      <c r="M477" t="str">
        <f>IF(acs2015_county_data[[#This Row],[PublicWork]]&gt;='Описательные характеристики'!$F$5,"да","нет")</f>
        <v>да</v>
      </c>
      <c r="N477" t="str">
        <f>IF(acs2015_county_data[[#This Row],[Unemployment]]&gt;='Описательные характеристики'!$I$5,"да","нет")</f>
        <v>да</v>
      </c>
    </row>
    <row r="478" spans="1:14" x14ac:dyDescent="0.35">
      <c r="A478">
        <v>13181</v>
      </c>
      <c r="B478" t="s">
        <v>354</v>
      </c>
      <c r="C478" t="s">
        <v>152</v>
      </c>
      <c r="D478" s="2">
        <v>7720</v>
      </c>
      <c r="E478" s="2">
        <v>22373</v>
      </c>
      <c r="F478" s="3">
        <v>2.4</v>
      </c>
      <c r="G478" s="3">
        <v>3121</v>
      </c>
      <c r="H478" s="3">
        <v>76.400000000000006</v>
      </c>
      <c r="I478" s="3">
        <v>16.8</v>
      </c>
      <c r="J478" s="3">
        <v>6.8</v>
      </c>
      <c r="K478" s="3">
        <v>0.1</v>
      </c>
      <c r="L478" s="3">
        <v>9.3000000000000007</v>
      </c>
      <c r="M478" t="str">
        <f>IF(acs2015_county_data[[#This Row],[PublicWork]]&gt;='Описательные характеристики'!$F$5,"да","нет")</f>
        <v>да</v>
      </c>
      <c r="N478" t="str">
        <f>IF(acs2015_county_data[[#This Row],[Unemployment]]&gt;='Описательные характеристики'!$I$5,"да","нет")</f>
        <v>да</v>
      </c>
    </row>
    <row r="479" spans="1:14" x14ac:dyDescent="0.35">
      <c r="A479">
        <v>13183</v>
      </c>
      <c r="B479" t="s">
        <v>354</v>
      </c>
      <c r="C479" t="s">
        <v>418</v>
      </c>
      <c r="D479" s="2">
        <v>16588</v>
      </c>
      <c r="E479" s="2">
        <v>18166</v>
      </c>
      <c r="F479" s="3">
        <v>0.3</v>
      </c>
      <c r="G479" s="3">
        <v>5728</v>
      </c>
      <c r="H479" s="3">
        <v>63.1</v>
      </c>
      <c r="I479" s="3">
        <v>29.1</v>
      </c>
      <c r="J479" s="3">
        <v>7.8</v>
      </c>
      <c r="K479" s="3">
        <v>0</v>
      </c>
      <c r="L479" s="3">
        <v>15.6</v>
      </c>
      <c r="M479" t="str">
        <f>IF(acs2015_county_data[[#This Row],[PublicWork]]&gt;='Описательные характеристики'!$F$5,"да","нет")</f>
        <v>да</v>
      </c>
      <c r="N479" t="str">
        <f>IF(acs2015_county_data[[#This Row],[Unemployment]]&gt;='Описательные характеристики'!$I$5,"да","нет")</f>
        <v>да</v>
      </c>
    </row>
    <row r="480" spans="1:14" x14ac:dyDescent="0.35">
      <c r="A480">
        <v>13185</v>
      </c>
      <c r="B480" t="s">
        <v>354</v>
      </c>
      <c r="C480" t="s">
        <v>55</v>
      </c>
      <c r="D480" s="2">
        <v>113203</v>
      </c>
      <c r="E480" s="2">
        <v>19173</v>
      </c>
      <c r="F480" s="3">
        <v>3</v>
      </c>
      <c r="G480" s="3">
        <v>45595</v>
      </c>
      <c r="H480" s="3">
        <v>75.900000000000006</v>
      </c>
      <c r="I480" s="3">
        <v>19.399999999999999</v>
      </c>
      <c r="J480" s="3">
        <v>4.5</v>
      </c>
      <c r="K480" s="3">
        <v>0.2</v>
      </c>
      <c r="L480" s="3">
        <v>13</v>
      </c>
      <c r="M480" t="str">
        <f>IF(acs2015_county_data[[#This Row],[PublicWork]]&gt;='Описательные характеристики'!$F$5,"да","нет")</f>
        <v>да</v>
      </c>
      <c r="N480" t="str">
        <f>IF(acs2015_county_data[[#This Row],[Unemployment]]&gt;='Описательные характеристики'!$I$5,"да","нет")</f>
        <v>да</v>
      </c>
    </row>
    <row r="481" spans="1:14" x14ac:dyDescent="0.35">
      <c r="A481">
        <v>13187</v>
      </c>
      <c r="B481" t="s">
        <v>354</v>
      </c>
      <c r="C481" t="s">
        <v>419</v>
      </c>
      <c r="D481" s="2">
        <v>30921</v>
      </c>
      <c r="E481" s="2">
        <v>21963</v>
      </c>
      <c r="F481" s="3">
        <v>4.7</v>
      </c>
      <c r="G481" s="3">
        <v>14185</v>
      </c>
      <c r="H481" s="3">
        <v>73.2</v>
      </c>
      <c r="I481" s="3">
        <v>17.2</v>
      </c>
      <c r="J481" s="3">
        <v>9.1</v>
      </c>
      <c r="K481" s="3">
        <v>0.4</v>
      </c>
      <c r="L481" s="3">
        <v>8.1999999999999993</v>
      </c>
      <c r="M481" t="str">
        <f>IF(acs2015_county_data[[#This Row],[PublicWork]]&gt;='Описательные характеристики'!$F$5,"да","нет")</f>
        <v>да</v>
      </c>
      <c r="N481" t="str">
        <f>IF(acs2015_county_data[[#This Row],[Unemployment]]&gt;='Описательные характеристики'!$I$5,"да","нет")</f>
        <v>да</v>
      </c>
    </row>
    <row r="482" spans="1:14" x14ac:dyDescent="0.35">
      <c r="A482">
        <v>13189</v>
      </c>
      <c r="B482" t="s">
        <v>354</v>
      </c>
      <c r="C482" t="s">
        <v>420</v>
      </c>
      <c r="D482" s="2">
        <v>21582</v>
      </c>
      <c r="E482" s="2">
        <v>19065</v>
      </c>
      <c r="F482" s="3">
        <v>2.8</v>
      </c>
      <c r="G482" s="3">
        <v>8314</v>
      </c>
      <c r="H482" s="3">
        <v>81.2</v>
      </c>
      <c r="I482" s="3">
        <v>14.3</v>
      </c>
      <c r="J482" s="3">
        <v>4.3</v>
      </c>
      <c r="K482" s="3">
        <v>0.2</v>
      </c>
      <c r="L482" s="3">
        <v>9.5</v>
      </c>
      <c r="M482" t="str">
        <f>IF(acs2015_county_data[[#This Row],[PublicWork]]&gt;='Описательные характеристики'!$F$5,"да","нет")</f>
        <v>нет</v>
      </c>
      <c r="N482" t="str">
        <f>IF(acs2015_county_data[[#This Row],[Unemployment]]&gt;='Описательные характеристики'!$I$5,"да","нет")</f>
        <v>да</v>
      </c>
    </row>
    <row r="483" spans="1:14" x14ac:dyDescent="0.35">
      <c r="A483">
        <v>13191</v>
      </c>
      <c r="B483" t="s">
        <v>354</v>
      </c>
      <c r="C483" t="s">
        <v>421</v>
      </c>
      <c r="D483" s="2">
        <v>14007</v>
      </c>
      <c r="E483" s="2">
        <v>23887</v>
      </c>
      <c r="F483" s="3">
        <v>6</v>
      </c>
      <c r="G483" s="3">
        <v>5410</v>
      </c>
      <c r="H483" s="3">
        <v>73.2</v>
      </c>
      <c r="I483" s="3">
        <v>20.9</v>
      </c>
      <c r="J483" s="3">
        <v>6</v>
      </c>
      <c r="K483" s="3">
        <v>0</v>
      </c>
      <c r="L483" s="3">
        <v>8.8000000000000007</v>
      </c>
      <c r="M483" t="str">
        <f>IF(acs2015_county_data[[#This Row],[PublicWork]]&gt;='Описательные характеристики'!$F$5,"да","нет")</f>
        <v>да</v>
      </c>
      <c r="N483" t="str">
        <f>IF(acs2015_county_data[[#This Row],[Unemployment]]&gt;='Описательные характеристики'!$I$5,"да","нет")</f>
        <v>да</v>
      </c>
    </row>
    <row r="484" spans="1:14" x14ac:dyDescent="0.35">
      <c r="A484">
        <v>13193</v>
      </c>
      <c r="B484" t="s">
        <v>354</v>
      </c>
      <c r="C484" t="s">
        <v>56</v>
      </c>
      <c r="D484" s="2">
        <v>14045</v>
      </c>
      <c r="E484" s="2">
        <v>13431</v>
      </c>
      <c r="F484" s="3">
        <v>4.0999999999999996</v>
      </c>
      <c r="G484" s="3">
        <v>4461</v>
      </c>
      <c r="H484" s="3">
        <v>71.5</v>
      </c>
      <c r="I484" s="3">
        <v>22.1</v>
      </c>
      <c r="J484" s="3">
        <v>6.4</v>
      </c>
      <c r="K484" s="3">
        <v>0</v>
      </c>
      <c r="L484" s="3">
        <v>18.7</v>
      </c>
      <c r="M484" t="str">
        <f>IF(acs2015_county_data[[#This Row],[PublicWork]]&gt;='Описательные характеристики'!$F$5,"да","нет")</f>
        <v>да</v>
      </c>
      <c r="N484" t="str">
        <f>IF(acs2015_county_data[[#This Row],[Unemployment]]&gt;='Описательные характеристики'!$I$5,"да","нет")</f>
        <v>да</v>
      </c>
    </row>
    <row r="485" spans="1:14" x14ac:dyDescent="0.35">
      <c r="A485">
        <v>13195</v>
      </c>
      <c r="B485" t="s">
        <v>354</v>
      </c>
      <c r="C485" t="s">
        <v>57</v>
      </c>
      <c r="D485" s="2">
        <v>28232</v>
      </c>
      <c r="E485" s="2">
        <v>20857</v>
      </c>
      <c r="F485" s="3">
        <v>4.0999999999999996</v>
      </c>
      <c r="G485" s="3">
        <v>11393</v>
      </c>
      <c r="H485" s="3">
        <v>74.099999999999994</v>
      </c>
      <c r="I485" s="3">
        <v>17.399999999999999</v>
      </c>
      <c r="J485" s="3">
        <v>8.4</v>
      </c>
      <c r="K485" s="3">
        <v>0.1</v>
      </c>
      <c r="L485" s="3">
        <v>8.6999999999999993</v>
      </c>
      <c r="M485" t="str">
        <f>IF(acs2015_county_data[[#This Row],[PublicWork]]&gt;='Описательные характеристики'!$F$5,"да","нет")</f>
        <v>да</v>
      </c>
      <c r="N485" t="str">
        <f>IF(acs2015_county_data[[#This Row],[Unemployment]]&gt;='Описательные характеристики'!$I$5,"да","нет")</f>
        <v>да</v>
      </c>
    </row>
    <row r="486" spans="1:14" x14ac:dyDescent="0.35">
      <c r="A486">
        <v>13197</v>
      </c>
      <c r="B486" t="s">
        <v>354</v>
      </c>
      <c r="C486" t="s">
        <v>59</v>
      </c>
      <c r="D486" s="2">
        <v>8739</v>
      </c>
      <c r="E486" s="2">
        <v>19077</v>
      </c>
      <c r="F486" s="3">
        <v>0.2</v>
      </c>
      <c r="G486" s="3">
        <v>3219</v>
      </c>
      <c r="H486" s="3">
        <v>58.8</v>
      </c>
      <c r="I486" s="3">
        <v>30.4</v>
      </c>
      <c r="J486" s="3">
        <v>10.8</v>
      </c>
      <c r="K486" s="3">
        <v>0</v>
      </c>
      <c r="L486" s="3">
        <v>14.3</v>
      </c>
      <c r="M486" t="str">
        <f>IF(acs2015_county_data[[#This Row],[PublicWork]]&gt;='Описательные характеристики'!$F$5,"да","нет")</f>
        <v>да</v>
      </c>
      <c r="N486" t="str">
        <f>IF(acs2015_county_data[[#This Row],[Unemployment]]&gt;='Описательные характеристики'!$I$5,"да","нет")</f>
        <v>да</v>
      </c>
    </row>
    <row r="487" spans="1:14" x14ac:dyDescent="0.35">
      <c r="A487">
        <v>13199</v>
      </c>
      <c r="B487" t="s">
        <v>354</v>
      </c>
      <c r="C487" t="s">
        <v>422</v>
      </c>
      <c r="D487" s="2">
        <v>21297</v>
      </c>
      <c r="E487" s="2">
        <v>18059</v>
      </c>
      <c r="F487" s="3">
        <v>1.6</v>
      </c>
      <c r="G487" s="3">
        <v>7730</v>
      </c>
      <c r="H487" s="3">
        <v>75.599999999999994</v>
      </c>
      <c r="I487" s="3">
        <v>15.6</v>
      </c>
      <c r="J487" s="3">
        <v>8.5</v>
      </c>
      <c r="K487" s="3">
        <v>0.2</v>
      </c>
      <c r="L487" s="3">
        <v>12.8</v>
      </c>
      <c r="M487" t="str">
        <f>IF(acs2015_county_data[[#This Row],[PublicWork]]&gt;='Описательные характеристики'!$F$5,"да","нет")</f>
        <v>нет</v>
      </c>
      <c r="N487" t="str">
        <f>IF(acs2015_county_data[[#This Row],[Unemployment]]&gt;='Описательные характеристики'!$I$5,"да","нет")</f>
        <v>да</v>
      </c>
    </row>
    <row r="488" spans="1:14" x14ac:dyDescent="0.35">
      <c r="A488">
        <v>13201</v>
      </c>
      <c r="B488" t="s">
        <v>354</v>
      </c>
      <c r="C488" t="s">
        <v>156</v>
      </c>
      <c r="D488" s="2">
        <v>5936</v>
      </c>
      <c r="E488" s="2">
        <v>18904</v>
      </c>
      <c r="F488" s="3">
        <v>1.4</v>
      </c>
      <c r="G488" s="3">
        <v>2373</v>
      </c>
      <c r="H488" s="3">
        <v>72.2</v>
      </c>
      <c r="I488" s="3">
        <v>18.7</v>
      </c>
      <c r="J488" s="3">
        <v>9.1</v>
      </c>
      <c r="K488" s="3">
        <v>0</v>
      </c>
      <c r="L488" s="3">
        <v>6.5</v>
      </c>
      <c r="M488" t="str">
        <f>IF(acs2015_county_data[[#This Row],[PublicWork]]&gt;='Описательные характеристики'!$F$5,"да","нет")</f>
        <v>да</v>
      </c>
      <c r="N488" t="str">
        <f>IF(acs2015_county_data[[#This Row],[Unemployment]]&gt;='Описательные характеристики'!$I$5,"да","нет")</f>
        <v>нет</v>
      </c>
    </row>
    <row r="489" spans="1:14" x14ac:dyDescent="0.35">
      <c r="A489">
        <v>13205</v>
      </c>
      <c r="B489" t="s">
        <v>354</v>
      </c>
      <c r="C489" t="s">
        <v>423</v>
      </c>
      <c r="D489" s="2">
        <v>22982</v>
      </c>
      <c r="E489" s="2">
        <v>15297</v>
      </c>
      <c r="F489" s="3">
        <v>2.9</v>
      </c>
      <c r="G489" s="3">
        <v>7956</v>
      </c>
      <c r="H489" s="3">
        <v>72.5</v>
      </c>
      <c r="I489" s="3">
        <v>18.5</v>
      </c>
      <c r="J489" s="3">
        <v>7.9</v>
      </c>
      <c r="K489" s="3">
        <v>1.1000000000000001</v>
      </c>
      <c r="L489" s="3">
        <v>13.5</v>
      </c>
      <c r="M489" t="str">
        <f>IF(acs2015_county_data[[#This Row],[PublicWork]]&gt;='Описательные характеристики'!$F$5,"да","нет")</f>
        <v>да</v>
      </c>
      <c r="N489" t="str">
        <f>IF(acs2015_county_data[[#This Row],[Unemployment]]&gt;='Описательные характеристики'!$I$5,"да","нет")</f>
        <v>да</v>
      </c>
    </row>
    <row r="490" spans="1:14" x14ac:dyDescent="0.35">
      <c r="A490">
        <v>13207</v>
      </c>
      <c r="B490" t="s">
        <v>354</v>
      </c>
      <c r="C490" t="s">
        <v>62</v>
      </c>
      <c r="D490" s="2">
        <v>26915</v>
      </c>
      <c r="E490" s="2">
        <v>25539</v>
      </c>
      <c r="F490" s="3">
        <v>1.9</v>
      </c>
      <c r="G490" s="3">
        <v>10914</v>
      </c>
      <c r="H490" s="3">
        <v>73.7</v>
      </c>
      <c r="I490" s="3">
        <v>20.2</v>
      </c>
      <c r="J490" s="3">
        <v>5.8</v>
      </c>
      <c r="K490" s="3">
        <v>0.4</v>
      </c>
      <c r="L490" s="3">
        <v>10.5</v>
      </c>
      <c r="M490" t="str">
        <f>IF(acs2015_county_data[[#This Row],[PublicWork]]&gt;='Описательные характеристики'!$F$5,"да","нет")</f>
        <v>да</v>
      </c>
      <c r="N490" t="str">
        <f>IF(acs2015_county_data[[#This Row],[Unemployment]]&gt;='Описательные характеристики'!$I$5,"да","нет")</f>
        <v>да</v>
      </c>
    </row>
    <row r="491" spans="1:14" x14ac:dyDescent="0.35">
      <c r="A491">
        <v>13209</v>
      </c>
      <c r="B491" t="s">
        <v>354</v>
      </c>
      <c r="C491" t="s">
        <v>158</v>
      </c>
      <c r="D491" s="2">
        <v>8968</v>
      </c>
      <c r="E491" s="2">
        <v>17402</v>
      </c>
      <c r="F491" s="3">
        <v>2.2000000000000002</v>
      </c>
      <c r="G491" s="3">
        <v>3394</v>
      </c>
      <c r="H491" s="3">
        <v>81</v>
      </c>
      <c r="I491" s="3">
        <v>13.9</v>
      </c>
      <c r="J491" s="3">
        <v>5</v>
      </c>
      <c r="K491" s="3">
        <v>0</v>
      </c>
      <c r="L491" s="3">
        <v>6.7</v>
      </c>
      <c r="M491" t="str">
        <f>IF(acs2015_county_data[[#This Row],[PublicWork]]&gt;='Описательные характеристики'!$F$5,"да","нет")</f>
        <v>нет</v>
      </c>
      <c r="N491" t="str">
        <f>IF(acs2015_county_data[[#This Row],[Unemployment]]&gt;='Описательные характеристики'!$I$5,"да","нет")</f>
        <v>нет</v>
      </c>
    </row>
    <row r="492" spans="1:14" x14ac:dyDescent="0.35">
      <c r="A492">
        <v>13211</v>
      </c>
      <c r="B492" t="s">
        <v>354</v>
      </c>
      <c r="C492" t="s">
        <v>63</v>
      </c>
      <c r="D492" s="2">
        <v>17900</v>
      </c>
      <c r="E492" s="2">
        <v>24435</v>
      </c>
      <c r="F492" s="3">
        <v>5</v>
      </c>
      <c r="G492" s="3">
        <v>7624</v>
      </c>
      <c r="H492" s="3">
        <v>70.8</v>
      </c>
      <c r="I492" s="3">
        <v>20.3</v>
      </c>
      <c r="J492" s="3">
        <v>8.1999999999999993</v>
      </c>
      <c r="K492" s="3">
        <v>0.8</v>
      </c>
      <c r="L492" s="3">
        <v>6.9</v>
      </c>
      <c r="M492" t="str">
        <f>IF(acs2015_county_data[[#This Row],[PublicWork]]&gt;='Описательные характеристики'!$F$5,"да","нет")</f>
        <v>да</v>
      </c>
      <c r="N492" t="str">
        <f>IF(acs2015_county_data[[#This Row],[Unemployment]]&gt;='Описательные характеристики'!$I$5,"да","нет")</f>
        <v>нет</v>
      </c>
    </row>
    <row r="493" spans="1:14" x14ac:dyDescent="0.35">
      <c r="A493">
        <v>13213</v>
      </c>
      <c r="B493" t="s">
        <v>354</v>
      </c>
      <c r="C493" t="s">
        <v>424</v>
      </c>
      <c r="D493" s="2">
        <v>39401</v>
      </c>
      <c r="E493" s="2">
        <v>17043</v>
      </c>
      <c r="F493" s="3">
        <v>1.7</v>
      </c>
      <c r="G493" s="3">
        <v>16079</v>
      </c>
      <c r="H493" s="3">
        <v>83.7</v>
      </c>
      <c r="I493" s="3">
        <v>10.9</v>
      </c>
      <c r="J493" s="3">
        <v>4.5</v>
      </c>
      <c r="K493" s="3">
        <v>0.9</v>
      </c>
      <c r="L493" s="3">
        <v>11.1</v>
      </c>
      <c r="M493" t="str">
        <f>IF(acs2015_county_data[[#This Row],[PublicWork]]&gt;='Описательные характеристики'!$F$5,"да","нет")</f>
        <v>нет</v>
      </c>
      <c r="N493" t="str">
        <f>IF(acs2015_county_data[[#This Row],[Unemployment]]&gt;='Описательные характеристики'!$I$5,"да","нет")</f>
        <v>да</v>
      </c>
    </row>
    <row r="494" spans="1:14" x14ac:dyDescent="0.35">
      <c r="A494">
        <v>13215</v>
      </c>
      <c r="B494" t="s">
        <v>354</v>
      </c>
      <c r="C494" t="s">
        <v>425</v>
      </c>
      <c r="D494" s="2">
        <v>200285</v>
      </c>
      <c r="E494" s="2">
        <v>23318</v>
      </c>
      <c r="F494" s="3">
        <v>7.3</v>
      </c>
      <c r="G494" s="3">
        <v>78531</v>
      </c>
      <c r="H494" s="3">
        <v>75.599999999999994</v>
      </c>
      <c r="I494" s="3">
        <v>20.3</v>
      </c>
      <c r="J494" s="3">
        <v>4</v>
      </c>
      <c r="K494" s="3">
        <v>0.1</v>
      </c>
      <c r="L494" s="3">
        <v>11</v>
      </c>
      <c r="M494" t="str">
        <f>IF(acs2015_county_data[[#This Row],[PublicWork]]&gt;='Описательные характеристики'!$F$5,"да","нет")</f>
        <v>да</v>
      </c>
      <c r="N494" t="str">
        <f>IF(acs2015_county_data[[#This Row],[Unemployment]]&gt;='Описательные характеристики'!$I$5,"да","нет")</f>
        <v>да</v>
      </c>
    </row>
    <row r="495" spans="1:14" x14ac:dyDescent="0.35">
      <c r="A495">
        <v>13217</v>
      </c>
      <c r="B495" t="s">
        <v>354</v>
      </c>
      <c r="C495" t="s">
        <v>160</v>
      </c>
      <c r="D495" s="2">
        <v>102645</v>
      </c>
      <c r="E495" s="2">
        <v>21717</v>
      </c>
      <c r="F495" s="3">
        <v>3.7</v>
      </c>
      <c r="G495" s="3">
        <v>43639</v>
      </c>
      <c r="H495" s="3">
        <v>77.8</v>
      </c>
      <c r="I495" s="3">
        <v>17.399999999999999</v>
      </c>
      <c r="J495" s="3">
        <v>4.5</v>
      </c>
      <c r="K495" s="3">
        <v>0.2</v>
      </c>
      <c r="L495" s="3">
        <v>11.8</v>
      </c>
      <c r="M495" t="str">
        <f>IF(acs2015_county_data[[#This Row],[PublicWork]]&gt;='Описательные характеристики'!$F$5,"да","нет")</f>
        <v>да</v>
      </c>
      <c r="N495" t="str">
        <f>IF(acs2015_county_data[[#This Row],[Unemployment]]&gt;='Описательные характеристики'!$I$5,"да","нет")</f>
        <v>да</v>
      </c>
    </row>
    <row r="496" spans="1:14" x14ac:dyDescent="0.35">
      <c r="A496">
        <v>13219</v>
      </c>
      <c r="B496" t="s">
        <v>354</v>
      </c>
      <c r="C496" t="s">
        <v>426</v>
      </c>
      <c r="D496" s="2">
        <v>34400</v>
      </c>
      <c r="E496" s="2">
        <v>33528</v>
      </c>
      <c r="F496" s="3">
        <v>5.3</v>
      </c>
      <c r="G496" s="3">
        <v>16227</v>
      </c>
      <c r="H496" s="3">
        <v>70</v>
      </c>
      <c r="I496" s="3">
        <v>22.9</v>
      </c>
      <c r="J496" s="3">
        <v>6.9</v>
      </c>
      <c r="K496" s="3">
        <v>0.2</v>
      </c>
      <c r="L496" s="3">
        <v>5</v>
      </c>
      <c r="M496" t="str">
        <f>IF(acs2015_county_data[[#This Row],[PublicWork]]&gt;='Описательные характеристики'!$F$5,"да","нет")</f>
        <v>да</v>
      </c>
      <c r="N496" t="str">
        <f>IF(acs2015_county_data[[#This Row],[Unemployment]]&gt;='Описательные характеристики'!$I$5,"да","нет")</f>
        <v>нет</v>
      </c>
    </row>
    <row r="497" spans="1:14" x14ac:dyDescent="0.35">
      <c r="A497">
        <v>13221</v>
      </c>
      <c r="B497" t="s">
        <v>354</v>
      </c>
      <c r="C497" t="s">
        <v>427</v>
      </c>
      <c r="D497" s="2">
        <v>14688</v>
      </c>
      <c r="E497" s="2">
        <v>21848</v>
      </c>
      <c r="F497" s="3">
        <v>4.5999999999999996</v>
      </c>
      <c r="G497" s="3">
        <v>6355</v>
      </c>
      <c r="H497" s="3">
        <v>67.7</v>
      </c>
      <c r="I497" s="3">
        <v>25.1</v>
      </c>
      <c r="J497" s="3">
        <v>7.1</v>
      </c>
      <c r="K497" s="3">
        <v>0</v>
      </c>
      <c r="L497" s="3">
        <v>5.3</v>
      </c>
      <c r="M497" t="str">
        <f>IF(acs2015_county_data[[#This Row],[PublicWork]]&gt;='Описательные характеристики'!$F$5,"да","нет")</f>
        <v>да</v>
      </c>
      <c r="N497" t="str">
        <f>IF(acs2015_county_data[[#This Row],[Unemployment]]&gt;='Описательные характеристики'!$I$5,"да","нет")</f>
        <v>нет</v>
      </c>
    </row>
    <row r="498" spans="1:14" x14ac:dyDescent="0.35">
      <c r="A498">
        <v>13223</v>
      </c>
      <c r="B498" t="s">
        <v>354</v>
      </c>
      <c r="C498" t="s">
        <v>428</v>
      </c>
      <c r="D498" s="2">
        <v>147400</v>
      </c>
      <c r="E498" s="2">
        <v>24930</v>
      </c>
      <c r="F498" s="3">
        <v>5.7</v>
      </c>
      <c r="G498" s="3">
        <v>70001</v>
      </c>
      <c r="H498" s="3">
        <v>78.900000000000006</v>
      </c>
      <c r="I498" s="3">
        <v>15.6</v>
      </c>
      <c r="J498" s="3">
        <v>5.5</v>
      </c>
      <c r="K498" s="3">
        <v>0</v>
      </c>
      <c r="L498" s="3">
        <v>8.6999999999999993</v>
      </c>
      <c r="M498" t="str">
        <f>IF(acs2015_county_data[[#This Row],[PublicWork]]&gt;='Описательные характеристики'!$F$5,"да","нет")</f>
        <v>нет</v>
      </c>
      <c r="N498" t="str">
        <f>IF(acs2015_county_data[[#This Row],[Unemployment]]&gt;='Описательные характеристики'!$I$5,"да","нет")</f>
        <v>да</v>
      </c>
    </row>
    <row r="499" spans="1:14" x14ac:dyDescent="0.35">
      <c r="A499">
        <v>13225</v>
      </c>
      <c r="B499" t="s">
        <v>354</v>
      </c>
      <c r="C499" t="s">
        <v>429</v>
      </c>
      <c r="D499" s="2">
        <v>27086</v>
      </c>
      <c r="E499" s="2">
        <v>20689</v>
      </c>
      <c r="F499" s="3">
        <v>1.6</v>
      </c>
      <c r="G499" s="3">
        <v>11481</v>
      </c>
      <c r="H499" s="3">
        <v>68.900000000000006</v>
      </c>
      <c r="I499" s="3">
        <v>24.5</v>
      </c>
      <c r="J499" s="3">
        <v>6.6</v>
      </c>
      <c r="K499" s="3">
        <v>0</v>
      </c>
      <c r="L499" s="3">
        <v>11.3</v>
      </c>
      <c r="M499" t="str">
        <f>IF(acs2015_county_data[[#This Row],[PublicWork]]&gt;='Описательные характеристики'!$F$5,"да","нет")</f>
        <v>да</v>
      </c>
      <c r="N499" t="str">
        <f>IF(acs2015_county_data[[#This Row],[Unemployment]]&gt;='Описательные характеристики'!$I$5,"да","нет")</f>
        <v>да</v>
      </c>
    </row>
    <row r="500" spans="1:14" x14ac:dyDescent="0.35">
      <c r="A500">
        <v>13227</v>
      </c>
      <c r="B500" t="s">
        <v>354</v>
      </c>
      <c r="C500" t="s">
        <v>65</v>
      </c>
      <c r="D500" s="2">
        <v>29740</v>
      </c>
      <c r="E500" s="2">
        <v>27720</v>
      </c>
      <c r="F500" s="3">
        <v>7</v>
      </c>
      <c r="G500" s="3">
        <v>12678</v>
      </c>
      <c r="H500" s="3">
        <v>79.099999999999994</v>
      </c>
      <c r="I500" s="3">
        <v>13.8</v>
      </c>
      <c r="J500" s="3">
        <v>7</v>
      </c>
      <c r="K500" s="3">
        <v>0.1</v>
      </c>
      <c r="L500" s="3">
        <v>8.3000000000000007</v>
      </c>
      <c r="M500" t="str">
        <f>IF(acs2015_county_data[[#This Row],[PublicWork]]&gt;='Описательные характеристики'!$F$5,"да","нет")</f>
        <v>нет</v>
      </c>
      <c r="N500" t="str">
        <f>IF(acs2015_county_data[[#This Row],[Unemployment]]&gt;='Описательные характеристики'!$I$5,"да","нет")</f>
        <v>да</v>
      </c>
    </row>
    <row r="501" spans="1:14" x14ac:dyDescent="0.35">
      <c r="A501">
        <v>13229</v>
      </c>
      <c r="B501" t="s">
        <v>354</v>
      </c>
      <c r="C501" t="s">
        <v>430</v>
      </c>
      <c r="D501" s="2">
        <v>18934</v>
      </c>
      <c r="E501" s="2">
        <v>21619</v>
      </c>
      <c r="F501" s="3">
        <v>2.2999999999999998</v>
      </c>
      <c r="G501" s="3">
        <v>7262</v>
      </c>
      <c r="H501" s="3">
        <v>74.3</v>
      </c>
      <c r="I501" s="3">
        <v>17.2</v>
      </c>
      <c r="J501" s="3">
        <v>7.9</v>
      </c>
      <c r="K501" s="3">
        <v>0.6</v>
      </c>
      <c r="L501" s="3">
        <v>8.9</v>
      </c>
      <c r="M501" t="str">
        <f>IF(acs2015_county_data[[#This Row],[PublicWork]]&gt;='Описательные характеристики'!$F$5,"да","нет")</f>
        <v>да</v>
      </c>
      <c r="N501" t="str">
        <f>IF(acs2015_county_data[[#This Row],[Unemployment]]&gt;='Описательные характеристики'!$I$5,"да","нет")</f>
        <v>да</v>
      </c>
    </row>
    <row r="502" spans="1:14" x14ac:dyDescent="0.35">
      <c r="A502">
        <v>13231</v>
      </c>
      <c r="B502" t="s">
        <v>354</v>
      </c>
      <c r="C502" t="s">
        <v>66</v>
      </c>
      <c r="D502" s="2">
        <v>17812</v>
      </c>
      <c r="E502" s="2">
        <v>23150</v>
      </c>
      <c r="F502" s="3">
        <v>2.2000000000000002</v>
      </c>
      <c r="G502" s="3">
        <v>7323</v>
      </c>
      <c r="H502" s="3">
        <v>75.400000000000006</v>
      </c>
      <c r="I502" s="3">
        <v>17.7</v>
      </c>
      <c r="J502" s="3">
        <v>6.7</v>
      </c>
      <c r="K502" s="3">
        <v>0.1</v>
      </c>
      <c r="L502" s="3">
        <v>10.4</v>
      </c>
      <c r="M502" t="str">
        <f>IF(acs2015_county_data[[#This Row],[PublicWork]]&gt;='Описательные характеристики'!$F$5,"да","нет")</f>
        <v>да</v>
      </c>
      <c r="N502" t="str">
        <f>IF(acs2015_county_data[[#This Row],[Unemployment]]&gt;='Описательные характеристики'!$I$5,"да","нет")</f>
        <v>да</v>
      </c>
    </row>
    <row r="503" spans="1:14" x14ac:dyDescent="0.35">
      <c r="A503">
        <v>13233</v>
      </c>
      <c r="B503" t="s">
        <v>354</v>
      </c>
      <c r="C503" t="s">
        <v>164</v>
      </c>
      <c r="D503" s="2">
        <v>41215</v>
      </c>
      <c r="E503" s="2">
        <v>20293</v>
      </c>
      <c r="F503" s="3">
        <v>1.8</v>
      </c>
      <c r="G503" s="3">
        <v>16190</v>
      </c>
      <c r="H503" s="3">
        <v>79.599999999999994</v>
      </c>
      <c r="I503" s="3">
        <v>13.9</v>
      </c>
      <c r="J503" s="3">
        <v>6.3</v>
      </c>
      <c r="K503" s="3">
        <v>0.2</v>
      </c>
      <c r="L503" s="3">
        <v>10.199999999999999</v>
      </c>
      <c r="M503" t="str">
        <f>IF(acs2015_county_data[[#This Row],[PublicWork]]&gt;='Описательные характеристики'!$F$5,"да","нет")</f>
        <v>нет</v>
      </c>
      <c r="N503" t="str">
        <f>IF(acs2015_county_data[[#This Row],[Unemployment]]&gt;='Описательные характеристики'!$I$5,"да","нет")</f>
        <v>да</v>
      </c>
    </row>
    <row r="504" spans="1:14" x14ac:dyDescent="0.35">
      <c r="A504">
        <v>13235</v>
      </c>
      <c r="B504" t="s">
        <v>354</v>
      </c>
      <c r="C504" t="s">
        <v>166</v>
      </c>
      <c r="D504" s="2">
        <v>11590</v>
      </c>
      <c r="E504" s="2">
        <v>17656</v>
      </c>
      <c r="F504" s="3">
        <v>1.9</v>
      </c>
      <c r="G504" s="3">
        <v>3949</v>
      </c>
      <c r="H504" s="3">
        <v>69.3</v>
      </c>
      <c r="I504" s="3">
        <v>24.1</v>
      </c>
      <c r="J504" s="3">
        <v>6.5</v>
      </c>
      <c r="K504" s="3">
        <v>0.1</v>
      </c>
      <c r="L504" s="3">
        <v>7.4</v>
      </c>
      <c r="M504" t="str">
        <f>IF(acs2015_county_data[[#This Row],[PublicWork]]&gt;='Описательные характеристики'!$F$5,"да","нет")</f>
        <v>да</v>
      </c>
      <c r="N504" t="str">
        <f>IF(acs2015_county_data[[#This Row],[Unemployment]]&gt;='Описательные характеристики'!$I$5,"да","нет")</f>
        <v>нет</v>
      </c>
    </row>
    <row r="505" spans="1:14" x14ac:dyDescent="0.35">
      <c r="A505">
        <v>13237</v>
      </c>
      <c r="B505" t="s">
        <v>354</v>
      </c>
      <c r="C505" t="s">
        <v>343</v>
      </c>
      <c r="D505" s="2">
        <v>21247</v>
      </c>
      <c r="E505" s="2">
        <v>25864</v>
      </c>
      <c r="F505" s="3">
        <v>3.6</v>
      </c>
      <c r="G505" s="3">
        <v>9448</v>
      </c>
      <c r="H505" s="3">
        <v>77.2</v>
      </c>
      <c r="I505" s="3">
        <v>15.8</v>
      </c>
      <c r="J505" s="3">
        <v>7</v>
      </c>
      <c r="K505" s="3">
        <v>0</v>
      </c>
      <c r="L505" s="3">
        <v>6.3</v>
      </c>
      <c r="M505" t="str">
        <f>IF(acs2015_county_data[[#This Row],[PublicWork]]&gt;='Описательные характеристики'!$F$5,"да","нет")</f>
        <v>нет</v>
      </c>
      <c r="N505" t="str">
        <f>IF(acs2015_county_data[[#This Row],[Unemployment]]&gt;='Описательные характеристики'!$I$5,"да","нет")</f>
        <v>нет</v>
      </c>
    </row>
    <row r="506" spans="1:14" x14ac:dyDescent="0.35">
      <c r="A506">
        <v>13239</v>
      </c>
      <c r="B506" t="s">
        <v>354</v>
      </c>
      <c r="C506" t="s">
        <v>431</v>
      </c>
      <c r="D506" s="2">
        <v>2326</v>
      </c>
      <c r="E506" s="2">
        <v>17334</v>
      </c>
      <c r="F506" s="3">
        <v>3.5</v>
      </c>
      <c r="G506" s="3">
        <v>753</v>
      </c>
      <c r="H506" s="3">
        <v>72.400000000000006</v>
      </c>
      <c r="I506" s="3">
        <v>20.7</v>
      </c>
      <c r="J506" s="3">
        <v>6.9</v>
      </c>
      <c r="K506" s="3">
        <v>0</v>
      </c>
      <c r="L506" s="3">
        <v>11.2</v>
      </c>
      <c r="M506" t="str">
        <f>IF(acs2015_county_data[[#This Row],[PublicWork]]&gt;='Описательные характеристики'!$F$5,"да","нет")</f>
        <v>да</v>
      </c>
      <c r="N506" t="str">
        <f>IF(acs2015_county_data[[#This Row],[Unemployment]]&gt;='Описательные характеристики'!$I$5,"да","нет")</f>
        <v>да</v>
      </c>
    </row>
    <row r="507" spans="1:14" x14ac:dyDescent="0.35">
      <c r="A507">
        <v>13241</v>
      </c>
      <c r="B507" t="s">
        <v>354</v>
      </c>
      <c r="C507" t="s">
        <v>432</v>
      </c>
      <c r="D507" s="2">
        <v>16266</v>
      </c>
      <c r="E507" s="2">
        <v>22869</v>
      </c>
      <c r="F507" s="3">
        <v>4.5999999999999996</v>
      </c>
      <c r="G507" s="3">
        <v>6236</v>
      </c>
      <c r="H507" s="3">
        <v>71.900000000000006</v>
      </c>
      <c r="I507" s="3">
        <v>15.7</v>
      </c>
      <c r="J507" s="3">
        <v>12.3</v>
      </c>
      <c r="K507" s="3">
        <v>0</v>
      </c>
      <c r="L507" s="3">
        <v>7.3</v>
      </c>
      <c r="M507" t="str">
        <f>IF(acs2015_county_data[[#This Row],[PublicWork]]&gt;='Описательные характеристики'!$F$5,"да","нет")</f>
        <v>нет</v>
      </c>
      <c r="N507" t="str">
        <f>IF(acs2015_county_data[[#This Row],[Unemployment]]&gt;='Описательные характеристики'!$I$5,"да","нет")</f>
        <v>нет</v>
      </c>
    </row>
    <row r="508" spans="1:14" x14ac:dyDescent="0.35">
      <c r="A508">
        <v>13243</v>
      </c>
      <c r="B508" t="s">
        <v>354</v>
      </c>
      <c r="C508" t="s">
        <v>67</v>
      </c>
      <c r="D508" s="2">
        <v>7315</v>
      </c>
      <c r="E508" s="2">
        <v>26031</v>
      </c>
      <c r="F508" s="3">
        <v>6.9</v>
      </c>
      <c r="G508" s="3">
        <v>2503</v>
      </c>
      <c r="H508" s="3">
        <v>74.599999999999994</v>
      </c>
      <c r="I508" s="3">
        <v>18.5</v>
      </c>
      <c r="J508" s="3">
        <v>6.9</v>
      </c>
      <c r="K508" s="3">
        <v>0</v>
      </c>
      <c r="L508" s="3">
        <v>10.4</v>
      </c>
      <c r="M508" t="str">
        <f>IF(acs2015_county_data[[#This Row],[PublicWork]]&gt;='Описательные характеристики'!$F$5,"да","нет")</f>
        <v>да</v>
      </c>
      <c r="N508" t="str">
        <f>IF(acs2015_county_data[[#This Row],[Unemployment]]&gt;='Описательные характеристики'!$I$5,"да","нет")</f>
        <v>да</v>
      </c>
    </row>
    <row r="509" spans="1:14" x14ac:dyDescent="0.35">
      <c r="A509">
        <v>13245</v>
      </c>
      <c r="B509" t="s">
        <v>354</v>
      </c>
      <c r="C509" t="s">
        <v>433</v>
      </c>
      <c r="D509" s="2">
        <v>201291</v>
      </c>
      <c r="E509" s="2">
        <v>20659</v>
      </c>
      <c r="F509" s="3">
        <v>1.9</v>
      </c>
      <c r="G509" s="3">
        <v>76807</v>
      </c>
      <c r="H509" s="3">
        <v>74.5</v>
      </c>
      <c r="I509" s="3">
        <v>21.9</v>
      </c>
      <c r="J509" s="3">
        <v>3.4</v>
      </c>
      <c r="K509" s="3">
        <v>0.2</v>
      </c>
      <c r="L509" s="3">
        <v>12</v>
      </c>
      <c r="M509" t="str">
        <f>IF(acs2015_county_data[[#This Row],[PublicWork]]&gt;='Описательные характеристики'!$F$5,"да","нет")</f>
        <v>да</v>
      </c>
      <c r="N509" t="str">
        <f>IF(acs2015_county_data[[#This Row],[Unemployment]]&gt;='Описательные характеристики'!$I$5,"да","нет")</f>
        <v>да</v>
      </c>
    </row>
    <row r="510" spans="1:14" x14ac:dyDescent="0.35">
      <c r="A510">
        <v>13247</v>
      </c>
      <c r="B510" t="s">
        <v>354</v>
      </c>
      <c r="C510" t="s">
        <v>434</v>
      </c>
      <c r="D510" s="2">
        <v>86901</v>
      </c>
      <c r="E510" s="2">
        <v>22614</v>
      </c>
      <c r="F510" s="3">
        <v>3.6</v>
      </c>
      <c r="G510" s="3">
        <v>37374</v>
      </c>
      <c r="H510" s="3">
        <v>76.099999999999994</v>
      </c>
      <c r="I510" s="3">
        <v>18.8</v>
      </c>
      <c r="J510" s="3">
        <v>5.0999999999999996</v>
      </c>
      <c r="K510" s="3">
        <v>0.1</v>
      </c>
      <c r="L510" s="3">
        <v>11.2</v>
      </c>
      <c r="M510" t="str">
        <f>IF(acs2015_county_data[[#This Row],[PublicWork]]&gt;='Описательные характеристики'!$F$5,"да","нет")</f>
        <v>да</v>
      </c>
      <c r="N510" t="str">
        <f>IF(acs2015_county_data[[#This Row],[Unemployment]]&gt;='Описательные характеристики'!$I$5,"да","нет")</f>
        <v>да</v>
      </c>
    </row>
    <row r="511" spans="1:14" x14ac:dyDescent="0.35">
      <c r="A511">
        <v>13249</v>
      </c>
      <c r="B511" t="s">
        <v>354</v>
      </c>
      <c r="C511" t="s">
        <v>435</v>
      </c>
      <c r="D511" s="2">
        <v>5074</v>
      </c>
      <c r="E511" s="2">
        <v>19858</v>
      </c>
      <c r="F511" s="3">
        <v>0.8</v>
      </c>
      <c r="G511" s="3">
        <v>1964</v>
      </c>
      <c r="H511" s="3">
        <v>70.900000000000006</v>
      </c>
      <c r="I511" s="3">
        <v>23.6</v>
      </c>
      <c r="J511" s="3">
        <v>5.5</v>
      </c>
      <c r="K511" s="3">
        <v>0</v>
      </c>
      <c r="L511" s="3">
        <v>12.4</v>
      </c>
      <c r="M511" t="str">
        <f>IF(acs2015_county_data[[#This Row],[PublicWork]]&gt;='Описательные характеристики'!$F$5,"да","нет")</f>
        <v>да</v>
      </c>
      <c r="N511" t="str">
        <f>IF(acs2015_county_data[[#This Row],[Unemployment]]&gt;='Описательные характеристики'!$I$5,"да","нет")</f>
        <v>да</v>
      </c>
    </row>
    <row r="512" spans="1:14" x14ac:dyDescent="0.35">
      <c r="A512">
        <v>13251</v>
      </c>
      <c r="B512" t="s">
        <v>354</v>
      </c>
      <c r="C512" t="s">
        <v>436</v>
      </c>
      <c r="D512" s="2">
        <v>14206</v>
      </c>
      <c r="E512" s="2">
        <v>18597</v>
      </c>
      <c r="F512" s="3">
        <v>1.3</v>
      </c>
      <c r="G512" s="3">
        <v>5482</v>
      </c>
      <c r="H512" s="3">
        <v>75.8</v>
      </c>
      <c r="I512" s="3">
        <v>17.8</v>
      </c>
      <c r="J512" s="3">
        <v>6.1</v>
      </c>
      <c r="K512" s="3">
        <v>0.4</v>
      </c>
      <c r="L512" s="3">
        <v>9.8000000000000007</v>
      </c>
      <c r="M512" t="str">
        <f>IF(acs2015_county_data[[#This Row],[PublicWork]]&gt;='Описательные характеристики'!$F$5,"да","нет")</f>
        <v>да</v>
      </c>
      <c r="N512" t="str">
        <f>IF(acs2015_county_data[[#This Row],[Unemployment]]&gt;='Описательные характеристики'!$I$5,"да","нет")</f>
        <v>да</v>
      </c>
    </row>
    <row r="513" spans="1:14" x14ac:dyDescent="0.35">
      <c r="A513">
        <v>13253</v>
      </c>
      <c r="B513" t="s">
        <v>354</v>
      </c>
      <c r="C513" t="s">
        <v>348</v>
      </c>
      <c r="D513" s="2">
        <v>8769</v>
      </c>
      <c r="E513" s="2">
        <v>19891</v>
      </c>
      <c r="F513" s="3">
        <v>3.7</v>
      </c>
      <c r="G513" s="3">
        <v>2999</v>
      </c>
      <c r="H513" s="3">
        <v>77.2</v>
      </c>
      <c r="I513" s="3">
        <v>15.1</v>
      </c>
      <c r="J513" s="3">
        <v>7.7</v>
      </c>
      <c r="K513" s="3">
        <v>0</v>
      </c>
      <c r="L513" s="3">
        <v>9.4</v>
      </c>
      <c r="M513" t="str">
        <f>IF(acs2015_county_data[[#This Row],[PublicWork]]&gt;='Описательные характеристики'!$F$5,"да","нет")</f>
        <v>нет</v>
      </c>
      <c r="N513" t="str">
        <f>IF(acs2015_county_data[[#This Row],[Unemployment]]&gt;='Описательные характеристики'!$I$5,"да","нет")</f>
        <v>да</v>
      </c>
    </row>
    <row r="514" spans="1:14" x14ac:dyDescent="0.35">
      <c r="A514">
        <v>13255</v>
      </c>
      <c r="B514" t="s">
        <v>354</v>
      </c>
      <c r="C514" t="s">
        <v>437</v>
      </c>
      <c r="D514" s="2">
        <v>63873</v>
      </c>
      <c r="E514" s="2">
        <v>19588</v>
      </c>
      <c r="F514" s="3">
        <v>1.7</v>
      </c>
      <c r="G514" s="3">
        <v>23471</v>
      </c>
      <c r="H514" s="3">
        <v>77.3</v>
      </c>
      <c r="I514" s="3">
        <v>17.7</v>
      </c>
      <c r="J514" s="3">
        <v>4.5999999999999996</v>
      </c>
      <c r="K514" s="3">
        <v>0.3</v>
      </c>
      <c r="L514" s="3">
        <v>12.4</v>
      </c>
      <c r="M514" t="str">
        <f>IF(acs2015_county_data[[#This Row],[PublicWork]]&gt;='Описательные характеристики'!$F$5,"да","нет")</f>
        <v>да</v>
      </c>
      <c r="N514" t="str">
        <f>IF(acs2015_county_data[[#This Row],[Unemployment]]&gt;='Описательные характеристики'!$I$5,"да","нет")</f>
        <v>да</v>
      </c>
    </row>
    <row r="515" spans="1:14" x14ac:dyDescent="0.35">
      <c r="A515">
        <v>13257</v>
      </c>
      <c r="B515" t="s">
        <v>354</v>
      </c>
      <c r="C515" t="s">
        <v>438</v>
      </c>
      <c r="D515" s="2">
        <v>25620</v>
      </c>
      <c r="E515" s="2">
        <v>20001</v>
      </c>
      <c r="F515" s="3">
        <v>4.8</v>
      </c>
      <c r="G515" s="3">
        <v>10224</v>
      </c>
      <c r="H515" s="3">
        <v>76.2</v>
      </c>
      <c r="I515" s="3">
        <v>17.5</v>
      </c>
      <c r="J515" s="3">
        <v>6.3</v>
      </c>
      <c r="K515" s="3">
        <v>0</v>
      </c>
      <c r="L515" s="3">
        <v>10.6</v>
      </c>
      <c r="M515" t="str">
        <f>IF(acs2015_county_data[[#This Row],[PublicWork]]&gt;='Описательные характеристики'!$F$5,"да","нет")</f>
        <v>да</v>
      </c>
      <c r="N515" t="str">
        <f>IF(acs2015_county_data[[#This Row],[Unemployment]]&gt;='Описательные характеристики'!$I$5,"да","нет")</f>
        <v>да</v>
      </c>
    </row>
    <row r="516" spans="1:14" x14ac:dyDescent="0.35">
      <c r="A516">
        <v>13259</v>
      </c>
      <c r="B516" t="s">
        <v>354</v>
      </c>
      <c r="C516" t="s">
        <v>439</v>
      </c>
      <c r="D516" s="2">
        <v>5868</v>
      </c>
      <c r="E516" s="2">
        <v>13721</v>
      </c>
      <c r="F516" s="3">
        <v>2.1</v>
      </c>
      <c r="G516" s="3">
        <v>1485</v>
      </c>
      <c r="H516" s="3">
        <v>66.099999999999994</v>
      </c>
      <c r="I516" s="3">
        <v>29.8</v>
      </c>
      <c r="J516" s="3">
        <v>4</v>
      </c>
      <c r="K516" s="3">
        <v>0</v>
      </c>
      <c r="L516" s="3">
        <v>14.5</v>
      </c>
      <c r="M516" t="str">
        <f>IF(acs2015_county_data[[#This Row],[PublicWork]]&gt;='Описательные характеристики'!$F$5,"да","нет")</f>
        <v>да</v>
      </c>
      <c r="N516" t="str">
        <f>IF(acs2015_county_data[[#This Row],[Unemployment]]&gt;='Описательные характеристики'!$I$5,"да","нет")</f>
        <v>да</v>
      </c>
    </row>
    <row r="517" spans="1:14" x14ac:dyDescent="0.35">
      <c r="A517">
        <v>13261</v>
      </c>
      <c r="B517" t="s">
        <v>354</v>
      </c>
      <c r="C517" t="s">
        <v>71</v>
      </c>
      <c r="D517" s="2">
        <v>31429</v>
      </c>
      <c r="E517" s="2">
        <v>17404</v>
      </c>
      <c r="F517" s="3">
        <v>2.7</v>
      </c>
      <c r="G517" s="3">
        <v>11392</v>
      </c>
      <c r="H517" s="3">
        <v>68.5</v>
      </c>
      <c r="I517" s="3">
        <v>25.9</v>
      </c>
      <c r="J517" s="3">
        <v>4.5999999999999996</v>
      </c>
      <c r="K517" s="3">
        <v>1</v>
      </c>
      <c r="L517" s="3">
        <v>14.4</v>
      </c>
      <c r="M517" t="str">
        <f>IF(acs2015_county_data[[#This Row],[PublicWork]]&gt;='Описательные характеристики'!$F$5,"да","нет")</f>
        <v>да</v>
      </c>
      <c r="N517" t="str">
        <f>IF(acs2015_county_data[[#This Row],[Unemployment]]&gt;='Описательные характеристики'!$I$5,"да","нет")</f>
        <v>да</v>
      </c>
    </row>
    <row r="518" spans="1:14" x14ac:dyDescent="0.35">
      <c r="A518">
        <v>13263</v>
      </c>
      <c r="B518" t="s">
        <v>354</v>
      </c>
      <c r="C518" t="s">
        <v>440</v>
      </c>
      <c r="D518" s="2">
        <v>6490</v>
      </c>
      <c r="E518" s="2">
        <v>18971</v>
      </c>
      <c r="F518" s="3">
        <v>2.6</v>
      </c>
      <c r="G518" s="3">
        <v>2513</v>
      </c>
      <c r="H518" s="3">
        <v>75.400000000000006</v>
      </c>
      <c r="I518" s="3">
        <v>19.3</v>
      </c>
      <c r="J518" s="3">
        <v>4.8</v>
      </c>
      <c r="K518" s="3">
        <v>0.5</v>
      </c>
      <c r="L518" s="3">
        <v>10.6</v>
      </c>
      <c r="M518" t="str">
        <f>IF(acs2015_county_data[[#This Row],[PublicWork]]&gt;='Описательные характеристики'!$F$5,"да","нет")</f>
        <v>да</v>
      </c>
      <c r="N518" t="str">
        <f>IF(acs2015_county_data[[#This Row],[Unemployment]]&gt;='Описательные характеристики'!$I$5,"да","нет")</f>
        <v>да</v>
      </c>
    </row>
    <row r="519" spans="1:14" x14ac:dyDescent="0.35">
      <c r="A519">
        <v>13265</v>
      </c>
      <c r="B519" t="s">
        <v>354</v>
      </c>
      <c r="C519" t="s">
        <v>441</v>
      </c>
      <c r="D519" s="2">
        <v>1721</v>
      </c>
      <c r="E519" s="2">
        <v>14805</v>
      </c>
      <c r="F519" s="3">
        <v>2.1</v>
      </c>
      <c r="G519" s="3">
        <v>574</v>
      </c>
      <c r="H519" s="3">
        <v>67.900000000000006</v>
      </c>
      <c r="I519" s="3">
        <v>26.8</v>
      </c>
      <c r="J519" s="3">
        <v>5.2</v>
      </c>
      <c r="K519" s="3">
        <v>0</v>
      </c>
      <c r="L519" s="3">
        <v>12.1</v>
      </c>
      <c r="M519" t="str">
        <f>IF(acs2015_county_data[[#This Row],[PublicWork]]&gt;='Описательные характеристики'!$F$5,"да","нет")</f>
        <v>да</v>
      </c>
      <c r="N519" t="str">
        <f>IF(acs2015_county_data[[#This Row],[Unemployment]]&gt;='Описательные характеристики'!$I$5,"да","нет")</f>
        <v>да</v>
      </c>
    </row>
    <row r="520" spans="1:14" x14ac:dyDescent="0.35">
      <c r="A520">
        <v>13267</v>
      </c>
      <c r="B520" t="s">
        <v>354</v>
      </c>
      <c r="C520" t="s">
        <v>442</v>
      </c>
      <c r="D520" s="2">
        <v>25302</v>
      </c>
      <c r="E520" s="2">
        <v>14957</v>
      </c>
      <c r="F520" s="3">
        <v>2.6</v>
      </c>
      <c r="G520" s="3">
        <v>7310</v>
      </c>
      <c r="H520" s="3">
        <v>66.7</v>
      </c>
      <c r="I520" s="3">
        <v>24.8</v>
      </c>
      <c r="J520" s="3">
        <v>8.4</v>
      </c>
      <c r="K520" s="3">
        <v>0.1</v>
      </c>
      <c r="L520" s="3">
        <v>7.9</v>
      </c>
      <c r="M520" t="str">
        <f>IF(acs2015_county_data[[#This Row],[PublicWork]]&gt;='Описательные характеристики'!$F$5,"да","нет")</f>
        <v>да</v>
      </c>
      <c r="N520" t="str">
        <f>IF(acs2015_county_data[[#This Row],[Unemployment]]&gt;='Описательные характеристики'!$I$5,"да","нет")</f>
        <v>да</v>
      </c>
    </row>
    <row r="521" spans="1:14" x14ac:dyDescent="0.35">
      <c r="A521">
        <v>13269</v>
      </c>
      <c r="B521" t="s">
        <v>354</v>
      </c>
      <c r="C521" t="s">
        <v>350</v>
      </c>
      <c r="D521" s="2">
        <v>8401</v>
      </c>
      <c r="E521" s="2">
        <v>16857</v>
      </c>
      <c r="F521" s="3">
        <v>3.1</v>
      </c>
      <c r="G521" s="3">
        <v>2869</v>
      </c>
      <c r="H521" s="3">
        <v>67</v>
      </c>
      <c r="I521" s="3">
        <v>25.3</v>
      </c>
      <c r="J521" s="3">
        <v>7.7</v>
      </c>
      <c r="K521" s="3">
        <v>0</v>
      </c>
      <c r="L521" s="3">
        <v>20.6</v>
      </c>
      <c r="M521" t="str">
        <f>IF(acs2015_county_data[[#This Row],[PublicWork]]&gt;='Описательные характеристики'!$F$5,"да","нет")</f>
        <v>да</v>
      </c>
      <c r="N521" t="str">
        <f>IF(acs2015_county_data[[#This Row],[Unemployment]]&gt;='Описательные характеристики'!$I$5,"да","нет")</f>
        <v>да</v>
      </c>
    </row>
    <row r="522" spans="1:14" x14ac:dyDescent="0.35">
      <c r="A522">
        <v>13271</v>
      </c>
      <c r="B522" t="s">
        <v>354</v>
      </c>
      <c r="C522" t="s">
        <v>443</v>
      </c>
      <c r="D522" s="2">
        <v>16416</v>
      </c>
      <c r="E522" s="2">
        <v>12155</v>
      </c>
      <c r="F522" s="3">
        <v>3</v>
      </c>
      <c r="G522" s="3">
        <v>4472</v>
      </c>
      <c r="H522" s="3">
        <v>62.7</v>
      </c>
      <c r="I522" s="3">
        <v>30.8</v>
      </c>
      <c r="J522" s="3">
        <v>6.6</v>
      </c>
      <c r="K522" s="3">
        <v>0</v>
      </c>
      <c r="L522" s="3">
        <v>4.4000000000000004</v>
      </c>
      <c r="M522" t="str">
        <f>IF(acs2015_county_data[[#This Row],[PublicWork]]&gt;='Описательные характеристики'!$F$5,"да","нет")</f>
        <v>да</v>
      </c>
      <c r="N522" t="str">
        <f>IF(acs2015_county_data[[#This Row],[Unemployment]]&gt;='Описательные характеристики'!$I$5,"да","нет")</f>
        <v>нет</v>
      </c>
    </row>
    <row r="523" spans="1:14" x14ac:dyDescent="0.35">
      <c r="A523">
        <v>13273</v>
      </c>
      <c r="B523" t="s">
        <v>354</v>
      </c>
      <c r="C523" t="s">
        <v>444</v>
      </c>
      <c r="D523" s="2">
        <v>9213</v>
      </c>
      <c r="E523" s="2">
        <v>16242</v>
      </c>
      <c r="F523" s="3">
        <v>4.5999999999999996</v>
      </c>
      <c r="G523" s="3">
        <v>3181</v>
      </c>
      <c r="H523" s="3">
        <v>73.099999999999994</v>
      </c>
      <c r="I523" s="3">
        <v>18.399999999999999</v>
      </c>
      <c r="J523" s="3">
        <v>8.1999999999999993</v>
      </c>
      <c r="K523" s="3">
        <v>0.3</v>
      </c>
      <c r="L523" s="3">
        <v>14.4</v>
      </c>
      <c r="M523" t="str">
        <f>IF(acs2015_county_data[[#This Row],[PublicWork]]&gt;='Описательные характеристики'!$F$5,"да","нет")</f>
        <v>да</v>
      </c>
      <c r="N523" t="str">
        <f>IF(acs2015_county_data[[#This Row],[Unemployment]]&gt;='Описательные характеристики'!$I$5,"да","нет")</f>
        <v>да</v>
      </c>
    </row>
    <row r="524" spans="1:14" x14ac:dyDescent="0.35">
      <c r="A524">
        <v>13275</v>
      </c>
      <c r="B524" t="s">
        <v>354</v>
      </c>
      <c r="C524" t="s">
        <v>445</v>
      </c>
      <c r="D524" s="2">
        <v>44824</v>
      </c>
      <c r="E524" s="2">
        <v>20471</v>
      </c>
      <c r="F524" s="3">
        <v>2.6</v>
      </c>
      <c r="G524" s="3">
        <v>17359</v>
      </c>
      <c r="H524" s="3">
        <v>74.5</v>
      </c>
      <c r="I524" s="3">
        <v>19.100000000000001</v>
      </c>
      <c r="J524" s="3">
        <v>6.3</v>
      </c>
      <c r="K524" s="3">
        <v>0.1</v>
      </c>
      <c r="L524" s="3">
        <v>10.5</v>
      </c>
      <c r="M524" t="str">
        <f>IF(acs2015_county_data[[#This Row],[PublicWork]]&gt;='Описательные характеристики'!$F$5,"да","нет")</f>
        <v>да</v>
      </c>
      <c r="N524" t="str">
        <f>IF(acs2015_county_data[[#This Row],[Unemployment]]&gt;='Описательные характеристики'!$I$5,"да","нет")</f>
        <v>да</v>
      </c>
    </row>
    <row r="525" spans="1:14" x14ac:dyDescent="0.35">
      <c r="A525">
        <v>13277</v>
      </c>
      <c r="B525" t="s">
        <v>354</v>
      </c>
      <c r="C525" t="s">
        <v>446</v>
      </c>
      <c r="D525" s="2">
        <v>40787</v>
      </c>
      <c r="E525" s="2">
        <v>20078</v>
      </c>
      <c r="F525" s="3">
        <v>3</v>
      </c>
      <c r="G525" s="3">
        <v>16038</v>
      </c>
      <c r="H525" s="3">
        <v>78.400000000000006</v>
      </c>
      <c r="I525" s="3">
        <v>15.6</v>
      </c>
      <c r="J525" s="3">
        <v>6</v>
      </c>
      <c r="K525" s="3">
        <v>0.1</v>
      </c>
      <c r="L525" s="3">
        <v>5.8</v>
      </c>
      <c r="M525" t="str">
        <f>IF(acs2015_county_data[[#This Row],[PublicWork]]&gt;='Описательные характеристики'!$F$5,"да","нет")</f>
        <v>нет</v>
      </c>
      <c r="N525" t="str">
        <f>IF(acs2015_county_data[[#This Row],[Unemployment]]&gt;='Описательные характеристики'!$I$5,"да","нет")</f>
        <v>нет</v>
      </c>
    </row>
    <row r="526" spans="1:14" x14ac:dyDescent="0.35">
      <c r="A526">
        <v>13279</v>
      </c>
      <c r="B526" t="s">
        <v>354</v>
      </c>
      <c r="C526" t="s">
        <v>447</v>
      </c>
      <c r="D526" s="2">
        <v>27210</v>
      </c>
      <c r="E526" s="2">
        <v>19564</v>
      </c>
      <c r="F526" s="3">
        <v>2.5</v>
      </c>
      <c r="G526" s="3">
        <v>10615</v>
      </c>
      <c r="H526" s="3">
        <v>76.099999999999994</v>
      </c>
      <c r="I526" s="3">
        <v>17.5</v>
      </c>
      <c r="J526" s="3">
        <v>6.4</v>
      </c>
      <c r="K526" s="3">
        <v>0</v>
      </c>
      <c r="L526" s="3">
        <v>9.6</v>
      </c>
      <c r="M526" t="str">
        <f>IF(acs2015_county_data[[#This Row],[PublicWork]]&gt;='Описательные характеристики'!$F$5,"да","нет")</f>
        <v>да</v>
      </c>
      <c r="N526" t="str">
        <f>IF(acs2015_county_data[[#This Row],[Unemployment]]&gt;='Описательные характеристики'!$I$5,"да","нет")</f>
        <v>да</v>
      </c>
    </row>
    <row r="527" spans="1:14" x14ac:dyDescent="0.35">
      <c r="A527">
        <v>13281</v>
      </c>
      <c r="B527" t="s">
        <v>354</v>
      </c>
      <c r="C527" t="s">
        <v>448</v>
      </c>
      <c r="D527" s="2">
        <v>10800</v>
      </c>
      <c r="E527" s="2">
        <v>19978</v>
      </c>
      <c r="F527" s="3">
        <v>5.2</v>
      </c>
      <c r="G527" s="3">
        <v>3722</v>
      </c>
      <c r="H527" s="3">
        <v>75.5</v>
      </c>
      <c r="I527" s="3">
        <v>11.6</v>
      </c>
      <c r="J527" s="3">
        <v>12.3</v>
      </c>
      <c r="K527" s="3">
        <v>0.6</v>
      </c>
      <c r="L527" s="3">
        <v>10</v>
      </c>
      <c r="M527" t="str">
        <f>IF(acs2015_county_data[[#This Row],[PublicWork]]&gt;='Описательные характеристики'!$F$5,"да","нет")</f>
        <v>нет</v>
      </c>
      <c r="N527" t="str">
        <f>IF(acs2015_county_data[[#This Row],[Unemployment]]&gt;='Описательные характеристики'!$I$5,"да","нет")</f>
        <v>да</v>
      </c>
    </row>
    <row r="528" spans="1:14" x14ac:dyDescent="0.35">
      <c r="A528">
        <v>13283</v>
      </c>
      <c r="B528" t="s">
        <v>354</v>
      </c>
      <c r="C528" t="s">
        <v>449</v>
      </c>
      <c r="D528" s="2">
        <v>6762</v>
      </c>
      <c r="E528" s="2">
        <v>21127</v>
      </c>
      <c r="F528" s="3">
        <v>2.2000000000000002</v>
      </c>
      <c r="G528" s="3">
        <v>2692</v>
      </c>
      <c r="H528" s="3">
        <v>74.7</v>
      </c>
      <c r="I528" s="3">
        <v>19.2</v>
      </c>
      <c r="J528" s="3">
        <v>6.1</v>
      </c>
      <c r="K528" s="3">
        <v>0</v>
      </c>
      <c r="L528" s="3">
        <v>5.4</v>
      </c>
      <c r="M528" t="str">
        <f>IF(acs2015_county_data[[#This Row],[PublicWork]]&gt;='Описательные характеристики'!$F$5,"да","нет")</f>
        <v>да</v>
      </c>
      <c r="N528" t="str">
        <f>IF(acs2015_county_data[[#This Row],[Unemployment]]&gt;='Описательные характеристики'!$I$5,"да","нет")</f>
        <v>нет</v>
      </c>
    </row>
    <row r="529" spans="1:14" x14ac:dyDescent="0.35">
      <c r="A529">
        <v>13285</v>
      </c>
      <c r="B529" t="s">
        <v>354</v>
      </c>
      <c r="C529" t="s">
        <v>450</v>
      </c>
      <c r="D529" s="2">
        <v>68867</v>
      </c>
      <c r="E529" s="2">
        <v>21559</v>
      </c>
      <c r="F529" s="3">
        <v>1.5</v>
      </c>
      <c r="G529" s="3">
        <v>28677</v>
      </c>
      <c r="H529" s="3">
        <v>81.8</v>
      </c>
      <c r="I529" s="3">
        <v>13.5</v>
      </c>
      <c r="J529" s="3">
        <v>4.5</v>
      </c>
      <c r="K529" s="3">
        <v>0.2</v>
      </c>
      <c r="L529" s="3">
        <v>11.9</v>
      </c>
      <c r="M529" t="str">
        <f>IF(acs2015_county_data[[#This Row],[PublicWork]]&gt;='Описательные характеристики'!$F$5,"да","нет")</f>
        <v>нет</v>
      </c>
      <c r="N529" t="str">
        <f>IF(acs2015_county_data[[#This Row],[Unemployment]]&gt;='Описательные характеристики'!$I$5,"да","нет")</f>
        <v>да</v>
      </c>
    </row>
    <row r="530" spans="1:14" x14ac:dyDescent="0.35">
      <c r="A530">
        <v>13287</v>
      </c>
      <c r="B530" t="s">
        <v>354</v>
      </c>
      <c r="C530" t="s">
        <v>451</v>
      </c>
      <c r="D530" s="2">
        <v>8338</v>
      </c>
      <c r="E530" s="2">
        <v>18227</v>
      </c>
      <c r="F530" s="3">
        <v>4.5999999999999996</v>
      </c>
      <c r="G530" s="3">
        <v>2900</v>
      </c>
      <c r="H530" s="3">
        <v>64.900000000000006</v>
      </c>
      <c r="I530" s="3">
        <v>31.2</v>
      </c>
      <c r="J530" s="3">
        <v>3.9</v>
      </c>
      <c r="K530" s="3">
        <v>0</v>
      </c>
      <c r="L530" s="3">
        <v>12.5</v>
      </c>
      <c r="M530" t="str">
        <f>IF(acs2015_county_data[[#This Row],[PublicWork]]&gt;='Описательные характеристики'!$F$5,"да","нет")</f>
        <v>да</v>
      </c>
      <c r="N530" t="str">
        <f>IF(acs2015_county_data[[#This Row],[Unemployment]]&gt;='Описательные характеристики'!$I$5,"да","нет")</f>
        <v>да</v>
      </c>
    </row>
    <row r="531" spans="1:14" x14ac:dyDescent="0.35">
      <c r="A531">
        <v>13289</v>
      </c>
      <c r="B531" t="s">
        <v>354</v>
      </c>
      <c r="C531" t="s">
        <v>452</v>
      </c>
      <c r="D531" s="2">
        <v>8509</v>
      </c>
      <c r="E531" s="2">
        <v>17768</v>
      </c>
      <c r="F531" s="3">
        <v>1.4</v>
      </c>
      <c r="G531" s="3">
        <v>2581</v>
      </c>
      <c r="H531" s="3">
        <v>81.099999999999994</v>
      </c>
      <c r="I531" s="3">
        <v>17.5</v>
      </c>
      <c r="J531" s="3">
        <v>1.4</v>
      </c>
      <c r="K531" s="3">
        <v>0</v>
      </c>
      <c r="L531" s="3">
        <v>6.7</v>
      </c>
      <c r="M531" t="str">
        <f>IF(acs2015_county_data[[#This Row],[PublicWork]]&gt;='Описательные характеристики'!$F$5,"да","нет")</f>
        <v>да</v>
      </c>
      <c r="N531" t="str">
        <f>IF(acs2015_county_data[[#This Row],[Unemployment]]&gt;='Описательные характеристики'!$I$5,"да","нет")</f>
        <v>нет</v>
      </c>
    </row>
    <row r="532" spans="1:14" x14ac:dyDescent="0.35">
      <c r="A532">
        <v>13291</v>
      </c>
      <c r="B532" t="s">
        <v>354</v>
      </c>
      <c r="C532" t="s">
        <v>175</v>
      </c>
      <c r="D532" s="2">
        <v>21725</v>
      </c>
      <c r="E532" s="2">
        <v>21872</v>
      </c>
      <c r="F532" s="3">
        <v>3.1</v>
      </c>
      <c r="G532" s="3">
        <v>7291</v>
      </c>
      <c r="H532" s="3">
        <v>71</v>
      </c>
      <c r="I532" s="3">
        <v>18.899999999999999</v>
      </c>
      <c r="J532" s="3">
        <v>10.1</v>
      </c>
      <c r="K532" s="3">
        <v>0</v>
      </c>
      <c r="L532" s="3">
        <v>13</v>
      </c>
      <c r="M532" t="str">
        <f>IF(acs2015_county_data[[#This Row],[PublicWork]]&gt;='Описательные характеристики'!$F$5,"да","нет")</f>
        <v>да</v>
      </c>
      <c r="N532" t="str">
        <f>IF(acs2015_county_data[[#This Row],[Unemployment]]&gt;='Описательные характеристики'!$I$5,"да","нет")</f>
        <v>да</v>
      </c>
    </row>
    <row r="533" spans="1:14" x14ac:dyDescent="0.35">
      <c r="A533">
        <v>13293</v>
      </c>
      <c r="B533" t="s">
        <v>354</v>
      </c>
      <c r="C533" t="s">
        <v>453</v>
      </c>
      <c r="D533" s="2">
        <v>26528</v>
      </c>
      <c r="E533" s="2">
        <v>19069</v>
      </c>
      <c r="F533" s="3">
        <v>2</v>
      </c>
      <c r="G533" s="3">
        <v>9904</v>
      </c>
      <c r="H533" s="3">
        <v>76.3</v>
      </c>
      <c r="I533" s="3">
        <v>18.3</v>
      </c>
      <c r="J533" s="3">
        <v>5.4</v>
      </c>
      <c r="K533" s="3">
        <v>0.1</v>
      </c>
      <c r="L533" s="3">
        <v>11.1</v>
      </c>
      <c r="M533" t="str">
        <f>IF(acs2015_county_data[[#This Row],[PublicWork]]&gt;='Описательные характеристики'!$F$5,"да","нет")</f>
        <v>да</v>
      </c>
      <c r="N533" t="str">
        <f>IF(acs2015_county_data[[#This Row],[Unemployment]]&gt;='Описательные характеристики'!$I$5,"да","нет")</f>
        <v>да</v>
      </c>
    </row>
    <row r="534" spans="1:14" x14ac:dyDescent="0.35">
      <c r="A534">
        <v>13295</v>
      </c>
      <c r="B534" t="s">
        <v>354</v>
      </c>
      <c r="C534" t="s">
        <v>454</v>
      </c>
      <c r="D534" s="2">
        <v>68285</v>
      </c>
      <c r="E534" s="2">
        <v>21430</v>
      </c>
      <c r="F534" s="3">
        <v>2.8</v>
      </c>
      <c r="G534" s="3">
        <v>28164</v>
      </c>
      <c r="H534" s="3">
        <v>80.3</v>
      </c>
      <c r="I534" s="3">
        <v>13.7</v>
      </c>
      <c r="J534" s="3">
        <v>5.9</v>
      </c>
      <c r="K534" s="3">
        <v>0.1</v>
      </c>
      <c r="L534" s="3">
        <v>8.4</v>
      </c>
      <c r="M534" t="str">
        <f>IF(acs2015_county_data[[#This Row],[PublicWork]]&gt;='Описательные характеристики'!$F$5,"да","нет")</f>
        <v>нет</v>
      </c>
      <c r="N534" t="str">
        <f>IF(acs2015_county_data[[#This Row],[Unemployment]]&gt;='Описательные характеристики'!$I$5,"да","нет")</f>
        <v>да</v>
      </c>
    </row>
    <row r="535" spans="1:14" x14ac:dyDescent="0.35">
      <c r="A535">
        <v>13297</v>
      </c>
      <c r="B535" t="s">
        <v>354</v>
      </c>
      <c r="C535" t="s">
        <v>353</v>
      </c>
      <c r="D535" s="2">
        <v>86201</v>
      </c>
      <c r="E535" s="2">
        <v>23625</v>
      </c>
      <c r="F535" s="3">
        <v>4.5</v>
      </c>
      <c r="G535" s="3">
        <v>37547</v>
      </c>
      <c r="H535" s="3">
        <v>79.2</v>
      </c>
      <c r="I535" s="3">
        <v>15.7</v>
      </c>
      <c r="J535" s="3">
        <v>4.9000000000000004</v>
      </c>
      <c r="K535" s="3">
        <v>0.3</v>
      </c>
      <c r="L535" s="3">
        <v>7.9</v>
      </c>
      <c r="M535" t="str">
        <f>IF(acs2015_county_data[[#This Row],[PublicWork]]&gt;='Описательные характеристики'!$F$5,"да","нет")</f>
        <v>нет</v>
      </c>
      <c r="N535" t="str">
        <f>IF(acs2015_county_data[[#This Row],[Unemployment]]&gt;='Описательные характеристики'!$I$5,"да","нет")</f>
        <v>да</v>
      </c>
    </row>
    <row r="536" spans="1:14" x14ac:dyDescent="0.35">
      <c r="A536">
        <v>13299</v>
      </c>
      <c r="B536" t="s">
        <v>354</v>
      </c>
      <c r="C536" t="s">
        <v>455</v>
      </c>
      <c r="D536" s="2">
        <v>35723</v>
      </c>
      <c r="E536" s="2">
        <v>18100</v>
      </c>
      <c r="F536" s="3">
        <v>2.7</v>
      </c>
      <c r="G536" s="3">
        <v>13022</v>
      </c>
      <c r="H536" s="3">
        <v>74.099999999999994</v>
      </c>
      <c r="I536" s="3">
        <v>18.7</v>
      </c>
      <c r="J536" s="3">
        <v>7.3</v>
      </c>
      <c r="K536" s="3">
        <v>0</v>
      </c>
      <c r="L536" s="3">
        <v>7.2</v>
      </c>
      <c r="M536" t="str">
        <f>IF(acs2015_county_data[[#This Row],[PublicWork]]&gt;='Описательные характеристики'!$F$5,"да","нет")</f>
        <v>да</v>
      </c>
      <c r="N536" t="str">
        <f>IF(acs2015_county_data[[#This Row],[Unemployment]]&gt;='Описательные характеристики'!$I$5,"да","нет")</f>
        <v>нет</v>
      </c>
    </row>
    <row r="537" spans="1:14" x14ac:dyDescent="0.35">
      <c r="A537">
        <v>13301</v>
      </c>
      <c r="B537" t="s">
        <v>354</v>
      </c>
      <c r="C537" t="s">
        <v>456</v>
      </c>
      <c r="D537" s="2">
        <v>5561</v>
      </c>
      <c r="E537" s="2">
        <v>18174</v>
      </c>
      <c r="F537" s="3">
        <v>4.5</v>
      </c>
      <c r="G537" s="3">
        <v>1998</v>
      </c>
      <c r="H537" s="3">
        <v>77.900000000000006</v>
      </c>
      <c r="I537" s="3">
        <v>15.2</v>
      </c>
      <c r="J537" s="3">
        <v>6.9</v>
      </c>
      <c r="K537" s="3">
        <v>0</v>
      </c>
      <c r="L537" s="3">
        <v>16.399999999999999</v>
      </c>
      <c r="M537" t="str">
        <f>IF(acs2015_county_data[[#This Row],[PublicWork]]&gt;='Описательные характеристики'!$F$5,"да","нет")</f>
        <v>нет</v>
      </c>
      <c r="N537" t="str">
        <f>IF(acs2015_county_data[[#This Row],[Unemployment]]&gt;='Описательные характеристики'!$I$5,"да","нет")</f>
        <v>да</v>
      </c>
    </row>
    <row r="538" spans="1:14" x14ac:dyDescent="0.35">
      <c r="A538">
        <v>13303</v>
      </c>
      <c r="B538" t="s">
        <v>354</v>
      </c>
      <c r="C538" t="s">
        <v>75</v>
      </c>
      <c r="D538" s="2">
        <v>20785</v>
      </c>
      <c r="E538" s="2">
        <v>18285</v>
      </c>
      <c r="F538" s="3">
        <v>2.2000000000000002</v>
      </c>
      <c r="G538" s="3">
        <v>7370</v>
      </c>
      <c r="H538" s="3">
        <v>74.5</v>
      </c>
      <c r="I538" s="3">
        <v>18.8</v>
      </c>
      <c r="J538" s="3">
        <v>6.2</v>
      </c>
      <c r="K538" s="3">
        <v>0.5</v>
      </c>
      <c r="L538" s="3">
        <v>12.2</v>
      </c>
      <c r="M538" t="str">
        <f>IF(acs2015_county_data[[#This Row],[PublicWork]]&gt;='Описательные характеристики'!$F$5,"да","нет")</f>
        <v>да</v>
      </c>
      <c r="N538" t="str">
        <f>IF(acs2015_county_data[[#This Row],[Unemployment]]&gt;='Описательные характеристики'!$I$5,"да","нет")</f>
        <v>да</v>
      </c>
    </row>
    <row r="539" spans="1:14" x14ac:dyDescent="0.35">
      <c r="A539">
        <v>13305</v>
      </c>
      <c r="B539" t="s">
        <v>354</v>
      </c>
      <c r="C539" t="s">
        <v>457</v>
      </c>
      <c r="D539" s="2">
        <v>30046</v>
      </c>
      <c r="E539" s="2">
        <v>18291</v>
      </c>
      <c r="F539" s="3">
        <v>2.2000000000000002</v>
      </c>
      <c r="G539" s="3">
        <v>10495</v>
      </c>
      <c r="H539" s="3">
        <v>71.2</v>
      </c>
      <c r="I539" s="3">
        <v>21.6</v>
      </c>
      <c r="J539" s="3">
        <v>6.5</v>
      </c>
      <c r="K539" s="3">
        <v>0.6</v>
      </c>
      <c r="L539" s="3">
        <v>11.3</v>
      </c>
      <c r="M539" t="str">
        <f>IF(acs2015_county_data[[#This Row],[PublicWork]]&gt;='Описательные характеристики'!$F$5,"да","нет")</f>
        <v>да</v>
      </c>
      <c r="N539" t="str">
        <f>IF(acs2015_county_data[[#This Row],[Unemployment]]&gt;='Описательные характеристики'!$I$5,"да","нет")</f>
        <v>да</v>
      </c>
    </row>
    <row r="540" spans="1:14" x14ac:dyDescent="0.35">
      <c r="A540">
        <v>13307</v>
      </c>
      <c r="B540" t="s">
        <v>354</v>
      </c>
      <c r="C540" t="s">
        <v>458</v>
      </c>
      <c r="D540" s="2">
        <v>2720</v>
      </c>
      <c r="E540" s="2">
        <v>18767</v>
      </c>
      <c r="F540" s="3">
        <v>0.4</v>
      </c>
      <c r="G540" s="3">
        <v>1139</v>
      </c>
      <c r="H540" s="3">
        <v>71.2</v>
      </c>
      <c r="I540" s="3">
        <v>25.8</v>
      </c>
      <c r="J540" s="3">
        <v>3</v>
      </c>
      <c r="K540" s="3">
        <v>0</v>
      </c>
      <c r="L540" s="3">
        <v>5.8</v>
      </c>
      <c r="M540" t="str">
        <f>IF(acs2015_county_data[[#This Row],[PublicWork]]&gt;='Описательные характеристики'!$F$5,"да","нет")</f>
        <v>да</v>
      </c>
      <c r="N540" t="str">
        <f>IF(acs2015_county_data[[#This Row],[Unemployment]]&gt;='Описательные характеристики'!$I$5,"да","нет")</f>
        <v>нет</v>
      </c>
    </row>
    <row r="541" spans="1:14" x14ac:dyDescent="0.35">
      <c r="A541">
        <v>13309</v>
      </c>
      <c r="B541" t="s">
        <v>354</v>
      </c>
      <c r="C541" t="s">
        <v>459</v>
      </c>
      <c r="D541" s="2">
        <v>7956</v>
      </c>
      <c r="E541" s="2">
        <v>8292</v>
      </c>
      <c r="F541" s="3">
        <v>1.9</v>
      </c>
      <c r="G541" s="3">
        <v>1339</v>
      </c>
      <c r="H541" s="3">
        <v>64.3</v>
      </c>
      <c r="I541" s="3">
        <v>27.6</v>
      </c>
      <c r="J541" s="3">
        <v>8.1</v>
      </c>
      <c r="K541" s="3">
        <v>0</v>
      </c>
      <c r="L541" s="3">
        <v>10</v>
      </c>
      <c r="M541" t="str">
        <f>IF(acs2015_county_data[[#This Row],[PublicWork]]&gt;='Описательные характеристики'!$F$5,"да","нет")</f>
        <v>да</v>
      </c>
      <c r="N541" t="str">
        <f>IF(acs2015_county_data[[#This Row],[Unemployment]]&gt;='Описательные характеристики'!$I$5,"да","нет")</f>
        <v>да</v>
      </c>
    </row>
    <row r="542" spans="1:14" x14ac:dyDescent="0.35">
      <c r="A542">
        <v>13311</v>
      </c>
      <c r="B542" t="s">
        <v>354</v>
      </c>
      <c r="C542" t="s">
        <v>4</v>
      </c>
      <c r="D542" s="2">
        <v>27791</v>
      </c>
      <c r="E542" s="2">
        <v>21718</v>
      </c>
      <c r="F542" s="3">
        <v>3.2</v>
      </c>
      <c r="G542" s="3">
        <v>11029</v>
      </c>
      <c r="H542" s="3">
        <v>77.400000000000006</v>
      </c>
      <c r="I542" s="3">
        <v>15.8</v>
      </c>
      <c r="J542" s="3">
        <v>6.5</v>
      </c>
      <c r="K542" s="3">
        <v>0.3</v>
      </c>
      <c r="L542" s="3">
        <v>6.8</v>
      </c>
      <c r="M542" t="str">
        <f>IF(acs2015_county_data[[#This Row],[PublicWork]]&gt;='Описательные характеристики'!$F$5,"да","нет")</f>
        <v>нет</v>
      </c>
      <c r="N542" t="str">
        <f>IF(acs2015_county_data[[#This Row],[Unemployment]]&gt;='Описательные характеристики'!$I$5,"да","нет")</f>
        <v>нет</v>
      </c>
    </row>
    <row r="543" spans="1:14" x14ac:dyDescent="0.35">
      <c r="A543">
        <v>13313</v>
      </c>
      <c r="B543" t="s">
        <v>354</v>
      </c>
      <c r="C543" t="s">
        <v>460</v>
      </c>
      <c r="D543" s="2">
        <v>103456</v>
      </c>
      <c r="E543" s="2">
        <v>20353</v>
      </c>
      <c r="F543" s="3">
        <v>2.1</v>
      </c>
      <c r="G543" s="3">
        <v>45345</v>
      </c>
      <c r="H543" s="3">
        <v>86.6</v>
      </c>
      <c r="I543" s="3">
        <v>9.4</v>
      </c>
      <c r="J543" s="3">
        <v>3.9</v>
      </c>
      <c r="K543" s="3">
        <v>0</v>
      </c>
      <c r="L543" s="3">
        <v>10.3</v>
      </c>
      <c r="M543" t="str">
        <f>IF(acs2015_county_data[[#This Row],[PublicWork]]&gt;='Описательные характеристики'!$F$5,"да","нет")</f>
        <v>нет</v>
      </c>
      <c r="N543" t="str">
        <f>IF(acs2015_county_data[[#This Row],[Unemployment]]&gt;='Описательные характеристики'!$I$5,"да","нет")</f>
        <v>да</v>
      </c>
    </row>
    <row r="544" spans="1:14" x14ac:dyDescent="0.35">
      <c r="A544">
        <v>13315</v>
      </c>
      <c r="B544" t="s">
        <v>354</v>
      </c>
      <c r="C544" t="s">
        <v>76</v>
      </c>
      <c r="D544" s="2">
        <v>8972</v>
      </c>
      <c r="E544" s="2">
        <v>13521</v>
      </c>
      <c r="F544" s="3">
        <v>3.4</v>
      </c>
      <c r="G544" s="3">
        <v>2446</v>
      </c>
      <c r="H544" s="3">
        <v>57.1</v>
      </c>
      <c r="I544" s="3">
        <v>32.1</v>
      </c>
      <c r="J544" s="3">
        <v>10.7</v>
      </c>
      <c r="K544" s="3">
        <v>0.2</v>
      </c>
      <c r="L544" s="3">
        <v>6.7</v>
      </c>
      <c r="M544" t="str">
        <f>IF(acs2015_county_data[[#This Row],[PublicWork]]&gt;='Описательные характеристики'!$F$5,"да","нет")</f>
        <v>да</v>
      </c>
      <c r="N544" t="str">
        <f>IF(acs2015_county_data[[#This Row],[Unemployment]]&gt;='Описательные характеристики'!$I$5,"да","нет")</f>
        <v>нет</v>
      </c>
    </row>
    <row r="545" spans="1:14" x14ac:dyDescent="0.35">
      <c r="A545">
        <v>13317</v>
      </c>
      <c r="B545" t="s">
        <v>354</v>
      </c>
      <c r="C545" t="s">
        <v>461</v>
      </c>
      <c r="D545" s="2">
        <v>9991</v>
      </c>
      <c r="E545" s="2">
        <v>18392</v>
      </c>
      <c r="F545" s="3">
        <v>1.7</v>
      </c>
      <c r="G545" s="3">
        <v>3798</v>
      </c>
      <c r="H545" s="3">
        <v>73.5</v>
      </c>
      <c r="I545" s="3">
        <v>19.600000000000001</v>
      </c>
      <c r="J545" s="3">
        <v>6.9</v>
      </c>
      <c r="K545" s="3">
        <v>0</v>
      </c>
      <c r="L545" s="3">
        <v>8.9</v>
      </c>
      <c r="M545" t="str">
        <f>IF(acs2015_county_data[[#This Row],[PublicWork]]&gt;='Описательные характеристики'!$F$5,"да","нет")</f>
        <v>да</v>
      </c>
      <c r="N545" t="str">
        <f>IF(acs2015_county_data[[#This Row],[Unemployment]]&gt;='Описательные характеристики'!$I$5,"да","нет")</f>
        <v>да</v>
      </c>
    </row>
    <row r="546" spans="1:14" x14ac:dyDescent="0.35">
      <c r="A546">
        <v>13319</v>
      </c>
      <c r="B546" t="s">
        <v>354</v>
      </c>
      <c r="C546" t="s">
        <v>462</v>
      </c>
      <c r="D546" s="2">
        <v>9386</v>
      </c>
      <c r="E546" s="2">
        <v>18037</v>
      </c>
      <c r="F546" s="3">
        <v>2.2000000000000002</v>
      </c>
      <c r="G546" s="3">
        <v>3287</v>
      </c>
      <c r="H546" s="3">
        <v>73.400000000000006</v>
      </c>
      <c r="I546" s="3">
        <v>19.7</v>
      </c>
      <c r="J546" s="3">
        <v>6.7</v>
      </c>
      <c r="K546" s="3">
        <v>0.2</v>
      </c>
      <c r="L546" s="3">
        <v>7.3</v>
      </c>
      <c r="M546" t="str">
        <f>IF(acs2015_county_data[[#This Row],[PublicWork]]&gt;='Описательные характеристики'!$F$5,"да","нет")</f>
        <v>да</v>
      </c>
      <c r="N546" t="str">
        <f>IF(acs2015_county_data[[#This Row],[Unemployment]]&gt;='Описательные характеристики'!$I$5,"да","нет")</f>
        <v>нет</v>
      </c>
    </row>
    <row r="547" spans="1:14" x14ac:dyDescent="0.35">
      <c r="A547">
        <v>13321</v>
      </c>
      <c r="B547" t="s">
        <v>354</v>
      </c>
      <c r="C547" t="s">
        <v>463</v>
      </c>
      <c r="D547" s="2">
        <v>21156</v>
      </c>
      <c r="E547" s="2">
        <v>18762</v>
      </c>
      <c r="F547" s="3">
        <v>3.2</v>
      </c>
      <c r="G547" s="3">
        <v>8359</v>
      </c>
      <c r="H547" s="3">
        <v>75.8</v>
      </c>
      <c r="I547" s="3">
        <v>18.5</v>
      </c>
      <c r="J547" s="3">
        <v>5.7</v>
      </c>
      <c r="K547" s="3">
        <v>0</v>
      </c>
      <c r="L547" s="3">
        <v>9.8000000000000007</v>
      </c>
      <c r="M547" t="str">
        <f>IF(acs2015_county_data[[#This Row],[PublicWork]]&gt;='Описательные характеристики'!$F$5,"да","нет")</f>
        <v>да</v>
      </c>
      <c r="N547" t="str">
        <f>IF(acs2015_county_data[[#This Row],[Unemployment]]&gt;='Описательные характеристики'!$I$5,"да","нет")</f>
        <v>да</v>
      </c>
    </row>
    <row r="548" spans="1:14" x14ac:dyDescent="0.35">
      <c r="A548">
        <v>15001</v>
      </c>
      <c r="B548" t="s">
        <v>464</v>
      </c>
      <c r="C548" t="s">
        <v>464</v>
      </c>
      <c r="D548" s="2">
        <v>191482</v>
      </c>
      <c r="E548" s="2">
        <v>24548</v>
      </c>
      <c r="F548" s="3">
        <v>7.7</v>
      </c>
      <c r="G548" s="3">
        <v>82124</v>
      </c>
      <c r="H548" s="3">
        <v>69.7</v>
      </c>
      <c r="I548" s="3">
        <v>19.399999999999999</v>
      </c>
      <c r="J548" s="3">
        <v>10.3</v>
      </c>
      <c r="K548" s="3">
        <v>0.5</v>
      </c>
      <c r="L548" s="3">
        <v>8.1</v>
      </c>
      <c r="M548" t="str">
        <f>IF(acs2015_county_data[[#This Row],[PublicWork]]&gt;='Описательные характеристики'!$F$5,"да","нет")</f>
        <v>да</v>
      </c>
      <c r="N548" t="str">
        <f>IF(acs2015_county_data[[#This Row],[Unemployment]]&gt;='Описательные характеристики'!$I$5,"да","нет")</f>
        <v>да</v>
      </c>
    </row>
    <row r="549" spans="1:14" x14ac:dyDescent="0.35">
      <c r="A549">
        <v>15003</v>
      </c>
      <c r="B549" t="s">
        <v>464</v>
      </c>
      <c r="C549" t="s">
        <v>465</v>
      </c>
      <c r="D549" s="2">
        <v>984178</v>
      </c>
      <c r="E549" s="2">
        <v>31041</v>
      </c>
      <c r="F549" s="3">
        <v>3.7</v>
      </c>
      <c r="G549" s="3">
        <v>455481</v>
      </c>
      <c r="H549" s="3">
        <v>72</v>
      </c>
      <c r="I549" s="3">
        <v>22.1</v>
      </c>
      <c r="J549" s="3">
        <v>5.7</v>
      </c>
      <c r="K549" s="3">
        <v>0.1</v>
      </c>
      <c r="L549" s="3">
        <v>5.6</v>
      </c>
      <c r="M549" t="str">
        <f>IF(acs2015_county_data[[#This Row],[PublicWork]]&gt;='Описательные характеристики'!$F$5,"да","нет")</f>
        <v>да</v>
      </c>
      <c r="N549" t="str">
        <f>IF(acs2015_county_data[[#This Row],[Unemployment]]&gt;='Описательные характеристики'!$I$5,"да","нет")</f>
        <v>нет</v>
      </c>
    </row>
    <row r="550" spans="1:14" x14ac:dyDescent="0.35">
      <c r="A550">
        <v>15005</v>
      </c>
      <c r="B550" t="s">
        <v>464</v>
      </c>
      <c r="C550" t="s">
        <v>466</v>
      </c>
      <c r="D550" s="2">
        <v>85</v>
      </c>
      <c r="E550" s="2">
        <v>46769</v>
      </c>
      <c r="F550" s="3">
        <v>3</v>
      </c>
      <c r="G550" s="3">
        <v>64</v>
      </c>
      <c r="H550" s="3">
        <v>25</v>
      </c>
      <c r="I550" s="3">
        <v>64.099999999999994</v>
      </c>
      <c r="J550" s="3">
        <v>10.9</v>
      </c>
      <c r="K550" s="3">
        <v>0</v>
      </c>
      <c r="L550" s="3">
        <v>0</v>
      </c>
      <c r="M550" t="str">
        <f>IF(acs2015_county_data[[#This Row],[PublicWork]]&gt;='Описательные характеристики'!$F$5,"да","нет")</f>
        <v>да</v>
      </c>
      <c r="N550" t="str">
        <f>IF(acs2015_county_data[[#This Row],[Unemployment]]&gt;='Описательные характеристики'!$I$5,"да","нет")</f>
        <v>нет</v>
      </c>
    </row>
    <row r="551" spans="1:14" x14ac:dyDescent="0.35">
      <c r="A551">
        <v>15007</v>
      </c>
      <c r="B551" t="s">
        <v>464</v>
      </c>
      <c r="C551" t="s">
        <v>467</v>
      </c>
      <c r="D551" s="2">
        <v>69691</v>
      </c>
      <c r="E551" s="2">
        <v>27441</v>
      </c>
      <c r="F551" s="3">
        <v>6.1</v>
      </c>
      <c r="G551" s="3">
        <v>33996</v>
      </c>
      <c r="H551" s="3">
        <v>73</v>
      </c>
      <c r="I551" s="3">
        <v>16.399999999999999</v>
      </c>
      <c r="J551" s="3">
        <v>10.5</v>
      </c>
      <c r="K551" s="3">
        <v>0.1</v>
      </c>
      <c r="L551" s="3">
        <v>5.4</v>
      </c>
      <c r="M551" t="str">
        <f>IF(acs2015_county_data[[#This Row],[PublicWork]]&gt;='Описательные характеристики'!$F$5,"да","нет")</f>
        <v>да</v>
      </c>
      <c r="N551" t="str">
        <f>IF(acs2015_county_data[[#This Row],[Unemployment]]&gt;='Описательные характеристики'!$I$5,"да","нет")</f>
        <v>нет</v>
      </c>
    </row>
    <row r="552" spans="1:14" x14ac:dyDescent="0.35">
      <c r="A552">
        <v>15009</v>
      </c>
      <c r="B552" t="s">
        <v>464</v>
      </c>
      <c r="C552" t="s">
        <v>468</v>
      </c>
      <c r="D552" s="2">
        <v>160863</v>
      </c>
      <c r="E552" s="2">
        <v>29664</v>
      </c>
      <c r="F552" s="3">
        <v>6.1</v>
      </c>
      <c r="G552" s="3">
        <v>81619</v>
      </c>
      <c r="H552" s="3">
        <v>75.7</v>
      </c>
      <c r="I552" s="3">
        <v>15.1</v>
      </c>
      <c r="J552" s="3">
        <v>8.8000000000000007</v>
      </c>
      <c r="K552" s="3">
        <v>0.4</v>
      </c>
      <c r="L552" s="3">
        <v>6.9</v>
      </c>
      <c r="M552" t="str">
        <f>IF(acs2015_county_data[[#This Row],[PublicWork]]&gt;='Описательные характеристики'!$F$5,"да","нет")</f>
        <v>нет</v>
      </c>
      <c r="N552" t="str">
        <f>IF(acs2015_county_data[[#This Row],[Unemployment]]&gt;='Описательные характеристики'!$I$5,"да","нет")</f>
        <v>нет</v>
      </c>
    </row>
    <row r="553" spans="1:14" x14ac:dyDescent="0.35">
      <c r="A553">
        <v>16001</v>
      </c>
      <c r="B553" t="s">
        <v>469</v>
      </c>
      <c r="C553" t="s">
        <v>470</v>
      </c>
      <c r="D553" s="2">
        <v>417501</v>
      </c>
      <c r="E553" s="2">
        <v>28851</v>
      </c>
      <c r="F553" s="3">
        <v>6.9</v>
      </c>
      <c r="G553" s="3">
        <v>199955</v>
      </c>
      <c r="H553" s="3">
        <v>77.2</v>
      </c>
      <c r="I553" s="3">
        <v>15.8</v>
      </c>
      <c r="J553" s="3">
        <v>6.9</v>
      </c>
      <c r="K553" s="3">
        <v>0.1</v>
      </c>
      <c r="L553" s="3">
        <v>6.6</v>
      </c>
      <c r="M553" t="str">
        <f>IF(acs2015_county_data[[#This Row],[PublicWork]]&gt;='Описательные характеристики'!$F$5,"да","нет")</f>
        <v>нет</v>
      </c>
      <c r="N553" t="str">
        <f>IF(acs2015_county_data[[#This Row],[Unemployment]]&gt;='Описательные характеристики'!$I$5,"да","нет")</f>
        <v>нет</v>
      </c>
    </row>
    <row r="554" spans="1:14" x14ac:dyDescent="0.35">
      <c r="A554">
        <v>16003</v>
      </c>
      <c r="B554" t="s">
        <v>469</v>
      </c>
      <c r="C554" t="s">
        <v>237</v>
      </c>
      <c r="D554" s="2">
        <v>3880</v>
      </c>
      <c r="E554" s="2">
        <v>21219</v>
      </c>
      <c r="F554" s="3">
        <v>12</v>
      </c>
      <c r="G554" s="3">
        <v>1474</v>
      </c>
      <c r="H554" s="3">
        <v>60.4</v>
      </c>
      <c r="I554" s="3">
        <v>25.2</v>
      </c>
      <c r="J554" s="3">
        <v>14.2</v>
      </c>
      <c r="K554" s="3">
        <v>0.1</v>
      </c>
      <c r="L554" s="3">
        <v>11.3</v>
      </c>
      <c r="M554" t="str">
        <f>IF(acs2015_county_data[[#This Row],[PublicWork]]&gt;='Описательные характеристики'!$F$5,"да","нет")</f>
        <v>да</v>
      </c>
      <c r="N554" t="str">
        <f>IF(acs2015_county_data[[#This Row],[Unemployment]]&gt;='Описательные характеристики'!$I$5,"да","нет")</f>
        <v>да</v>
      </c>
    </row>
    <row r="555" spans="1:14" x14ac:dyDescent="0.35">
      <c r="A555">
        <v>16005</v>
      </c>
      <c r="B555" t="s">
        <v>469</v>
      </c>
      <c r="C555" t="s">
        <v>471</v>
      </c>
      <c r="D555" s="2">
        <v>83604</v>
      </c>
      <c r="E555" s="2">
        <v>21598</v>
      </c>
      <c r="F555" s="3">
        <v>3.8</v>
      </c>
      <c r="G555" s="3">
        <v>37206</v>
      </c>
      <c r="H555" s="3">
        <v>73</v>
      </c>
      <c r="I555" s="3">
        <v>20.8</v>
      </c>
      <c r="J555" s="3">
        <v>6</v>
      </c>
      <c r="K555" s="3">
        <v>0.2</v>
      </c>
      <c r="L555" s="3">
        <v>7.2</v>
      </c>
      <c r="M555" t="str">
        <f>IF(acs2015_county_data[[#This Row],[PublicWork]]&gt;='Описательные характеристики'!$F$5,"да","нет")</f>
        <v>да</v>
      </c>
      <c r="N555" t="str">
        <f>IF(acs2015_county_data[[#This Row],[Unemployment]]&gt;='Описательные характеристики'!$I$5,"да","нет")</f>
        <v>нет</v>
      </c>
    </row>
    <row r="556" spans="1:14" x14ac:dyDescent="0.35">
      <c r="A556">
        <v>16007</v>
      </c>
      <c r="B556" t="s">
        <v>469</v>
      </c>
      <c r="C556" t="s">
        <v>472</v>
      </c>
      <c r="D556" s="2">
        <v>5939</v>
      </c>
      <c r="E556" s="2">
        <v>22959</v>
      </c>
      <c r="F556" s="3">
        <v>5.2</v>
      </c>
      <c r="G556" s="3">
        <v>2598</v>
      </c>
      <c r="H556" s="3">
        <v>71.5</v>
      </c>
      <c r="I556" s="3">
        <v>17.899999999999999</v>
      </c>
      <c r="J556" s="3">
        <v>10.3</v>
      </c>
      <c r="K556" s="3">
        <v>0.2</v>
      </c>
      <c r="L556" s="3">
        <v>3.3</v>
      </c>
      <c r="M556" t="str">
        <f>IF(acs2015_county_data[[#This Row],[PublicWork]]&gt;='Описательные характеристики'!$F$5,"да","нет")</f>
        <v>да</v>
      </c>
      <c r="N556" t="str">
        <f>IF(acs2015_county_data[[#This Row],[Unemployment]]&gt;='Описательные характеристики'!$I$5,"да","нет")</f>
        <v>нет</v>
      </c>
    </row>
    <row r="557" spans="1:14" x14ac:dyDescent="0.35">
      <c r="A557">
        <v>16009</v>
      </c>
      <c r="B557" t="s">
        <v>469</v>
      </c>
      <c r="C557" t="s">
        <v>473</v>
      </c>
      <c r="D557" s="2">
        <v>9088</v>
      </c>
      <c r="E557" s="2">
        <v>20937</v>
      </c>
      <c r="F557" s="3">
        <v>3.9</v>
      </c>
      <c r="G557" s="3">
        <v>3600</v>
      </c>
      <c r="H557" s="3">
        <v>71.3</v>
      </c>
      <c r="I557" s="3">
        <v>21.8</v>
      </c>
      <c r="J557" s="3">
        <v>6.7</v>
      </c>
      <c r="K557" s="3">
        <v>0.2</v>
      </c>
      <c r="L557" s="3">
        <v>10.1</v>
      </c>
      <c r="M557" t="str">
        <f>IF(acs2015_county_data[[#This Row],[PublicWork]]&gt;='Описательные характеристики'!$F$5,"да","нет")</f>
        <v>да</v>
      </c>
      <c r="N557" t="str">
        <f>IF(acs2015_county_data[[#This Row],[Unemployment]]&gt;='Описательные характеристики'!$I$5,"да","нет")</f>
        <v>да</v>
      </c>
    </row>
    <row r="558" spans="1:14" x14ac:dyDescent="0.35">
      <c r="A558">
        <v>16011</v>
      </c>
      <c r="B558" t="s">
        <v>469</v>
      </c>
      <c r="C558" t="s">
        <v>474</v>
      </c>
      <c r="D558" s="2">
        <v>45407</v>
      </c>
      <c r="E558" s="2">
        <v>20164</v>
      </c>
      <c r="F558" s="3">
        <v>4</v>
      </c>
      <c r="G558" s="3">
        <v>19121</v>
      </c>
      <c r="H558" s="3">
        <v>72.7</v>
      </c>
      <c r="I558" s="3">
        <v>19.5</v>
      </c>
      <c r="J558" s="3">
        <v>7.4</v>
      </c>
      <c r="K558" s="3">
        <v>0.5</v>
      </c>
      <c r="L558" s="3">
        <v>7.1</v>
      </c>
      <c r="M558" t="str">
        <f>IF(acs2015_county_data[[#This Row],[PublicWork]]&gt;='Описательные характеристики'!$F$5,"да","нет")</f>
        <v>да</v>
      </c>
      <c r="N558" t="str">
        <f>IF(acs2015_county_data[[#This Row],[Unemployment]]&gt;='Описательные характеристики'!$I$5,"да","нет")</f>
        <v>нет</v>
      </c>
    </row>
    <row r="559" spans="1:14" x14ac:dyDescent="0.35">
      <c r="A559">
        <v>16013</v>
      </c>
      <c r="B559" t="s">
        <v>469</v>
      </c>
      <c r="C559" t="s">
        <v>475</v>
      </c>
      <c r="D559" s="2">
        <v>21309</v>
      </c>
      <c r="E559" s="2">
        <v>34208</v>
      </c>
      <c r="F559" s="3">
        <v>9.4</v>
      </c>
      <c r="G559" s="3">
        <v>11941</v>
      </c>
      <c r="H559" s="3">
        <v>73.2</v>
      </c>
      <c r="I559" s="3">
        <v>14</v>
      </c>
      <c r="J559" s="3">
        <v>12.6</v>
      </c>
      <c r="K559" s="3">
        <v>0.2</v>
      </c>
      <c r="L559" s="3">
        <v>4.0999999999999996</v>
      </c>
      <c r="M559" t="str">
        <f>IF(acs2015_county_data[[#This Row],[PublicWork]]&gt;='Описательные характеристики'!$F$5,"да","нет")</f>
        <v>нет</v>
      </c>
      <c r="N559" t="str">
        <f>IF(acs2015_county_data[[#This Row],[Unemployment]]&gt;='Описательные характеристики'!$I$5,"да","нет")</f>
        <v>нет</v>
      </c>
    </row>
    <row r="560" spans="1:14" x14ac:dyDescent="0.35">
      <c r="A560">
        <v>16015</v>
      </c>
      <c r="B560" t="s">
        <v>469</v>
      </c>
      <c r="C560" t="s">
        <v>476</v>
      </c>
      <c r="D560" s="2">
        <v>6885</v>
      </c>
      <c r="E560" s="2">
        <v>27276</v>
      </c>
      <c r="F560" s="3">
        <v>12.9</v>
      </c>
      <c r="G560" s="3">
        <v>2768</v>
      </c>
      <c r="H560" s="3">
        <v>62.7</v>
      </c>
      <c r="I560" s="3">
        <v>25.8</v>
      </c>
      <c r="J560" s="3">
        <v>11.2</v>
      </c>
      <c r="K560" s="3">
        <v>0.3</v>
      </c>
      <c r="L560" s="3">
        <v>10.5</v>
      </c>
      <c r="M560" t="str">
        <f>IF(acs2015_county_data[[#This Row],[PublicWork]]&gt;='Описательные характеристики'!$F$5,"да","нет")</f>
        <v>да</v>
      </c>
      <c r="N560" t="str">
        <f>IF(acs2015_county_data[[#This Row],[Unemployment]]&gt;='Описательные характеристики'!$I$5,"да","нет")</f>
        <v>да</v>
      </c>
    </row>
    <row r="561" spans="1:14" x14ac:dyDescent="0.35">
      <c r="A561">
        <v>16017</v>
      </c>
      <c r="B561" t="s">
        <v>469</v>
      </c>
      <c r="C561" t="s">
        <v>477</v>
      </c>
      <c r="D561" s="2">
        <v>41066</v>
      </c>
      <c r="E561" s="2">
        <v>23981</v>
      </c>
      <c r="F561" s="3">
        <v>7.2</v>
      </c>
      <c r="G561" s="3">
        <v>16399</v>
      </c>
      <c r="H561" s="3">
        <v>74.599999999999994</v>
      </c>
      <c r="I561" s="3">
        <v>13.1</v>
      </c>
      <c r="J561" s="3">
        <v>12.2</v>
      </c>
      <c r="K561" s="3">
        <v>0</v>
      </c>
      <c r="L561" s="3">
        <v>6.2</v>
      </c>
      <c r="M561" t="str">
        <f>IF(acs2015_county_data[[#This Row],[PublicWork]]&gt;='Описательные характеристики'!$F$5,"да","нет")</f>
        <v>нет</v>
      </c>
      <c r="N561" t="str">
        <f>IF(acs2015_county_data[[#This Row],[Unemployment]]&gt;='Описательные характеристики'!$I$5,"да","нет")</f>
        <v>нет</v>
      </c>
    </row>
    <row r="562" spans="1:14" x14ac:dyDescent="0.35">
      <c r="A562">
        <v>16019</v>
      </c>
      <c r="B562" t="s">
        <v>469</v>
      </c>
      <c r="C562" t="s">
        <v>478</v>
      </c>
      <c r="D562" s="2">
        <v>107788</v>
      </c>
      <c r="E562" s="2">
        <v>23926</v>
      </c>
      <c r="F562" s="3">
        <v>4</v>
      </c>
      <c r="G562" s="3">
        <v>47191</v>
      </c>
      <c r="H562" s="3">
        <v>78</v>
      </c>
      <c r="I562" s="3">
        <v>15.2</v>
      </c>
      <c r="J562" s="3">
        <v>6.6</v>
      </c>
      <c r="K562" s="3">
        <v>0.3</v>
      </c>
      <c r="L562" s="3">
        <v>5.6</v>
      </c>
      <c r="M562" t="str">
        <f>IF(acs2015_county_data[[#This Row],[PublicWork]]&gt;='Описательные характеристики'!$F$5,"да","нет")</f>
        <v>нет</v>
      </c>
      <c r="N562" t="str">
        <f>IF(acs2015_county_data[[#This Row],[Unemployment]]&gt;='Описательные характеристики'!$I$5,"да","нет")</f>
        <v>нет</v>
      </c>
    </row>
    <row r="563" spans="1:14" x14ac:dyDescent="0.35">
      <c r="A563">
        <v>16021</v>
      </c>
      <c r="B563" t="s">
        <v>469</v>
      </c>
      <c r="C563" t="s">
        <v>479</v>
      </c>
      <c r="D563" s="2">
        <v>10961</v>
      </c>
      <c r="E563" s="2">
        <v>20795</v>
      </c>
      <c r="F563" s="3">
        <v>7.7</v>
      </c>
      <c r="G563" s="3">
        <v>3888</v>
      </c>
      <c r="H563" s="3">
        <v>71.7</v>
      </c>
      <c r="I563" s="3">
        <v>16.8</v>
      </c>
      <c r="J563" s="3">
        <v>11.1</v>
      </c>
      <c r="K563" s="3">
        <v>0.4</v>
      </c>
      <c r="L563" s="3">
        <v>4.7</v>
      </c>
      <c r="M563" t="str">
        <f>IF(acs2015_county_data[[#This Row],[PublicWork]]&gt;='Описательные характеристики'!$F$5,"да","нет")</f>
        <v>да</v>
      </c>
      <c r="N563" t="str">
        <f>IF(acs2015_county_data[[#This Row],[Unemployment]]&gt;='Описательные характеристики'!$I$5,"да","нет")</f>
        <v>нет</v>
      </c>
    </row>
    <row r="564" spans="1:14" x14ac:dyDescent="0.35">
      <c r="A564">
        <v>16023</v>
      </c>
      <c r="B564" t="s">
        <v>469</v>
      </c>
      <c r="C564" t="s">
        <v>183</v>
      </c>
      <c r="D564" s="2">
        <v>2653</v>
      </c>
      <c r="E564" s="2">
        <v>21982</v>
      </c>
      <c r="F564" s="3">
        <v>4</v>
      </c>
      <c r="G564" s="3">
        <v>960</v>
      </c>
      <c r="H564" s="3">
        <v>64.599999999999994</v>
      </c>
      <c r="I564" s="3">
        <v>27.9</v>
      </c>
      <c r="J564" s="3">
        <v>7.4</v>
      </c>
      <c r="K564" s="3">
        <v>0.1</v>
      </c>
      <c r="L564" s="3">
        <v>6.8</v>
      </c>
      <c r="M564" t="str">
        <f>IF(acs2015_county_data[[#This Row],[PublicWork]]&gt;='Описательные характеристики'!$F$5,"да","нет")</f>
        <v>да</v>
      </c>
      <c r="N564" t="str">
        <f>IF(acs2015_county_data[[#This Row],[Unemployment]]&gt;='Описательные характеристики'!$I$5,"да","нет")</f>
        <v>нет</v>
      </c>
    </row>
    <row r="565" spans="1:14" x14ac:dyDescent="0.35">
      <c r="A565">
        <v>16025</v>
      </c>
      <c r="B565" t="s">
        <v>469</v>
      </c>
      <c r="C565" t="s">
        <v>480</v>
      </c>
      <c r="D565" s="2">
        <v>1052</v>
      </c>
      <c r="E565" s="2">
        <v>24588</v>
      </c>
      <c r="F565" s="3">
        <v>6.9</v>
      </c>
      <c r="G565" s="3">
        <v>500</v>
      </c>
      <c r="H565" s="3">
        <v>66</v>
      </c>
      <c r="I565" s="3">
        <v>21.8</v>
      </c>
      <c r="J565" s="3">
        <v>11.2</v>
      </c>
      <c r="K565" s="3">
        <v>1</v>
      </c>
      <c r="L565" s="3">
        <v>5.8</v>
      </c>
      <c r="M565" t="str">
        <f>IF(acs2015_county_data[[#This Row],[PublicWork]]&gt;='Описательные характеристики'!$F$5,"да","нет")</f>
        <v>да</v>
      </c>
      <c r="N565" t="str">
        <f>IF(acs2015_county_data[[#This Row],[Unemployment]]&gt;='Описательные характеристики'!$I$5,"да","нет")</f>
        <v>нет</v>
      </c>
    </row>
    <row r="566" spans="1:14" x14ac:dyDescent="0.35">
      <c r="A566">
        <v>16027</v>
      </c>
      <c r="B566" t="s">
        <v>469</v>
      </c>
      <c r="C566" t="s">
        <v>481</v>
      </c>
      <c r="D566" s="2">
        <v>198921</v>
      </c>
      <c r="E566" s="2">
        <v>17915</v>
      </c>
      <c r="F566" s="3">
        <v>6.6</v>
      </c>
      <c r="G566" s="3">
        <v>81460</v>
      </c>
      <c r="H566" s="3">
        <v>79.8</v>
      </c>
      <c r="I566" s="3">
        <v>12.7</v>
      </c>
      <c r="J566" s="3">
        <v>7.2</v>
      </c>
      <c r="K566" s="3">
        <v>0.3</v>
      </c>
      <c r="L566" s="3">
        <v>9.4</v>
      </c>
      <c r="M566" t="str">
        <f>IF(acs2015_county_data[[#This Row],[PublicWork]]&gt;='Описательные характеристики'!$F$5,"да","нет")</f>
        <v>нет</v>
      </c>
      <c r="N566" t="str">
        <f>IF(acs2015_county_data[[#This Row],[Unemployment]]&gt;='Описательные характеристики'!$I$5,"да","нет")</f>
        <v>да</v>
      </c>
    </row>
    <row r="567" spans="1:14" x14ac:dyDescent="0.35">
      <c r="A567">
        <v>16029</v>
      </c>
      <c r="B567" t="s">
        <v>469</v>
      </c>
      <c r="C567" t="s">
        <v>482</v>
      </c>
      <c r="D567" s="2">
        <v>6808</v>
      </c>
      <c r="E567" s="2">
        <v>25172</v>
      </c>
      <c r="F567" s="3">
        <v>4.2</v>
      </c>
      <c r="G567" s="3">
        <v>3121</v>
      </c>
      <c r="H567" s="3">
        <v>72.400000000000006</v>
      </c>
      <c r="I567" s="3">
        <v>18.2</v>
      </c>
      <c r="J567" s="3">
        <v>8.1999999999999993</v>
      </c>
      <c r="K567" s="3">
        <v>1.2</v>
      </c>
      <c r="L567" s="3">
        <v>1.5</v>
      </c>
      <c r="M567" t="str">
        <f>IF(acs2015_county_data[[#This Row],[PublicWork]]&gt;='Описательные характеристики'!$F$5,"да","нет")</f>
        <v>да</v>
      </c>
      <c r="N567" t="str">
        <f>IF(acs2015_county_data[[#This Row],[Unemployment]]&gt;='Описательные характеристики'!$I$5,"да","нет")</f>
        <v>нет</v>
      </c>
    </row>
    <row r="568" spans="1:14" x14ac:dyDescent="0.35">
      <c r="A568">
        <v>16031</v>
      </c>
      <c r="B568" t="s">
        <v>469</v>
      </c>
      <c r="C568" t="s">
        <v>483</v>
      </c>
      <c r="D568" s="2">
        <v>23369</v>
      </c>
      <c r="E568" s="2">
        <v>18227</v>
      </c>
      <c r="F568" s="3">
        <v>4.2</v>
      </c>
      <c r="G568" s="3">
        <v>9771</v>
      </c>
      <c r="H568" s="3">
        <v>79.8</v>
      </c>
      <c r="I568" s="3">
        <v>12.4</v>
      </c>
      <c r="J568" s="3">
        <v>7.7</v>
      </c>
      <c r="K568" s="3">
        <v>0.1</v>
      </c>
      <c r="L568" s="3">
        <v>5.7</v>
      </c>
      <c r="M568" t="str">
        <f>IF(acs2015_county_data[[#This Row],[PublicWork]]&gt;='Описательные характеристики'!$F$5,"да","нет")</f>
        <v>нет</v>
      </c>
      <c r="N568" t="str">
        <f>IF(acs2015_county_data[[#This Row],[Unemployment]]&gt;='Описательные характеристики'!$I$5,"да","нет")</f>
        <v>нет</v>
      </c>
    </row>
    <row r="569" spans="1:14" x14ac:dyDescent="0.35">
      <c r="A569">
        <v>16033</v>
      </c>
      <c r="B569" t="s">
        <v>469</v>
      </c>
      <c r="C569" t="s">
        <v>1995</v>
      </c>
      <c r="D569" s="2">
        <v>901</v>
      </c>
      <c r="E569" s="2">
        <v>15151</v>
      </c>
      <c r="F569" s="3">
        <v>3.8</v>
      </c>
      <c r="G569" s="3">
        <v>442</v>
      </c>
      <c r="H569" s="3">
        <v>74.400000000000006</v>
      </c>
      <c r="I569" s="3">
        <v>21.5</v>
      </c>
      <c r="J569" s="3">
        <v>3.4</v>
      </c>
      <c r="K569" s="3">
        <v>0.7</v>
      </c>
      <c r="L569" s="3">
        <v>3.9</v>
      </c>
      <c r="M569" t="str">
        <f>IF(acs2015_county_data[[#This Row],[PublicWork]]&gt;='Описательные характеристики'!$F$5,"да","нет")</f>
        <v>да</v>
      </c>
      <c r="N569" t="str">
        <f>IF(acs2015_county_data[[#This Row],[Unemployment]]&gt;='Описательные характеристики'!$I$5,"да","нет")</f>
        <v>нет</v>
      </c>
    </row>
    <row r="570" spans="1:14" x14ac:dyDescent="0.35">
      <c r="A570">
        <v>16035</v>
      </c>
      <c r="B570" t="s">
        <v>469</v>
      </c>
      <c r="C570" t="s">
        <v>484</v>
      </c>
      <c r="D570" s="2">
        <v>8560</v>
      </c>
      <c r="E570" s="2">
        <v>20079</v>
      </c>
      <c r="F570" s="3">
        <v>6.6</v>
      </c>
      <c r="G570" s="3">
        <v>2877</v>
      </c>
      <c r="H570" s="3">
        <v>65.5</v>
      </c>
      <c r="I570" s="3">
        <v>23.3</v>
      </c>
      <c r="J570" s="3">
        <v>10.199999999999999</v>
      </c>
      <c r="K570" s="3">
        <v>0.9</v>
      </c>
      <c r="L570" s="3">
        <v>7.3</v>
      </c>
      <c r="M570" t="str">
        <f>IF(acs2015_county_data[[#This Row],[PublicWork]]&gt;='Описательные характеристики'!$F$5,"да","нет")</f>
        <v>да</v>
      </c>
      <c r="N570" t="str">
        <f>IF(acs2015_county_data[[#This Row],[Unemployment]]&gt;='Описательные характеристики'!$I$5,"да","нет")</f>
        <v>нет</v>
      </c>
    </row>
    <row r="571" spans="1:14" x14ac:dyDescent="0.35">
      <c r="A571">
        <v>16037</v>
      </c>
      <c r="B571" t="s">
        <v>469</v>
      </c>
      <c r="C571" t="s">
        <v>485</v>
      </c>
      <c r="D571" s="2">
        <v>4234</v>
      </c>
      <c r="E571" s="2">
        <v>22861</v>
      </c>
      <c r="F571" s="3">
        <v>8.6</v>
      </c>
      <c r="G571" s="3">
        <v>1784</v>
      </c>
      <c r="H571" s="3">
        <v>65.7</v>
      </c>
      <c r="I571" s="3">
        <v>20.9</v>
      </c>
      <c r="J571" s="3">
        <v>12.4</v>
      </c>
      <c r="K571" s="3">
        <v>1.1000000000000001</v>
      </c>
      <c r="L571" s="3">
        <v>3.3</v>
      </c>
      <c r="M571" t="str">
        <f>IF(acs2015_county_data[[#This Row],[PublicWork]]&gt;='Описательные характеристики'!$F$5,"да","нет")</f>
        <v>да</v>
      </c>
      <c r="N571" t="str">
        <f>IF(acs2015_county_data[[#This Row],[Unemployment]]&gt;='Описательные характеристики'!$I$5,"да","нет")</f>
        <v>нет</v>
      </c>
    </row>
    <row r="572" spans="1:14" x14ac:dyDescent="0.35">
      <c r="A572">
        <v>16039</v>
      </c>
      <c r="B572" t="s">
        <v>469</v>
      </c>
      <c r="C572" t="s">
        <v>39</v>
      </c>
      <c r="D572" s="2">
        <v>26175</v>
      </c>
      <c r="E572" s="2">
        <v>21326</v>
      </c>
      <c r="F572" s="3">
        <v>4.3</v>
      </c>
      <c r="G572" s="3">
        <v>9981</v>
      </c>
      <c r="H572" s="3">
        <v>60</v>
      </c>
      <c r="I572" s="3">
        <v>32.5</v>
      </c>
      <c r="J572" s="3">
        <v>7.3</v>
      </c>
      <c r="K572" s="3">
        <v>0.3</v>
      </c>
      <c r="L572" s="3">
        <v>8.4</v>
      </c>
      <c r="M572" t="str">
        <f>IF(acs2015_county_data[[#This Row],[PublicWork]]&gt;='Описательные характеристики'!$F$5,"да","нет")</f>
        <v>да</v>
      </c>
      <c r="N572" t="str">
        <f>IF(acs2015_county_data[[#This Row],[Unemployment]]&gt;='Описательные характеристики'!$I$5,"да","нет")</f>
        <v>да</v>
      </c>
    </row>
    <row r="573" spans="1:14" x14ac:dyDescent="0.35">
      <c r="A573">
        <v>16041</v>
      </c>
      <c r="B573" t="s">
        <v>469</v>
      </c>
      <c r="C573" t="s">
        <v>43</v>
      </c>
      <c r="D573" s="2">
        <v>12914</v>
      </c>
      <c r="E573" s="2">
        <v>18855</v>
      </c>
      <c r="F573" s="3">
        <v>5.4</v>
      </c>
      <c r="G573" s="3">
        <v>5401</v>
      </c>
      <c r="H573" s="3">
        <v>81.3</v>
      </c>
      <c r="I573" s="3">
        <v>11.9</v>
      </c>
      <c r="J573" s="3">
        <v>6.4</v>
      </c>
      <c r="K573" s="3">
        <v>0.3</v>
      </c>
      <c r="L573" s="3">
        <v>5</v>
      </c>
      <c r="M573" t="str">
        <f>IF(acs2015_county_data[[#This Row],[PublicWork]]&gt;='Описательные характеристики'!$F$5,"да","нет")</f>
        <v>нет</v>
      </c>
      <c r="N573" t="str">
        <f>IF(acs2015_county_data[[#This Row],[Unemployment]]&gt;='Описательные характеристики'!$I$5,"да","нет")</f>
        <v>нет</v>
      </c>
    </row>
    <row r="574" spans="1:14" x14ac:dyDescent="0.35">
      <c r="A574">
        <v>16043</v>
      </c>
      <c r="B574" t="s">
        <v>469</v>
      </c>
      <c r="C574" t="s">
        <v>258</v>
      </c>
      <c r="D574" s="2">
        <v>12945</v>
      </c>
      <c r="E574" s="2">
        <v>20302</v>
      </c>
      <c r="F574" s="3">
        <v>6.4</v>
      </c>
      <c r="G574" s="3">
        <v>5305</v>
      </c>
      <c r="H574" s="3">
        <v>71.2</v>
      </c>
      <c r="I574" s="3">
        <v>18.899999999999999</v>
      </c>
      <c r="J574" s="3">
        <v>9.6</v>
      </c>
      <c r="K574" s="3">
        <v>0.4</v>
      </c>
      <c r="L574" s="3">
        <v>6</v>
      </c>
      <c r="M574" t="str">
        <f>IF(acs2015_county_data[[#This Row],[PublicWork]]&gt;='Описательные характеристики'!$F$5,"да","нет")</f>
        <v>да</v>
      </c>
      <c r="N574" t="str">
        <f>IF(acs2015_county_data[[#This Row],[Unemployment]]&gt;='Описательные характеристики'!$I$5,"да","нет")</f>
        <v>нет</v>
      </c>
    </row>
    <row r="575" spans="1:14" x14ac:dyDescent="0.35">
      <c r="A575">
        <v>16045</v>
      </c>
      <c r="B575" t="s">
        <v>469</v>
      </c>
      <c r="C575" t="s">
        <v>486</v>
      </c>
      <c r="D575" s="2">
        <v>16731</v>
      </c>
      <c r="E575" s="2">
        <v>19726</v>
      </c>
      <c r="F575" s="3">
        <v>10</v>
      </c>
      <c r="G575" s="3">
        <v>5789</v>
      </c>
      <c r="H575" s="3">
        <v>67.2</v>
      </c>
      <c r="I575" s="3">
        <v>20.5</v>
      </c>
      <c r="J575" s="3">
        <v>10.8</v>
      </c>
      <c r="K575" s="3">
        <v>1.5</v>
      </c>
      <c r="L575" s="3">
        <v>14.2</v>
      </c>
      <c r="M575" t="str">
        <f>IF(acs2015_county_data[[#This Row],[PublicWork]]&gt;='Описательные характеристики'!$F$5,"да","нет")</f>
        <v>да</v>
      </c>
      <c r="N575" t="str">
        <f>IF(acs2015_county_data[[#This Row],[Unemployment]]&gt;='Описательные характеристики'!$I$5,"да","нет")</f>
        <v>да</v>
      </c>
    </row>
    <row r="576" spans="1:14" x14ac:dyDescent="0.35">
      <c r="A576">
        <v>16047</v>
      </c>
      <c r="B576" t="s">
        <v>469</v>
      </c>
      <c r="C576" t="s">
        <v>487</v>
      </c>
      <c r="D576" s="2">
        <v>15233</v>
      </c>
      <c r="E576" s="2">
        <v>19688</v>
      </c>
      <c r="F576" s="3">
        <v>5.7</v>
      </c>
      <c r="G576" s="3">
        <v>6844</v>
      </c>
      <c r="H576" s="3">
        <v>78.8</v>
      </c>
      <c r="I576" s="3">
        <v>10.6</v>
      </c>
      <c r="J576" s="3">
        <v>9.6</v>
      </c>
      <c r="K576" s="3">
        <v>1</v>
      </c>
      <c r="L576" s="3">
        <v>3.8</v>
      </c>
      <c r="M576" t="str">
        <f>IF(acs2015_county_data[[#This Row],[PublicWork]]&gt;='Описательные характеристики'!$F$5,"да","нет")</f>
        <v>нет</v>
      </c>
      <c r="N576" t="str">
        <f>IF(acs2015_county_data[[#This Row],[Unemployment]]&gt;='Описательные характеристики'!$I$5,"да","нет")</f>
        <v>нет</v>
      </c>
    </row>
    <row r="577" spans="1:14" x14ac:dyDescent="0.35">
      <c r="A577">
        <v>16049</v>
      </c>
      <c r="B577" t="s">
        <v>469</v>
      </c>
      <c r="C577" t="s">
        <v>469</v>
      </c>
      <c r="D577" s="2">
        <v>16312</v>
      </c>
      <c r="E577" s="2">
        <v>19611</v>
      </c>
      <c r="F577" s="3">
        <v>9.3000000000000007</v>
      </c>
      <c r="G577" s="3">
        <v>6526</v>
      </c>
      <c r="H577" s="3">
        <v>64.7</v>
      </c>
      <c r="I577" s="3">
        <v>21.7</v>
      </c>
      <c r="J577" s="3">
        <v>13.2</v>
      </c>
      <c r="K577" s="3">
        <v>0.4</v>
      </c>
      <c r="L577" s="3">
        <v>6.4</v>
      </c>
      <c r="M577" t="str">
        <f>IF(acs2015_county_data[[#This Row],[PublicWork]]&gt;='Описательные характеристики'!$F$5,"да","нет")</f>
        <v>да</v>
      </c>
      <c r="N577" t="str">
        <f>IF(acs2015_county_data[[#This Row],[Unemployment]]&gt;='Описательные характеристики'!$I$5,"да","нет")</f>
        <v>нет</v>
      </c>
    </row>
    <row r="578" spans="1:14" x14ac:dyDescent="0.35">
      <c r="A578">
        <v>16051</v>
      </c>
      <c r="B578" t="s">
        <v>469</v>
      </c>
      <c r="C578" t="s">
        <v>50</v>
      </c>
      <c r="D578" s="2">
        <v>26792</v>
      </c>
      <c r="E578" s="2">
        <v>19501</v>
      </c>
      <c r="F578" s="3">
        <v>4.5999999999999996</v>
      </c>
      <c r="G578" s="3">
        <v>11157</v>
      </c>
      <c r="H578" s="3">
        <v>76.599999999999994</v>
      </c>
      <c r="I578" s="3">
        <v>16.600000000000001</v>
      </c>
      <c r="J578" s="3">
        <v>6.7</v>
      </c>
      <c r="K578" s="3">
        <v>0.2</v>
      </c>
      <c r="L578" s="3">
        <v>6.1</v>
      </c>
      <c r="M578" t="str">
        <f>IF(acs2015_county_data[[#This Row],[PublicWork]]&gt;='Описательные характеристики'!$F$5,"да","нет")</f>
        <v>да</v>
      </c>
      <c r="N578" t="str">
        <f>IF(acs2015_county_data[[#This Row],[Unemployment]]&gt;='Описательные характеристики'!$I$5,"да","нет")</f>
        <v>нет</v>
      </c>
    </row>
    <row r="579" spans="1:14" x14ac:dyDescent="0.35">
      <c r="A579">
        <v>16053</v>
      </c>
      <c r="B579" t="s">
        <v>469</v>
      </c>
      <c r="C579" t="s">
        <v>488</v>
      </c>
      <c r="D579" s="2">
        <v>22653</v>
      </c>
      <c r="E579" s="2">
        <v>17708</v>
      </c>
      <c r="F579" s="3">
        <v>2.5</v>
      </c>
      <c r="G579" s="3">
        <v>9641</v>
      </c>
      <c r="H579" s="3">
        <v>82.6</v>
      </c>
      <c r="I579" s="3">
        <v>10</v>
      </c>
      <c r="J579" s="3">
        <v>6.9</v>
      </c>
      <c r="K579" s="3">
        <v>0.5</v>
      </c>
      <c r="L579" s="3">
        <v>6.6</v>
      </c>
      <c r="M579" t="str">
        <f>IF(acs2015_county_data[[#This Row],[PublicWork]]&gt;='Описательные характеристики'!$F$5,"да","нет")</f>
        <v>нет</v>
      </c>
      <c r="N579" t="str">
        <f>IF(acs2015_county_data[[#This Row],[Unemployment]]&gt;='Описательные характеристики'!$I$5,"да","нет")</f>
        <v>нет</v>
      </c>
    </row>
    <row r="580" spans="1:14" x14ac:dyDescent="0.35">
      <c r="A580">
        <v>16055</v>
      </c>
      <c r="B580" t="s">
        <v>469</v>
      </c>
      <c r="C580" t="s">
        <v>489</v>
      </c>
      <c r="D580" s="2">
        <v>145046</v>
      </c>
      <c r="E580" s="2">
        <v>25744</v>
      </c>
      <c r="F580" s="3">
        <v>6</v>
      </c>
      <c r="G580" s="3">
        <v>65216</v>
      </c>
      <c r="H580" s="3">
        <v>79.7</v>
      </c>
      <c r="I580" s="3">
        <v>12.1</v>
      </c>
      <c r="J580" s="3">
        <v>8</v>
      </c>
      <c r="K580" s="3">
        <v>0.3</v>
      </c>
      <c r="L580" s="3">
        <v>7.9</v>
      </c>
      <c r="M580" t="str">
        <f>IF(acs2015_county_data[[#This Row],[PublicWork]]&gt;='Описательные характеристики'!$F$5,"да","нет")</f>
        <v>нет</v>
      </c>
      <c r="N580" t="str">
        <f>IF(acs2015_county_data[[#This Row],[Unemployment]]&gt;='Описательные характеристики'!$I$5,"да","нет")</f>
        <v>да</v>
      </c>
    </row>
    <row r="581" spans="1:14" x14ac:dyDescent="0.35">
      <c r="A581">
        <v>16057</v>
      </c>
      <c r="B581" t="s">
        <v>469</v>
      </c>
      <c r="C581" t="s">
        <v>490</v>
      </c>
      <c r="D581" s="2">
        <v>38339</v>
      </c>
      <c r="E581" s="2">
        <v>22766</v>
      </c>
      <c r="F581" s="3">
        <v>5.3</v>
      </c>
      <c r="G581" s="3">
        <v>18842</v>
      </c>
      <c r="H581" s="3">
        <v>62.1</v>
      </c>
      <c r="I581" s="3">
        <v>30.5</v>
      </c>
      <c r="J581" s="3">
        <v>7.2</v>
      </c>
      <c r="K581" s="3">
        <v>0.2</v>
      </c>
      <c r="L581" s="3">
        <v>7.6</v>
      </c>
      <c r="M581" t="str">
        <f>IF(acs2015_county_data[[#This Row],[PublicWork]]&gt;='Описательные характеристики'!$F$5,"да","нет")</f>
        <v>да</v>
      </c>
      <c r="N581" t="str">
        <f>IF(acs2015_county_data[[#This Row],[Unemployment]]&gt;='Описательные характеристики'!$I$5,"да","нет")</f>
        <v>да</v>
      </c>
    </row>
    <row r="582" spans="1:14" x14ac:dyDescent="0.35">
      <c r="A582">
        <v>16059</v>
      </c>
      <c r="B582" t="s">
        <v>469</v>
      </c>
      <c r="C582" t="s">
        <v>491</v>
      </c>
      <c r="D582" s="2">
        <v>7790</v>
      </c>
      <c r="E582" s="2">
        <v>22134</v>
      </c>
      <c r="F582" s="3">
        <v>10.8</v>
      </c>
      <c r="G582" s="3">
        <v>3165</v>
      </c>
      <c r="H582" s="3">
        <v>61.5</v>
      </c>
      <c r="I582" s="3">
        <v>23.2</v>
      </c>
      <c r="J582" s="3">
        <v>14.6</v>
      </c>
      <c r="K582" s="3">
        <v>0.6</v>
      </c>
      <c r="L582" s="3">
        <v>6.1</v>
      </c>
      <c r="M582" t="str">
        <f>IF(acs2015_county_data[[#This Row],[PublicWork]]&gt;='Описательные характеристики'!$F$5,"да","нет")</f>
        <v>да</v>
      </c>
      <c r="N582" t="str">
        <f>IF(acs2015_county_data[[#This Row],[Unemployment]]&gt;='Описательные характеристики'!$I$5,"да","нет")</f>
        <v>нет</v>
      </c>
    </row>
    <row r="583" spans="1:14" x14ac:dyDescent="0.35">
      <c r="A583">
        <v>16061</v>
      </c>
      <c r="B583" t="s">
        <v>469</v>
      </c>
      <c r="C583" t="s">
        <v>492</v>
      </c>
      <c r="D583" s="2">
        <v>3812</v>
      </c>
      <c r="E583" s="2">
        <v>21152</v>
      </c>
      <c r="F583" s="3">
        <v>6.9</v>
      </c>
      <c r="G583" s="3">
        <v>1547</v>
      </c>
      <c r="H583" s="3">
        <v>62.4</v>
      </c>
      <c r="I583" s="3">
        <v>25.5</v>
      </c>
      <c r="J583" s="3">
        <v>11.6</v>
      </c>
      <c r="K583" s="3">
        <v>0.5</v>
      </c>
      <c r="L583" s="3">
        <v>6.5</v>
      </c>
      <c r="M583" t="str">
        <f>IF(acs2015_county_data[[#This Row],[PublicWork]]&gt;='Описательные характеристики'!$F$5,"да","нет")</f>
        <v>да</v>
      </c>
      <c r="N583" t="str">
        <f>IF(acs2015_county_data[[#This Row],[Unemployment]]&gt;='Описательные характеристики'!$I$5,"да","нет")</f>
        <v>нет</v>
      </c>
    </row>
    <row r="584" spans="1:14" x14ac:dyDescent="0.35">
      <c r="A584">
        <v>16063</v>
      </c>
      <c r="B584" t="s">
        <v>469</v>
      </c>
      <c r="C584" t="s">
        <v>152</v>
      </c>
      <c r="D584" s="2">
        <v>5260</v>
      </c>
      <c r="E584" s="2">
        <v>17204</v>
      </c>
      <c r="F584" s="3">
        <v>6.4</v>
      </c>
      <c r="G584" s="3">
        <v>2212</v>
      </c>
      <c r="H584" s="3">
        <v>76.8</v>
      </c>
      <c r="I584" s="3">
        <v>13.2</v>
      </c>
      <c r="J584" s="3">
        <v>9.8000000000000007</v>
      </c>
      <c r="K584" s="3">
        <v>0.2</v>
      </c>
      <c r="L584" s="3">
        <v>6</v>
      </c>
      <c r="M584" t="str">
        <f>IF(acs2015_county_data[[#This Row],[PublicWork]]&gt;='Описательные характеристики'!$F$5,"да","нет")</f>
        <v>нет</v>
      </c>
      <c r="N584" t="str">
        <f>IF(acs2015_county_data[[#This Row],[Unemployment]]&gt;='Описательные характеристики'!$I$5,"да","нет")</f>
        <v>нет</v>
      </c>
    </row>
    <row r="585" spans="1:14" x14ac:dyDescent="0.35">
      <c r="A585">
        <v>16065</v>
      </c>
      <c r="B585" t="s">
        <v>469</v>
      </c>
      <c r="C585" t="s">
        <v>57</v>
      </c>
      <c r="D585" s="2">
        <v>37916</v>
      </c>
      <c r="E585" s="2">
        <v>14653</v>
      </c>
      <c r="F585" s="3">
        <v>7.2</v>
      </c>
      <c r="G585" s="3">
        <v>16153</v>
      </c>
      <c r="H585" s="3">
        <v>83</v>
      </c>
      <c r="I585" s="3">
        <v>10.6</v>
      </c>
      <c r="J585" s="3">
        <v>6.1</v>
      </c>
      <c r="K585" s="3">
        <v>0.2</v>
      </c>
      <c r="L585" s="3">
        <v>10.199999999999999</v>
      </c>
      <c r="M585" t="str">
        <f>IF(acs2015_county_data[[#This Row],[PublicWork]]&gt;='Описательные характеристики'!$F$5,"да","нет")</f>
        <v>нет</v>
      </c>
      <c r="N585" t="str">
        <f>IF(acs2015_county_data[[#This Row],[Unemployment]]&gt;='Описательные характеристики'!$I$5,"да","нет")</f>
        <v>да</v>
      </c>
    </row>
    <row r="586" spans="1:14" x14ac:dyDescent="0.35">
      <c r="A586">
        <v>16067</v>
      </c>
      <c r="B586" t="s">
        <v>469</v>
      </c>
      <c r="C586" t="s">
        <v>493</v>
      </c>
      <c r="D586" s="2">
        <v>20279</v>
      </c>
      <c r="E586" s="2">
        <v>20674</v>
      </c>
      <c r="F586" s="3">
        <v>2.2999999999999998</v>
      </c>
      <c r="G586" s="3">
        <v>9136</v>
      </c>
      <c r="H586" s="3">
        <v>79.8</v>
      </c>
      <c r="I586" s="3">
        <v>13.7</v>
      </c>
      <c r="J586" s="3">
        <v>6.3</v>
      </c>
      <c r="K586" s="3">
        <v>0.1</v>
      </c>
      <c r="L586" s="3">
        <v>4.8</v>
      </c>
      <c r="M586" t="str">
        <f>IF(acs2015_county_data[[#This Row],[PublicWork]]&gt;='Описательные характеристики'!$F$5,"да","нет")</f>
        <v>нет</v>
      </c>
      <c r="N586" t="str">
        <f>IF(acs2015_county_data[[#This Row],[Unemployment]]&gt;='Описательные характеристики'!$I$5,"да","нет")</f>
        <v>нет</v>
      </c>
    </row>
    <row r="587" spans="1:14" x14ac:dyDescent="0.35">
      <c r="A587">
        <v>16069</v>
      </c>
      <c r="B587" t="s">
        <v>469</v>
      </c>
      <c r="C587" t="s">
        <v>494</v>
      </c>
      <c r="D587" s="2">
        <v>39779</v>
      </c>
      <c r="E587" s="2">
        <v>25177</v>
      </c>
      <c r="F587" s="3">
        <v>4.5999999999999996</v>
      </c>
      <c r="G587" s="3">
        <v>18668</v>
      </c>
      <c r="H587" s="3">
        <v>75</v>
      </c>
      <c r="I587" s="3">
        <v>16.3</v>
      </c>
      <c r="J587" s="3">
        <v>8.5</v>
      </c>
      <c r="K587" s="3">
        <v>0.3</v>
      </c>
      <c r="L587" s="3">
        <v>6.1</v>
      </c>
      <c r="M587" t="str">
        <f>IF(acs2015_county_data[[#This Row],[PublicWork]]&gt;='Описательные характеристики'!$F$5,"да","нет")</f>
        <v>да</v>
      </c>
      <c r="N587" t="str">
        <f>IF(acs2015_county_data[[#This Row],[Unemployment]]&gt;='Описательные характеристики'!$I$5,"да","нет")</f>
        <v>нет</v>
      </c>
    </row>
    <row r="588" spans="1:14" x14ac:dyDescent="0.35">
      <c r="A588">
        <v>16071</v>
      </c>
      <c r="B588" t="s">
        <v>469</v>
      </c>
      <c r="C588" t="s">
        <v>495</v>
      </c>
      <c r="D588" s="2">
        <v>4245</v>
      </c>
      <c r="E588" s="2">
        <v>20089</v>
      </c>
      <c r="F588" s="3">
        <v>5.6</v>
      </c>
      <c r="G588" s="3">
        <v>1749</v>
      </c>
      <c r="H588" s="3">
        <v>68.099999999999994</v>
      </c>
      <c r="I588" s="3">
        <v>22.4</v>
      </c>
      <c r="J588" s="3">
        <v>8.1999999999999993</v>
      </c>
      <c r="K588" s="3">
        <v>1.3</v>
      </c>
      <c r="L588" s="3">
        <v>6.7</v>
      </c>
      <c r="M588" t="str">
        <f>IF(acs2015_county_data[[#This Row],[PublicWork]]&gt;='Описательные характеристики'!$F$5,"да","нет")</f>
        <v>да</v>
      </c>
      <c r="N588" t="str">
        <f>IF(acs2015_county_data[[#This Row],[Unemployment]]&gt;='Описательные характеристики'!$I$5,"да","нет")</f>
        <v>нет</v>
      </c>
    </row>
    <row r="589" spans="1:14" x14ac:dyDescent="0.35">
      <c r="A589">
        <v>16073</v>
      </c>
      <c r="B589" t="s">
        <v>469</v>
      </c>
      <c r="C589" t="s">
        <v>496</v>
      </c>
      <c r="D589" s="2">
        <v>11364</v>
      </c>
      <c r="E589" s="2">
        <v>16854</v>
      </c>
      <c r="F589" s="3">
        <v>10.9</v>
      </c>
      <c r="G589" s="3">
        <v>4304</v>
      </c>
      <c r="H589" s="3">
        <v>75.400000000000006</v>
      </c>
      <c r="I589" s="3">
        <v>11.8</v>
      </c>
      <c r="J589" s="3">
        <v>9.3000000000000007</v>
      </c>
      <c r="K589" s="3">
        <v>3.6</v>
      </c>
      <c r="L589" s="3">
        <v>11.7</v>
      </c>
      <c r="M589" t="str">
        <f>IF(acs2015_county_data[[#This Row],[PublicWork]]&gt;='Описательные характеристики'!$F$5,"да","нет")</f>
        <v>нет</v>
      </c>
      <c r="N589" t="str">
        <f>IF(acs2015_county_data[[#This Row],[Unemployment]]&gt;='Описательные характеристики'!$I$5,"да","нет")</f>
        <v>да</v>
      </c>
    </row>
    <row r="590" spans="1:14" x14ac:dyDescent="0.35">
      <c r="A590">
        <v>16075</v>
      </c>
      <c r="B590" t="s">
        <v>469</v>
      </c>
      <c r="C590" t="s">
        <v>497</v>
      </c>
      <c r="D590" s="2">
        <v>22700</v>
      </c>
      <c r="E590" s="2">
        <v>20689</v>
      </c>
      <c r="F590" s="3">
        <v>4.8</v>
      </c>
      <c r="G590" s="3">
        <v>9393</v>
      </c>
      <c r="H590" s="3">
        <v>75.2</v>
      </c>
      <c r="I590" s="3">
        <v>16.2</v>
      </c>
      <c r="J590" s="3">
        <v>8.4</v>
      </c>
      <c r="K590" s="3">
        <v>0.2</v>
      </c>
      <c r="L590" s="3">
        <v>10.1</v>
      </c>
      <c r="M590" t="str">
        <f>IF(acs2015_county_data[[#This Row],[PublicWork]]&gt;='Описательные характеристики'!$F$5,"да","нет")</f>
        <v>да</v>
      </c>
      <c r="N590" t="str">
        <f>IF(acs2015_county_data[[#This Row],[Unemployment]]&gt;='Описательные характеристики'!$I$5,"да","нет")</f>
        <v>да</v>
      </c>
    </row>
    <row r="591" spans="1:14" x14ac:dyDescent="0.35">
      <c r="A591">
        <v>16077</v>
      </c>
      <c r="B591" t="s">
        <v>469</v>
      </c>
      <c r="C591" t="s">
        <v>498</v>
      </c>
      <c r="D591" s="2">
        <v>7731</v>
      </c>
      <c r="E591" s="2">
        <v>18877</v>
      </c>
      <c r="F591" s="3">
        <v>5.3</v>
      </c>
      <c r="G591" s="3">
        <v>3184</v>
      </c>
      <c r="H591" s="3">
        <v>75.099999999999994</v>
      </c>
      <c r="I591" s="3">
        <v>19</v>
      </c>
      <c r="J591" s="3">
        <v>5.7</v>
      </c>
      <c r="K591" s="3">
        <v>0.2</v>
      </c>
      <c r="L591" s="3">
        <v>9.4</v>
      </c>
      <c r="M591" t="str">
        <f>IF(acs2015_county_data[[#This Row],[PublicWork]]&gt;='Описательные характеристики'!$F$5,"да","нет")</f>
        <v>да</v>
      </c>
      <c r="N591" t="str">
        <f>IF(acs2015_county_data[[#This Row],[Unemployment]]&gt;='Описательные характеристики'!$I$5,"да","нет")</f>
        <v>да</v>
      </c>
    </row>
    <row r="592" spans="1:14" x14ac:dyDescent="0.35">
      <c r="A592">
        <v>16079</v>
      </c>
      <c r="B592" t="s">
        <v>469</v>
      </c>
      <c r="C592" t="s">
        <v>499</v>
      </c>
      <c r="D592" s="2">
        <v>12571</v>
      </c>
      <c r="E592" s="2">
        <v>21254</v>
      </c>
      <c r="F592" s="3">
        <v>5.7</v>
      </c>
      <c r="G592" s="3">
        <v>4992</v>
      </c>
      <c r="H592" s="3">
        <v>76.900000000000006</v>
      </c>
      <c r="I592" s="3">
        <v>15.8</v>
      </c>
      <c r="J592" s="3">
        <v>6.8</v>
      </c>
      <c r="K592" s="3">
        <v>0.4</v>
      </c>
      <c r="L592" s="3">
        <v>11.8</v>
      </c>
      <c r="M592" t="str">
        <f>IF(acs2015_county_data[[#This Row],[PublicWork]]&gt;='Описательные характеристики'!$F$5,"да","нет")</f>
        <v>нет</v>
      </c>
      <c r="N592" t="str">
        <f>IF(acs2015_county_data[[#This Row],[Unemployment]]&gt;='Описательные характеристики'!$I$5,"да","нет")</f>
        <v>да</v>
      </c>
    </row>
    <row r="593" spans="1:14" x14ac:dyDescent="0.35">
      <c r="A593">
        <v>16081</v>
      </c>
      <c r="B593" t="s">
        <v>469</v>
      </c>
      <c r="C593" t="s">
        <v>500</v>
      </c>
      <c r="D593" s="2">
        <v>10285</v>
      </c>
      <c r="E593" s="2">
        <v>24118</v>
      </c>
      <c r="F593" s="3">
        <v>6</v>
      </c>
      <c r="G593" s="3">
        <v>5342</v>
      </c>
      <c r="H593" s="3">
        <v>77.099999999999994</v>
      </c>
      <c r="I593" s="3">
        <v>12.9</v>
      </c>
      <c r="J593" s="3">
        <v>9.9</v>
      </c>
      <c r="K593" s="3">
        <v>0</v>
      </c>
      <c r="L593" s="3">
        <v>8.5</v>
      </c>
      <c r="M593" t="str">
        <f>IF(acs2015_county_data[[#This Row],[PublicWork]]&gt;='Описательные характеристики'!$F$5,"да","нет")</f>
        <v>нет</v>
      </c>
      <c r="N593" t="str">
        <f>IF(acs2015_county_data[[#This Row],[Unemployment]]&gt;='Описательные характеристики'!$I$5,"да","нет")</f>
        <v>да</v>
      </c>
    </row>
    <row r="594" spans="1:14" x14ac:dyDescent="0.35">
      <c r="A594">
        <v>16083</v>
      </c>
      <c r="B594" t="s">
        <v>469</v>
      </c>
      <c r="C594" t="s">
        <v>501</v>
      </c>
      <c r="D594" s="2">
        <v>80004</v>
      </c>
      <c r="E594" s="2">
        <v>21553</v>
      </c>
      <c r="F594" s="3">
        <v>3.7</v>
      </c>
      <c r="G594" s="3">
        <v>36316</v>
      </c>
      <c r="H594" s="3">
        <v>80.099999999999994</v>
      </c>
      <c r="I594" s="3">
        <v>12.1</v>
      </c>
      <c r="J594" s="3">
        <v>7.5</v>
      </c>
      <c r="K594" s="3">
        <v>0.3</v>
      </c>
      <c r="L594" s="3">
        <v>5.9</v>
      </c>
      <c r="M594" t="str">
        <f>IF(acs2015_county_data[[#This Row],[PublicWork]]&gt;='Описательные характеристики'!$F$5,"да","нет")</f>
        <v>нет</v>
      </c>
      <c r="N594" t="str">
        <f>IF(acs2015_county_data[[#This Row],[Unemployment]]&gt;='Описательные характеристики'!$I$5,"да","нет")</f>
        <v>нет</v>
      </c>
    </row>
    <row r="595" spans="1:14" x14ac:dyDescent="0.35">
      <c r="A595">
        <v>16085</v>
      </c>
      <c r="B595" t="s">
        <v>469</v>
      </c>
      <c r="C595" t="s">
        <v>502</v>
      </c>
      <c r="D595" s="2">
        <v>9720</v>
      </c>
      <c r="E595" s="2">
        <v>23962</v>
      </c>
      <c r="F595" s="3">
        <v>7.4</v>
      </c>
      <c r="G595" s="3">
        <v>4292</v>
      </c>
      <c r="H595" s="3">
        <v>74.3</v>
      </c>
      <c r="I595" s="3">
        <v>15.2</v>
      </c>
      <c r="J595" s="3">
        <v>10.199999999999999</v>
      </c>
      <c r="K595" s="3">
        <v>0.4</v>
      </c>
      <c r="L595" s="3">
        <v>5.7</v>
      </c>
      <c r="M595" t="str">
        <f>IF(acs2015_county_data[[#This Row],[PublicWork]]&gt;='Описательные характеристики'!$F$5,"да","нет")</f>
        <v>нет</v>
      </c>
      <c r="N595" t="str">
        <f>IF(acs2015_county_data[[#This Row],[Unemployment]]&gt;='Описательные характеристики'!$I$5,"да","нет")</f>
        <v>нет</v>
      </c>
    </row>
    <row r="596" spans="1:14" x14ac:dyDescent="0.35">
      <c r="A596">
        <v>16087</v>
      </c>
      <c r="B596" t="s">
        <v>469</v>
      </c>
      <c r="C596" t="s">
        <v>75</v>
      </c>
      <c r="D596" s="2">
        <v>10025</v>
      </c>
      <c r="E596" s="2">
        <v>18343</v>
      </c>
      <c r="F596" s="3">
        <v>6.9</v>
      </c>
      <c r="G596" s="3">
        <v>3650</v>
      </c>
      <c r="H596" s="3">
        <v>65.5</v>
      </c>
      <c r="I596" s="3">
        <v>23.1</v>
      </c>
      <c r="J596" s="3">
        <v>11.4</v>
      </c>
      <c r="K596" s="3">
        <v>0.1</v>
      </c>
      <c r="L596" s="3">
        <v>9.6999999999999993</v>
      </c>
      <c r="M596" t="str">
        <f>IF(acs2015_county_data[[#This Row],[PublicWork]]&gt;='Описательные характеристики'!$F$5,"да","нет")</f>
        <v>да</v>
      </c>
      <c r="N596" t="str">
        <f>IF(acs2015_county_data[[#This Row],[Unemployment]]&gt;='Описательные характеристики'!$I$5,"да","нет")</f>
        <v>да</v>
      </c>
    </row>
    <row r="597" spans="1:14" x14ac:dyDescent="0.35">
      <c r="A597">
        <v>17001</v>
      </c>
      <c r="B597" t="s">
        <v>503</v>
      </c>
      <c r="C597" t="s">
        <v>237</v>
      </c>
      <c r="D597" s="2">
        <v>67081</v>
      </c>
      <c r="E597" s="2">
        <v>24380</v>
      </c>
      <c r="F597" s="3">
        <v>3.2</v>
      </c>
      <c r="G597" s="3">
        <v>32400</v>
      </c>
      <c r="H597" s="3">
        <v>83.4</v>
      </c>
      <c r="I597" s="3">
        <v>10.7</v>
      </c>
      <c r="J597" s="3">
        <v>5.6</v>
      </c>
      <c r="K597" s="3">
        <v>0.2</v>
      </c>
      <c r="L597" s="3">
        <v>6.8</v>
      </c>
      <c r="M597" t="str">
        <f>IF(acs2015_county_data[[#This Row],[PublicWork]]&gt;='Описательные характеристики'!$F$5,"да","нет")</f>
        <v>нет</v>
      </c>
      <c r="N597" t="str">
        <f>IF(acs2015_county_data[[#This Row],[Unemployment]]&gt;='Описательные характеристики'!$I$5,"да","нет")</f>
        <v>нет</v>
      </c>
    </row>
    <row r="598" spans="1:14" x14ac:dyDescent="0.35">
      <c r="A598">
        <v>17003</v>
      </c>
      <c r="B598" t="s">
        <v>503</v>
      </c>
      <c r="C598" t="s">
        <v>504</v>
      </c>
      <c r="D598" s="2">
        <v>7364</v>
      </c>
      <c r="E598" s="2">
        <v>14729</v>
      </c>
      <c r="F598" s="3">
        <v>0.8</v>
      </c>
      <c r="G598" s="3">
        <v>2400</v>
      </c>
      <c r="H598" s="3">
        <v>74.5</v>
      </c>
      <c r="I598" s="3">
        <v>19.7</v>
      </c>
      <c r="J598" s="3">
        <v>5.8</v>
      </c>
      <c r="K598" s="3">
        <v>0</v>
      </c>
      <c r="L598" s="3">
        <v>13.9</v>
      </c>
      <c r="M598" t="str">
        <f>IF(acs2015_county_data[[#This Row],[PublicWork]]&gt;='Описательные характеристики'!$F$5,"да","нет")</f>
        <v>да</v>
      </c>
      <c r="N598" t="str">
        <f>IF(acs2015_county_data[[#This Row],[Unemployment]]&gt;='Описательные характеристики'!$I$5,"да","нет")</f>
        <v>да</v>
      </c>
    </row>
    <row r="599" spans="1:14" x14ac:dyDescent="0.35">
      <c r="A599">
        <v>17005</v>
      </c>
      <c r="B599" t="s">
        <v>503</v>
      </c>
      <c r="C599" t="s">
        <v>505</v>
      </c>
      <c r="D599" s="2">
        <v>17313</v>
      </c>
      <c r="E599" s="2">
        <v>22867</v>
      </c>
      <c r="F599" s="3">
        <v>5.2</v>
      </c>
      <c r="G599" s="3">
        <v>7563</v>
      </c>
      <c r="H599" s="3">
        <v>82.1</v>
      </c>
      <c r="I599" s="3">
        <v>11.6</v>
      </c>
      <c r="J599" s="3">
        <v>6</v>
      </c>
      <c r="K599" s="3">
        <v>0.3</v>
      </c>
      <c r="L599" s="3">
        <v>6.4</v>
      </c>
      <c r="M599" t="str">
        <f>IF(acs2015_county_data[[#This Row],[PublicWork]]&gt;='Описательные характеристики'!$F$5,"да","нет")</f>
        <v>нет</v>
      </c>
      <c r="N599" t="str">
        <f>IF(acs2015_county_data[[#This Row],[Unemployment]]&gt;='Описательные характеристики'!$I$5,"да","нет")</f>
        <v>нет</v>
      </c>
    </row>
    <row r="600" spans="1:14" x14ac:dyDescent="0.35">
      <c r="A600">
        <v>17007</v>
      </c>
      <c r="B600" t="s">
        <v>503</v>
      </c>
      <c r="C600" t="s">
        <v>128</v>
      </c>
      <c r="D600" s="2">
        <v>53851</v>
      </c>
      <c r="E600" s="2">
        <v>26170</v>
      </c>
      <c r="F600" s="3">
        <v>4.5</v>
      </c>
      <c r="G600" s="3">
        <v>24714</v>
      </c>
      <c r="H600" s="3">
        <v>84.2</v>
      </c>
      <c r="I600" s="3">
        <v>9.6999999999999993</v>
      </c>
      <c r="J600" s="3">
        <v>6.2</v>
      </c>
      <c r="K600" s="3">
        <v>0</v>
      </c>
      <c r="L600" s="3">
        <v>9.6999999999999993</v>
      </c>
      <c r="M600" t="str">
        <f>IF(acs2015_county_data[[#This Row],[PublicWork]]&gt;='Описательные характеристики'!$F$5,"да","нет")</f>
        <v>нет</v>
      </c>
      <c r="N600" t="str">
        <f>IF(acs2015_county_data[[#This Row],[Unemployment]]&gt;='Описательные характеристики'!$I$5,"да","нет")</f>
        <v>да</v>
      </c>
    </row>
    <row r="601" spans="1:14" x14ac:dyDescent="0.35">
      <c r="A601">
        <v>17009</v>
      </c>
      <c r="B601" t="s">
        <v>503</v>
      </c>
      <c r="C601" t="s">
        <v>506</v>
      </c>
      <c r="D601" s="2">
        <v>6859</v>
      </c>
      <c r="E601" s="2">
        <v>21065</v>
      </c>
      <c r="F601" s="3">
        <v>5.7</v>
      </c>
      <c r="G601" s="3">
        <v>2772</v>
      </c>
      <c r="H601" s="3">
        <v>73.8</v>
      </c>
      <c r="I601" s="3">
        <v>17.399999999999999</v>
      </c>
      <c r="J601" s="3">
        <v>8.8000000000000007</v>
      </c>
      <c r="K601" s="3">
        <v>0</v>
      </c>
      <c r="L601" s="3">
        <v>5.4</v>
      </c>
      <c r="M601" t="str">
        <f>IF(acs2015_county_data[[#This Row],[PublicWork]]&gt;='Описательные характеристики'!$F$5,"да","нет")</f>
        <v>да</v>
      </c>
      <c r="N601" t="str">
        <f>IF(acs2015_county_data[[#This Row],[Unemployment]]&gt;='Описательные характеристики'!$I$5,"да","нет")</f>
        <v>нет</v>
      </c>
    </row>
    <row r="602" spans="1:14" x14ac:dyDescent="0.35">
      <c r="A602">
        <v>17011</v>
      </c>
      <c r="B602" t="s">
        <v>503</v>
      </c>
      <c r="C602" t="s">
        <v>507</v>
      </c>
      <c r="D602" s="2">
        <v>34115</v>
      </c>
      <c r="E602" s="2">
        <v>27304</v>
      </c>
      <c r="F602" s="3">
        <v>3.5</v>
      </c>
      <c r="G602" s="3">
        <v>16206</v>
      </c>
      <c r="H602" s="3">
        <v>80.2</v>
      </c>
      <c r="I602" s="3">
        <v>11.5</v>
      </c>
      <c r="J602" s="3">
        <v>8</v>
      </c>
      <c r="K602" s="3">
        <v>0.3</v>
      </c>
      <c r="L602" s="3">
        <v>7.6</v>
      </c>
      <c r="M602" t="str">
        <f>IF(acs2015_county_data[[#This Row],[PublicWork]]&gt;='Описательные характеристики'!$F$5,"да","нет")</f>
        <v>нет</v>
      </c>
      <c r="N602" t="str">
        <f>IF(acs2015_county_data[[#This Row],[Unemployment]]&gt;='Описательные характеристики'!$I$5,"да","нет")</f>
        <v>да</v>
      </c>
    </row>
    <row r="603" spans="1:14" x14ac:dyDescent="0.35">
      <c r="A603">
        <v>17013</v>
      </c>
      <c r="B603" t="s">
        <v>503</v>
      </c>
      <c r="C603" t="s">
        <v>22</v>
      </c>
      <c r="D603" s="2">
        <v>4999</v>
      </c>
      <c r="E603" s="2">
        <v>26407</v>
      </c>
      <c r="F603" s="3">
        <v>5.2</v>
      </c>
      <c r="G603" s="3">
        <v>2231</v>
      </c>
      <c r="H603" s="3">
        <v>77</v>
      </c>
      <c r="I603" s="3">
        <v>12.8</v>
      </c>
      <c r="J603" s="3">
        <v>9.8000000000000007</v>
      </c>
      <c r="K603" s="3">
        <v>0.4</v>
      </c>
      <c r="L603" s="3">
        <v>5.4</v>
      </c>
      <c r="M603" t="str">
        <f>IF(acs2015_county_data[[#This Row],[PublicWork]]&gt;='Описательные характеристики'!$F$5,"да","нет")</f>
        <v>нет</v>
      </c>
      <c r="N603" t="str">
        <f>IF(acs2015_county_data[[#This Row],[Unemployment]]&gt;='Описательные характеристики'!$I$5,"да","нет")</f>
        <v>нет</v>
      </c>
    </row>
    <row r="604" spans="1:14" x14ac:dyDescent="0.35">
      <c r="A604">
        <v>17015</v>
      </c>
      <c r="B604" t="s">
        <v>503</v>
      </c>
      <c r="C604" t="s">
        <v>129</v>
      </c>
      <c r="D604" s="2">
        <v>14926</v>
      </c>
      <c r="E604" s="2">
        <v>26493</v>
      </c>
      <c r="F604" s="3">
        <v>5.3</v>
      </c>
      <c r="G604" s="3">
        <v>6866</v>
      </c>
      <c r="H604" s="3">
        <v>78.099999999999994</v>
      </c>
      <c r="I604" s="3">
        <v>12</v>
      </c>
      <c r="J604" s="3">
        <v>9.8000000000000007</v>
      </c>
      <c r="K604" s="3">
        <v>0.1</v>
      </c>
      <c r="L604" s="3">
        <v>8.1</v>
      </c>
      <c r="M604" t="str">
        <f>IF(acs2015_county_data[[#This Row],[PublicWork]]&gt;='Описательные характеристики'!$F$5,"да","нет")</f>
        <v>нет</v>
      </c>
      <c r="N604" t="str">
        <f>IF(acs2015_county_data[[#This Row],[Unemployment]]&gt;='Описательные характеристики'!$I$5,"да","нет")</f>
        <v>да</v>
      </c>
    </row>
    <row r="605" spans="1:14" x14ac:dyDescent="0.35">
      <c r="A605">
        <v>17017</v>
      </c>
      <c r="B605" t="s">
        <v>503</v>
      </c>
      <c r="C605" t="s">
        <v>508</v>
      </c>
      <c r="D605" s="2">
        <v>13254</v>
      </c>
      <c r="E605" s="2">
        <v>24262</v>
      </c>
      <c r="F605" s="3">
        <v>4.2</v>
      </c>
      <c r="G605" s="3">
        <v>6183</v>
      </c>
      <c r="H605" s="3">
        <v>78.5</v>
      </c>
      <c r="I605" s="3">
        <v>14.3</v>
      </c>
      <c r="J605" s="3">
        <v>7.2</v>
      </c>
      <c r="K605" s="3">
        <v>0</v>
      </c>
      <c r="L605" s="3">
        <v>8.5</v>
      </c>
      <c r="M605" t="str">
        <f>IF(acs2015_county_data[[#This Row],[PublicWork]]&gt;='Описательные характеристики'!$F$5,"да","нет")</f>
        <v>нет</v>
      </c>
      <c r="N605" t="str">
        <f>IF(acs2015_county_data[[#This Row],[Unemployment]]&gt;='Описательные характеристики'!$I$5,"да","нет")</f>
        <v>да</v>
      </c>
    </row>
    <row r="606" spans="1:14" x14ac:dyDescent="0.35">
      <c r="A606">
        <v>17019</v>
      </c>
      <c r="B606" t="s">
        <v>503</v>
      </c>
      <c r="C606" t="s">
        <v>509</v>
      </c>
      <c r="D606" s="2">
        <v>205766</v>
      </c>
      <c r="E606" s="2">
        <v>26078</v>
      </c>
      <c r="F606" s="3">
        <v>4.8</v>
      </c>
      <c r="G606" s="3">
        <v>101720</v>
      </c>
      <c r="H606" s="3">
        <v>65.8</v>
      </c>
      <c r="I606" s="3">
        <v>29.1</v>
      </c>
      <c r="J606" s="3">
        <v>5</v>
      </c>
      <c r="K606" s="3">
        <v>0.1</v>
      </c>
      <c r="L606" s="3">
        <v>6.5</v>
      </c>
      <c r="M606" t="str">
        <f>IF(acs2015_county_data[[#This Row],[PublicWork]]&gt;='Описательные характеристики'!$F$5,"да","нет")</f>
        <v>да</v>
      </c>
      <c r="N606" t="str">
        <f>IF(acs2015_county_data[[#This Row],[Unemployment]]&gt;='Описательные характеристики'!$I$5,"да","нет")</f>
        <v>нет</v>
      </c>
    </row>
    <row r="607" spans="1:14" x14ac:dyDescent="0.35">
      <c r="A607">
        <v>17021</v>
      </c>
      <c r="B607" t="s">
        <v>503</v>
      </c>
      <c r="C607" t="s">
        <v>510</v>
      </c>
      <c r="D607" s="2">
        <v>34200</v>
      </c>
      <c r="E607" s="2">
        <v>23263</v>
      </c>
      <c r="F607" s="3">
        <v>4.2</v>
      </c>
      <c r="G607" s="3">
        <v>15151</v>
      </c>
      <c r="H607" s="3">
        <v>78.5</v>
      </c>
      <c r="I607" s="3">
        <v>13.4</v>
      </c>
      <c r="J607" s="3">
        <v>8</v>
      </c>
      <c r="K607" s="3">
        <v>0.2</v>
      </c>
      <c r="L607" s="3">
        <v>5.4</v>
      </c>
      <c r="M607" t="str">
        <f>IF(acs2015_county_data[[#This Row],[PublicWork]]&gt;='Описательные характеристики'!$F$5,"да","нет")</f>
        <v>нет</v>
      </c>
      <c r="N607" t="str">
        <f>IF(acs2015_county_data[[#This Row],[Unemployment]]&gt;='Описательные характеристики'!$I$5,"да","нет")</f>
        <v>нет</v>
      </c>
    </row>
    <row r="608" spans="1:14" x14ac:dyDescent="0.35">
      <c r="A608">
        <v>17023</v>
      </c>
      <c r="B608" t="s">
        <v>503</v>
      </c>
      <c r="C608" t="s">
        <v>131</v>
      </c>
      <c r="D608" s="2">
        <v>16159</v>
      </c>
      <c r="E608" s="2">
        <v>25744</v>
      </c>
      <c r="F608" s="3">
        <v>4</v>
      </c>
      <c r="G608" s="3">
        <v>7425</v>
      </c>
      <c r="H608" s="3">
        <v>78.400000000000006</v>
      </c>
      <c r="I608" s="3">
        <v>12.6</v>
      </c>
      <c r="J608" s="3">
        <v>8.6999999999999993</v>
      </c>
      <c r="K608" s="3">
        <v>0.2</v>
      </c>
      <c r="L608" s="3">
        <v>8.5</v>
      </c>
      <c r="M608" t="str">
        <f>IF(acs2015_county_data[[#This Row],[PublicWork]]&gt;='Описательные характеристики'!$F$5,"да","нет")</f>
        <v>нет</v>
      </c>
      <c r="N608" t="str">
        <f>IF(acs2015_county_data[[#This Row],[Unemployment]]&gt;='Описательные характеристики'!$I$5,"да","нет")</f>
        <v>да</v>
      </c>
    </row>
    <row r="609" spans="1:14" x14ac:dyDescent="0.35">
      <c r="A609">
        <v>17025</v>
      </c>
      <c r="B609" t="s">
        <v>503</v>
      </c>
      <c r="C609" t="s">
        <v>28</v>
      </c>
      <c r="D609" s="2">
        <v>13582</v>
      </c>
      <c r="E609" s="2">
        <v>22797</v>
      </c>
      <c r="F609" s="3">
        <v>2.2999999999999998</v>
      </c>
      <c r="G609" s="3">
        <v>6270</v>
      </c>
      <c r="H609" s="3">
        <v>81.8</v>
      </c>
      <c r="I609" s="3">
        <v>11.3</v>
      </c>
      <c r="J609" s="3">
        <v>6.9</v>
      </c>
      <c r="K609" s="3">
        <v>0</v>
      </c>
      <c r="L609" s="3">
        <v>6.7</v>
      </c>
      <c r="M609" t="str">
        <f>IF(acs2015_county_data[[#This Row],[PublicWork]]&gt;='Описательные характеристики'!$F$5,"да","нет")</f>
        <v>нет</v>
      </c>
      <c r="N609" t="str">
        <f>IF(acs2015_county_data[[#This Row],[Unemployment]]&gt;='Описательные характеристики'!$I$5,"да","нет")</f>
        <v>нет</v>
      </c>
    </row>
    <row r="610" spans="1:14" x14ac:dyDescent="0.35">
      <c r="A610">
        <v>17027</v>
      </c>
      <c r="B610" t="s">
        <v>503</v>
      </c>
      <c r="C610" t="s">
        <v>511</v>
      </c>
      <c r="D610" s="2">
        <v>37929</v>
      </c>
      <c r="E610" s="2">
        <v>28839</v>
      </c>
      <c r="F610" s="3">
        <v>3.7</v>
      </c>
      <c r="G610" s="3">
        <v>19250</v>
      </c>
      <c r="H610" s="3">
        <v>79.099999999999994</v>
      </c>
      <c r="I610" s="3">
        <v>14.7</v>
      </c>
      <c r="J610" s="3">
        <v>6.1</v>
      </c>
      <c r="K610" s="3">
        <v>0.1</v>
      </c>
      <c r="L610" s="3">
        <v>4.9000000000000004</v>
      </c>
      <c r="M610" t="str">
        <f>IF(acs2015_county_data[[#This Row],[PublicWork]]&gt;='Описательные характеристики'!$F$5,"да","нет")</f>
        <v>нет</v>
      </c>
      <c r="N610" t="str">
        <f>IF(acs2015_county_data[[#This Row],[Unemployment]]&gt;='Описательные характеристики'!$I$5,"да","нет")</f>
        <v>нет</v>
      </c>
    </row>
    <row r="611" spans="1:14" x14ac:dyDescent="0.35">
      <c r="A611">
        <v>17029</v>
      </c>
      <c r="B611" t="s">
        <v>503</v>
      </c>
      <c r="C611" t="s">
        <v>512</v>
      </c>
      <c r="D611" s="2">
        <v>53037</v>
      </c>
      <c r="E611" s="2">
        <v>23525</v>
      </c>
      <c r="F611" s="3">
        <v>3.9</v>
      </c>
      <c r="G611" s="3">
        <v>24939</v>
      </c>
      <c r="H611" s="3">
        <v>73.5</v>
      </c>
      <c r="I611" s="3">
        <v>20</v>
      </c>
      <c r="J611" s="3">
        <v>6.4</v>
      </c>
      <c r="K611" s="3">
        <v>0.1</v>
      </c>
      <c r="L611" s="3">
        <v>9.6999999999999993</v>
      </c>
      <c r="M611" t="str">
        <f>IF(acs2015_county_data[[#This Row],[PublicWork]]&gt;='Описательные характеристики'!$F$5,"да","нет")</f>
        <v>да</v>
      </c>
      <c r="N611" t="str">
        <f>IF(acs2015_county_data[[#This Row],[Unemployment]]&gt;='Описательные характеристики'!$I$5,"да","нет")</f>
        <v>да</v>
      </c>
    </row>
    <row r="612" spans="1:14" x14ac:dyDescent="0.35">
      <c r="A612">
        <v>17031</v>
      </c>
      <c r="B612" t="s">
        <v>503</v>
      </c>
      <c r="C612" t="s">
        <v>381</v>
      </c>
      <c r="D612" s="2">
        <v>5236393</v>
      </c>
      <c r="E612" s="2">
        <v>31013</v>
      </c>
      <c r="F612" s="3">
        <v>4.2</v>
      </c>
      <c r="G612" s="3">
        <v>2463655</v>
      </c>
      <c r="H612" s="3">
        <v>83.9</v>
      </c>
      <c r="I612" s="3">
        <v>11.5</v>
      </c>
      <c r="J612" s="3">
        <v>4.5</v>
      </c>
      <c r="K612" s="3">
        <v>0.1</v>
      </c>
      <c r="L612" s="3">
        <v>10.7</v>
      </c>
      <c r="M612" t="str">
        <f>IF(acs2015_county_data[[#This Row],[PublicWork]]&gt;='Описательные характеристики'!$F$5,"да","нет")</f>
        <v>нет</v>
      </c>
      <c r="N612" t="str">
        <f>IF(acs2015_county_data[[#This Row],[Unemployment]]&gt;='Описательные характеристики'!$I$5,"да","нет")</f>
        <v>да</v>
      </c>
    </row>
    <row r="613" spans="1:14" x14ac:dyDescent="0.35">
      <c r="A613">
        <v>17033</v>
      </c>
      <c r="B613" t="s">
        <v>503</v>
      </c>
      <c r="C613" t="s">
        <v>136</v>
      </c>
      <c r="D613" s="2">
        <v>19541</v>
      </c>
      <c r="E613" s="2">
        <v>26351</v>
      </c>
      <c r="F613" s="3">
        <v>2.2000000000000002</v>
      </c>
      <c r="G613" s="3">
        <v>8369</v>
      </c>
      <c r="H613" s="3">
        <v>80.599999999999994</v>
      </c>
      <c r="I613" s="3">
        <v>13.5</v>
      </c>
      <c r="J613" s="3">
        <v>5.7</v>
      </c>
      <c r="K613" s="3">
        <v>0.2</v>
      </c>
      <c r="L613" s="3">
        <v>6.8</v>
      </c>
      <c r="M613" t="str">
        <f>IF(acs2015_county_data[[#This Row],[PublicWork]]&gt;='Описательные характеристики'!$F$5,"да","нет")</f>
        <v>нет</v>
      </c>
      <c r="N613" t="str">
        <f>IF(acs2015_county_data[[#This Row],[Unemployment]]&gt;='Описательные характеристики'!$I$5,"да","нет")</f>
        <v>нет</v>
      </c>
    </row>
    <row r="614" spans="1:14" x14ac:dyDescent="0.35">
      <c r="A614">
        <v>17035</v>
      </c>
      <c r="B614" t="s">
        <v>503</v>
      </c>
      <c r="C614" t="s">
        <v>513</v>
      </c>
      <c r="D614" s="2">
        <v>10943</v>
      </c>
      <c r="E614" s="2">
        <v>22596</v>
      </c>
      <c r="F614" s="3">
        <v>6.7</v>
      </c>
      <c r="G614" s="3">
        <v>4932</v>
      </c>
      <c r="H614" s="3">
        <v>79.7</v>
      </c>
      <c r="I614" s="3">
        <v>11.2</v>
      </c>
      <c r="J614" s="3">
        <v>8.4</v>
      </c>
      <c r="K614" s="3">
        <v>0.8</v>
      </c>
      <c r="L614" s="3">
        <v>7.4</v>
      </c>
      <c r="M614" t="str">
        <f>IF(acs2015_county_data[[#This Row],[PublicWork]]&gt;='Описательные характеристики'!$F$5,"да","нет")</f>
        <v>нет</v>
      </c>
      <c r="N614" t="str">
        <f>IF(acs2015_county_data[[#This Row],[Unemployment]]&gt;='Описательные характеристики'!$I$5,"да","нет")</f>
        <v>нет</v>
      </c>
    </row>
    <row r="615" spans="1:14" x14ac:dyDescent="0.35">
      <c r="A615">
        <v>17037</v>
      </c>
      <c r="B615" t="s">
        <v>503</v>
      </c>
      <c r="C615" t="s">
        <v>38</v>
      </c>
      <c r="D615" s="2">
        <v>104345</v>
      </c>
      <c r="E615" s="2">
        <v>24025</v>
      </c>
      <c r="F615" s="3">
        <v>3.3</v>
      </c>
      <c r="G615" s="3">
        <v>51637</v>
      </c>
      <c r="H615" s="3">
        <v>75.8</v>
      </c>
      <c r="I615" s="3">
        <v>20</v>
      </c>
      <c r="J615" s="3">
        <v>3.9</v>
      </c>
      <c r="K615" s="3">
        <v>0.3</v>
      </c>
      <c r="L615" s="3">
        <v>10.4</v>
      </c>
      <c r="M615" t="str">
        <f>IF(acs2015_county_data[[#This Row],[PublicWork]]&gt;='Описательные характеристики'!$F$5,"да","нет")</f>
        <v>да</v>
      </c>
      <c r="N615" t="str">
        <f>IF(acs2015_county_data[[#This Row],[Unemployment]]&gt;='Описательные характеристики'!$I$5,"да","нет")</f>
        <v>да</v>
      </c>
    </row>
    <row r="616" spans="1:14" x14ac:dyDescent="0.35">
      <c r="A616">
        <v>17039</v>
      </c>
      <c r="B616" t="s">
        <v>503</v>
      </c>
      <c r="C616" t="s">
        <v>514</v>
      </c>
      <c r="D616" s="2">
        <v>16388</v>
      </c>
      <c r="E616" s="2">
        <v>29100</v>
      </c>
      <c r="F616" s="3">
        <v>3.3</v>
      </c>
      <c r="G616" s="3">
        <v>8066</v>
      </c>
      <c r="H616" s="3">
        <v>77</v>
      </c>
      <c r="I616" s="3">
        <v>15.7</v>
      </c>
      <c r="J616" s="3">
        <v>7.3</v>
      </c>
      <c r="K616" s="3">
        <v>0</v>
      </c>
      <c r="L616" s="3">
        <v>7.7</v>
      </c>
      <c r="M616" t="str">
        <f>IF(acs2015_county_data[[#This Row],[PublicWork]]&gt;='Описательные характеристики'!$F$5,"да","нет")</f>
        <v>нет</v>
      </c>
      <c r="N616" t="str">
        <f>IF(acs2015_county_data[[#This Row],[Unemployment]]&gt;='Описательные характеристики'!$I$5,"да","нет")</f>
        <v>да</v>
      </c>
    </row>
    <row r="617" spans="1:14" x14ac:dyDescent="0.35">
      <c r="A617">
        <v>17041</v>
      </c>
      <c r="B617" t="s">
        <v>503</v>
      </c>
      <c r="C617" t="s">
        <v>254</v>
      </c>
      <c r="D617" s="2">
        <v>19826</v>
      </c>
      <c r="E617" s="2">
        <v>25455</v>
      </c>
      <c r="F617" s="3">
        <v>5.3</v>
      </c>
      <c r="G617" s="3">
        <v>9415</v>
      </c>
      <c r="H617" s="3">
        <v>76.400000000000006</v>
      </c>
      <c r="I617" s="3">
        <v>15</v>
      </c>
      <c r="J617" s="3">
        <v>8.4</v>
      </c>
      <c r="K617" s="3">
        <v>0.2</v>
      </c>
      <c r="L617" s="3">
        <v>6.1</v>
      </c>
      <c r="M617" t="str">
        <f>IF(acs2015_county_data[[#This Row],[PublicWork]]&gt;='Описательные характеристики'!$F$5,"да","нет")</f>
        <v>нет</v>
      </c>
      <c r="N617" t="str">
        <f>IF(acs2015_county_data[[#This Row],[Unemployment]]&gt;='Описательные характеристики'!$I$5,"да","нет")</f>
        <v>нет</v>
      </c>
    </row>
    <row r="618" spans="1:14" x14ac:dyDescent="0.35">
      <c r="A618">
        <v>17043</v>
      </c>
      <c r="B618" t="s">
        <v>503</v>
      </c>
      <c r="C618" t="s">
        <v>515</v>
      </c>
      <c r="D618" s="2">
        <v>930412</v>
      </c>
      <c r="E618" s="2">
        <v>39336</v>
      </c>
      <c r="F618" s="3">
        <v>5.2</v>
      </c>
      <c r="G618" s="3">
        <v>479592</v>
      </c>
      <c r="H618" s="3">
        <v>86.1</v>
      </c>
      <c r="I618" s="3">
        <v>9.5</v>
      </c>
      <c r="J618" s="3">
        <v>4.3</v>
      </c>
      <c r="K618" s="3">
        <v>0.2</v>
      </c>
      <c r="L618" s="3">
        <v>7</v>
      </c>
      <c r="M618" t="str">
        <f>IF(acs2015_county_data[[#This Row],[PublicWork]]&gt;='Описательные характеристики'!$F$5,"да","нет")</f>
        <v>нет</v>
      </c>
      <c r="N618" t="str">
        <f>IF(acs2015_county_data[[#This Row],[Unemployment]]&gt;='Описательные характеристики'!$I$5,"да","нет")</f>
        <v>нет</v>
      </c>
    </row>
    <row r="619" spans="1:14" x14ac:dyDescent="0.35">
      <c r="A619">
        <v>17045</v>
      </c>
      <c r="B619" t="s">
        <v>503</v>
      </c>
      <c r="C619" t="s">
        <v>516</v>
      </c>
      <c r="D619" s="2">
        <v>17992</v>
      </c>
      <c r="E619" s="2">
        <v>25389</v>
      </c>
      <c r="F619" s="3">
        <v>3</v>
      </c>
      <c r="G619" s="3">
        <v>7807</v>
      </c>
      <c r="H619" s="3">
        <v>80.3</v>
      </c>
      <c r="I619" s="3">
        <v>13.8</v>
      </c>
      <c r="J619" s="3">
        <v>5.7</v>
      </c>
      <c r="K619" s="3">
        <v>0.1</v>
      </c>
      <c r="L619" s="3">
        <v>9.6</v>
      </c>
      <c r="M619" t="str">
        <f>IF(acs2015_county_data[[#This Row],[PublicWork]]&gt;='Описательные характеристики'!$F$5,"да","нет")</f>
        <v>нет</v>
      </c>
      <c r="N619" t="str">
        <f>IF(acs2015_county_data[[#This Row],[Unemployment]]&gt;='Описательные характеристики'!$I$5,"да","нет")</f>
        <v>да</v>
      </c>
    </row>
    <row r="620" spans="1:14" x14ac:dyDescent="0.35">
      <c r="A620">
        <v>17047</v>
      </c>
      <c r="B620" t="s">
        <v>503</v>
      </c>
      <c r="C620" t="s">
        <v>517</v>
      </c>
      <c r="D620" s="2">
        <v>6649</v>
      </c>
      <c r="E620" s="2">
        <v>22885</v>
      </c>
      <c r="F620" s="3">
        <v>3.9</v>
      </c>
      <c r="G620" s="3">
        <v>2968</v>
      </c>
      <c r="H620" s="3">
        <v>85.8</v>
      </c>
      <c r="I620" s="3">
        <v>8.3000000000000007</v>
      </c>
      <c r="J620" s="3">
        <v>5.9</v>
      </c>
      <c r="K620" s="3">
        <v>0</v>
      </c>
      <c r="L620" s="3">
        <v>8.3000000000000007</v>
      </c>
      <c r="M620" t="str">
        <f>IF(acs2015_county_data[[#This Row],[PublicWork]]&gt;='Описательные характеристики'!$F$5,"да","нет")</f>
        <v>нет</v>
      </c>
      <c r="N620" t="str">
        <f>IF(acs2015_county_data[[#This Row],[Unemployment]]&gt;='Описательные характеристики'!$I$5,"да","нет")</f>
        <v>да</v>
      </c>
    </row>
    <row r="621" spans="1:14" x14ac:dyDescent="0.35">
      <c r="A621">
        <v>17049</v>
      </c>
      <c r="B621" t="s">
        <v>503</v>
      </c>
      <c r="C621" t="s">
        <v>392</v>
      </c>
      <c r="D621" s="2">
        <v>34332</v>
      </c>
      <c r="E621" s="2">
        <v>26775</v>
      </c>
      <c r="F621" s="3">
        <v>3.8</v>
      </c>
      <c r="G621" s="3">
        <v>17382</v>
      </c>
      <c r="H621" s="3">
        <v>83.8</v>
      </c>
      <c r="I621" s="3">
        <v>9.1999999999999993</v>
      </c>
      <c r="J621" s="3">
        <v>6.9</v>
      </c>
      <c r="K621" s="3">
        <v>0.1</v>
      </c>
      <c r="L621" s="3">
        <v>5.4</v>
      </c>
      <c r="M621" t="str">
        <f>IF(acs2015_county_data[[#This Row],[PublicWork]]&gt;='Описательные характеристики'!$F$5,"да","нет")</f>
        <v>нет</v>
      </c>
      <c r="N621" t="str">
        <f>IF(acs2015_county_data[[#This Row],[Unemployment]]&gt;='Описательные характеристики'!$I$5,"да","нет")</f>
        <v>нет</v>
      </c>
    </row>
    <row r="622" spans="1:14" x14ac:dyDescent="0.35">
      <c r="A622">
        <v>17051</v>
      </c>
      <c r="B622" t="s">
        <v>503</v>
      </c>
      <c r="C622" t="s">
        <v>42</v>
      </c>
      <c r="D622" s="2">
        <v>22136</v>
      </c>
      <c r="E622" s="2">
        <v>21472</v>
      </c>
      <c r="F622" s="3">
        <v>4</v>
      </c>
      <c r="G622" s="3">
        <v>8943</v>
      </c>
      <c r="H622" s="3">
        <v>76.7</v>
      </c>
      <c r="I622" s="3">
        <v>16.2</v>
      </c>
      <c r="J622" s="3">
        <v>7</v>
      </c>
      <c r="K622" s="3">
        <v>0.1</v>
      </c>
      <c r="L622" s="3">
        <v>10.4</v>
      </c>
      <c r="M622" t="str">
        <f>IF(acs2015_county_data[[#This Row],[PublicWork]]&gt;='Описательные характеристики'!$F$5,"да","нет")</f>
        <v>да</v>
      </c>
      <c r="N622" t="str">
        <f>IF(acs2015_county_data[[#This Row],[Unemployment]]&gt;='Описательные характеристики'!$I$5,"да","нет")</f>
        <v>да</v>
      </c>
    </row>
    <row r="623" spans="1:14" x14ac:dyDescent="0.35">
      <c r="A623">
        <v>17053</v>
      </c>
      <c r="B623" t="s">
        <v>503</v>
      </c>
      <c r="C623" t="s">
        <v>518</v>
      </c>
      <c r="D623" s="2">
        <v>13835</v>
      </c>
      <c r="E623" s="2">
        <v>26010</v>
      </c>
      <c r="F623" s="3">
        <v>4.9000000000000004</v>
      </c>
      <c r="G623" s="3">
        <v>6179</v>
      </c>
      <c r="H623" s="3">
        <v>79</v>
      </c>
      <c r="I623" s="3">
        <v>10.6</v>
      </c>
      <c r="J623" s="3">
        <v>10.199999999999999</v>
      </c>
      <c r="K623" s="3">
        <v>0.1</v>
      </c>
      <c r="L623" s="3">
        <v>8.6</v>
      </c>
      <c r="M623" t="str">
        <f>IF(acs2015_county_data[[#This Row],[PublicWork]]&gt;='Описательные характеристики'!$F$5,"да","нет")</f>
        <v>нет</v>
      </c>
      <c r="N623" t="str">
        <f>IF(acs2015_county_data[[#This Row],[Unemployment]]&gt;='Описательные характеристики'!$I$5,"да","нет")</f>
        <v>да</v>
      </c>
    </row>
    <row r="624" spans="1:14" x14ac:dyDescent="0.35">
      <c r="A624">
        <v>17055</v>
      </c>
      <c r="B624" t="s">
        <v>503</v>
      </c>
      <c r="C624" t="s">
        <v>43</v>
      </c>
      <c r="D624" s="2">
        <v>39694</v>
      </c>
      <c r="E624" s="2">
        <v>21625</v>
      </c>
      <c r="F624" s="3">
        <v>3</v>
      </c>
      <c r="G624" s="3">
        <v>15510</v>
      </c>
      <c r="H624" s="3">
        <v>76.8</v>
      </c>
      <c r="I624" s="3">
        <v>16.399999999999999</v>
      </c>
      <c r="J624" s="3">
        <v>6.6</v>
      </c>
      <c r="K624" s="3">
        <v>0.2</v>
      </c>
      <c r="L624" s="3">
        <v>10</v>
      </c>
      <c r="M624" t="str">
        <f>IF(acs2015_county_data[[#This Row],[PublicWork]]&gt;='Описательные характеристики'!$F$5,"да","нет")</f>
        <v>да</v>
      </c>
      <c r="N624" t="str">
        <f>IF(acs2015_county_data[[#This Row],[Unemployment]]&gt;='Описательные характеристики'!$I$5,"да","нет")</f>
        <v>да</v>
      </c>
    </row>
    <row r="625" spans="1:14" x14ac:dyDescent="0.35">
      <c r="A625">
        <v>17057</v>
      </c>
      <c r="B625" t="s">
        <v>503</v>
      </c>
      <c r="C625" t="s">
        <v>142</v>
      </c>
      <c r="D625" s="2">
        <v>36323</v>
      </c>
      <c r="E625" s="2">
        <v>22651</v>
      </c>
      <c r="F625" s="3">
        <v>2.2999999999999998</v>
      </c>
      <c r="G625" s="3">
        <v>15565</v>
      </c>
      <c r="H625" s="3">
        <v>77.3</v>
      </c>
      <c r="I625" s="3">
        <v>16.3</v>
      </c>
      <c r="J625" s="3">
        <v>6.4</v>
      </c>
      <c r="K625" s="3">
        <v>0.1</v>
      </c>
      <c r="L625" s="3">
        <v>7.9</v>
      </c>
      <c r="M625" t="str">
        <f>IF(acs2015_county_data[[#This Row],[PublicWork]]&gt;='Описательные характеристики'!$F$5,"да","нет")</f>
        <v>да</v>
      </c>
      <c r="N625" t="str">
        <f>IF(acs2015_county_data[[#This Row],[Unemployment]]&gt;='Описательные характеристики'!$I$5,"да","нет")</f>
        <v>да</v>
      </c>
    </row>
    <row r="626" spans="1:14" x14ac:dyDescent="0.35">
      <c r="A626">
        <v>17059</v>
      </c>
      <c r="B626" t="s">
        <v>503</v>
      </c>
      <c r="C626" t="s">
        <v>519</v>
      </c>
      <c r="D626" s="2">
        <v>5385</v>
      </c>
      <c r="E626" s="2">
        <v>22125</v>
      </c>
      <c r="F626" s="3">
        <v>3.1</v>
      </c>
      <c r="G626" s="3">
        <v>2280</v>
      </c>
      <c r="H626" s="3">
        <v>76</v>
      </c>
      <c r="I626" s="3">
        <v>15.6</v>
      </c>
      <c r="J626" s="3">
        <v>8.4</v>
      </c>
      <c r="K626" s="3">
        <v>0</v>
      </c>
      <c r="L626" s="3">
        <v>7.5</v>
      </c>
      <c r="M626" t="str">
        <f>IF(acs2015_county_data[[#This Row],[PublicWork]]&gt;='Описательные характеристики'!$F$5,"да","нет")</f>
        <v>нет</v>
      </c>
      <c r="N626" t="str">
        <f>IF(acs2015_county_data[[#This Row],[Unemployment]]&gt;='Описательные характеристики'!$I$5,"да","нет")</f>
        <v>нет</v>
      </c>
    </row>
    <row r="627" spans="1:14" x14ac:dyDescent="0.35">
      <c r="A627">
        <v>17061</v>
      </c>
      <c r="B627" t="s">
        <v>503</v>
      </c>
      <c r="C627" t="s">
        <v>45</v>
      </c>
      <c r="D627" s="2">
        <v>13502</v>
      </c>
      <c r="E627" s="2">
        <v>22105</v>
      </c>
      <c r="F627" s="3">
        <v>5.3</v>
      </c>
      <c r="G627" s="3">
        <v>5944</v>
      </c>
      <c r="H627" s="3">
        <v>76.3</v>
      </c>
      <c r="I627" s="3">
        <v>13</v>
      </c>
      <c r="J627" s="3">
        <v>10.199999999999999</v>
      </c>
      <c r="K627" s="3">
        <v>0.5</v>
      </c>
      <c r="L627" s="3">
        <v>9.4</v>
      </c>
      <c r="M627" t="str">
        <f>IF(acs2015_county_data[[#This Row],[PublicWork]]&gt;='Описательные характеристики'!$F$5,"да","нет")</f>
        <v>нет</v>
      </c>
      <c r="N627" t="str">
        <f>IF(acs2015_county_data[[#This Row],[Unemployment]]&gt;='Описательные характеристики'!$I$5,"да","нет")</f>
        <v>да</v>
      </c>
    </row>
    <row r="628" spans="1:14" x14ac:dyDescent="0.35">
      <c r="A628">
        <v>17063</v>
      </c>
      <c r="B628" t="s">
        <v>503</v>
      </c>
      <c r="C628" t="s">
        <v>520</v>
      </c>
      <c r="D628" s="2">
        <v>50277</v>
      </c>
      <c r="E628" s="2">
        <v>29622</v>
      </c>
      <c r="F628" s="3">
        <v>3.2</v>
      </c>
      <c r="G628" s="3">
        <v>23887</v>
      </c>
      <c r="H628" s="3">
        <v>83.7</v>
      </c>
      <c r="I628" s="3">
        <v>12.2</v>
      </c>
      <c r="J628" s="3">
        <v>4.0999999999999996</v>
      </c>
      <c r="K628" s="3">
        <v>0.1</v>
      </c>
      <c r="L628" s="3">
        <v>7.8</v>
      </c>
      <c r="M628" t="str">
        <f>IF(acs2015_county_data[[#This Row],[PublicWork]]&gt;='Описательные характеристики'!$F$5,"да","нет")</f>
        <v>нет</v>
      </c>
      <c r="N628" t="str">
        <f>IF(acs2015_county_data[[#This Row],[Unemployment]]&gt;='Описательные характеристики'!$I$5,"да","нет")</f>
        <v>да</v>
      </c>
    </row>
    <row r="629" spans="1:14" x14ac:dyDescent="0.35">
      <c r="A629">
        <v>17065</v>
      </c>
      <c r="B629" t="s">
        <v>503</v>
      </c>
      <c r="C629" t="s">
        <v>323</v>
      </c>
      <c r="D629" s="2">
        <v>8322</v>
      </c>
      <c r="E629" s="2">
        <v>24110</v>
      </c>
      <c r="F629" s="3">
        <v>4.3</v>
      </c>
      <c r="G629" s="3">
        <v>3618</v>
      </c>
      <c r="H629" s="3">
        <v>78.900000000000006</v>
      </c>
      <c r="I629" s="3">
        <v>11.6</v>
      </c>
      <c r="J629" s="3">
        <v>9.3000000000000007</v>
      </c>
      <c r="K629" s="3">
        <v>0.1</v>
      </c>
      <c r="L629" s="3">
        <v>4.5</v>
      </c>
      <c r="M629" t="str">
        <f>IF(acs2015_county_data[[#This Row],[PublicWork]]&gt;='Описательные характеристики'!$F$5,"да","нет")</f>
        <v>нет</v>
      </c>
      <c r="N629" t="str">
        <f>IF(acs2015_county_data[[#This Row],[Unemployment]]&gt;='Описательные характеристики'!$I$5,"да","нет")</f>
        <v>нет</v>
      </c>
    </row>
    <row r="630" spans="1:14" x14ac:dyDescent="0.35">
      <c r="A630">
        <v>17067</v>
      </c>
      <c r="B630" t="s">
        <v>503</v>
      </c>
      <c r="C630" t="s">
        <v>406</v>
      </c>
      <c r="D630" s="2">
        <v>18738</v>
      </c>
      <c r="E630" s="2">
        <v>25085</v>
      </c>
      <c r="F630" s="3">
        <v>7.5</v>
      </c>
      <c r="G630" s="3">
        <v>8595</v>
      </c>
      <c r="H630" s="3">
        <v>75.8</v>
      </c>
      <c r="I630" s="3">
        <v>13.8</v>
      </c>
      <c r="J630" s="3">
        <v>10.199999999999999</v>
      </c>
      <c r="K630" s="3">
        <v>0.2</v>
      </c>
      <c r="L630" s="3">
        <v>6.8</v>
      </c>
      <c r="M630" t="str">
        <f>IF(acs2015_county_data[[#This Row],[PublicWork]]&gt;='Описательные характеристики'!$F$5,"да","нет")</f>
        <v>нет</v>
      </c>
      <c r="N630" t="str">
        <f>IF(acs2015_county_data[[#This Row],[Unemployment]]&gt;='Описательные характеристики'!$I$5,"да","нет")</f>
        <v>нет</v>
      </c>
    </row>
    <row r="631" spans="1:14" x14ac:dyDescent="0.35">
      <c r="A631">
        <v>17069</v>
      </c>
      <c r="B631" t="s">
        <v>503</v>
      </c>
      <c r="C631" t="s">
        <v>521</v>
      </c>
      <c r="D631" s="2">
        <v>4228</v>
      </c>
      <c r="E631" s="2">
        <v>21415</v>
      </c>
      <c r="F631" s="3">
        <v>6.2</v>
      </c>
      <c r="G631" s="3">
        <v>1493</v>
      </c>
      <c r="H631" s="3">
        <v>75.400000000000006</v>
      </c>
      <c r="I631" s="3">
        <v>18.399999999999999</v>
      </c>
      <c r="J631" s="3">
        <v>5.7</v>
      </c>
      <c r="K631" s="3">
        <v>0.5</v>
      </c>
      <c r="L631" s="3">
        <v>18.100000000000001</v>
      </c>
      <c r="M631" t="str">
        <f>IF(acs2015_county_data[[#This Row],[PublicWork]]&gt;='Описательные характеристики'!$F$5,"да","нет")</f>
        <v>да</v>
      </c>
      <c r="N631" t="str">
        <f>IF(acs2015_county_data[[#This Row],[Unemployment]]&gt;='Описательные характеристики'!$I$5,"да","нет")</f>
        <v>да</v>
      </c>
    </row>
    <row r="632" spans="1:14" x14ac:dyDescent="0.35">
      <c r="A632">
        <v>17071</v>
      </c>
      <c r="B632" t="s">
        <v>503</v>
      </c>
      <c r="C632" t="s">
        <v>522</v>
      </c>
      <c r="D632" s="2">
        <v>7042</v>
      </c>
      <c r="E632" s="2">
        <v>26603</v>
      </c>
      <c r="F632" s="3">
        <v>4.5</v>
      </c>
      <c r="G632" s="3">
        <v>3350</v>
      </c>
      <c r="H632" s="3">
        <v>75.8</v>
      </c>
      <c r="I632" s="3">
        <v>15.5</v>
      </c>
      <c r="J632" s="3">
        <v>7.7</v>
      </c>
      <c r="K632" s="3">
        <v>1</v>
      </c>
      <c r="L632" s="3">
        <v>7</v>
      </c>
      <c r="M632" t="str">
        <f>IF(acs2015_county_data[[#This Row],[PublicWork]]&gt;='Описательные характеристики'!$F$5,"да","нет")</f>
        <v>нет</v>
      </c>
      <c r="N632" t="str">
        <f>IF(acs2015_county_data[[#This Row],[Unemployment]]&gt;='Описательные характеристики'!$I$5,"да","нет")</f>
        <v>нет</v>
      </c>
    </row>
    <row r="633" spans="1:14" x14ac:dyDescent="0.35">
      <c r="A633">
        <v>17073</v>
      </c>
      <c r="B633" t="s">
        <v>503</v>
      </c>
      <c r="C633" t="s">
        <v>47</v>
      </c>
      <c r="D633" s="2">
        <v>49883</v>
      </c>
      <c r="E633" s="2">
        <v>27402</v>
      </c>
      <c r="F633" s="3">
        <v>3.4</v>
      </c>
      <c r="G633" s="3">
        <v>23544</v>
      </c>
      <c r="H633" s="3">
        <v>79.599999999999994</v>
      </c>
      <c r="I633" s="3">
        <v>13.7</v>
      </c>
      <c r="J633" s="3">
        <v>6.6</v>
      </c>
      <c r="K633" s="3">
        <v>0.1</v>
      </c>
      <c r="L633" s="3">
        <v>5.8</v>
      </c>
      <c r="M633" t="str">
        <f>IF(acs2015_county_data[[#This Row],[PublicWork]]&gt;='Описательные характеристики'!$F$5,"да","нет")</f>
        <v>нет</v>
      </c>
      <c r="N633" t="str">
        <f>IF(acs2015_county_data[[#This Row],[Unemployment]]&gt;='Описательные характеристики'!$I$5,"да","нет")</f>
        <v>нет</v>
      </c>
    </row>
    <row r="634" spans="1:14" x14ac:dyDescent="0.35">
      <c r="A634">
        <v>17075</v>
      </c>
      <c r="B634" t="s">
        <v>503</v>
      </c>
      <c r="C634" t="s">
        <v>523</v>
      </c>
      <c r="D634" s="2">
        <v>29053</v>
      </c>
      <c r="E634" s="2">
        <v>25565</v>
      </c>
      <c r="F634" s="3">
        <v>5.8</v>
      </c>
      <c r="G634" s="3">
        <v>13533</v>
      </c>
      <c r="H634" s="3">
        <v>78.599999999999994</v>
      </c>
      <c r="I634" s="3">
        <v>11.6</v>
      </c>
      <c r="J634" s="3">
        <v>9.5</v>
      </c>
      <c r="K634" s="3">
        <v>0.3</v>
      </c>
      <c r="L634" s="3">
        <v>7.5</v>
      </c>
      <c r="M634" t="str">
        <f>IF(acs2015_county_data[[#This Row],[PublicWork]]&gt;='Описательные характеристики'!$F$5,"да","нет")</f>
        <v>нет</v>
      </c>
      <c r="N634" t="str">
        <f>IF(acs2015_county_data[[#This Row],[Unemployment]]&gt;='Описательные характеристики'!$I$5,"да","нет")</f>
        <v>нет</v>
      </c>
    </row>
    <row r="635" spans="1:14" x14ac:dyDescent="0.35">
      <c r="A635">
        <v>17077</v>
      </c>
      <c r="B635" t="s">
        <v>503</v>
      </c>
      <c r="C635" t="s">
        <v>49</v>
      </c>
      <c r="D635" s="2">
        <v>59534</v>
      </c>
      <c r="E635" s="2">
        <v>21147</v>
      </c>
      <c r="F635" s="3">
        <v>3.6</v>
      </c>
      <c r="G635" s="3">
        <v>25623</v>
      </c>
      <c r="H635" s="3">
        <v>62</v>
      </c>
      <c r="I635" s="3">
        <v>31.8</v>
      </c>
      <c r="J635" s="3">
        <v>6</v>
      </c>
      <c r="K635" s="3">
        <v>0.2</v>
      </c>
      <c r="L635" s="3">
        <v>10.4</v>
      </c>
      <c r="M635" t="str">
        <f>IF(acs2015_county_data[[#This Row],[PublicWork]]&gt;='Описательные характеристики'!$F$5,"да","нет")</f>
        <v>да</v>
      </c>
      <c r="N635" t="str">
        <f>IF(acs2015_county_data[[#This Row],[Unemployment]]&gt;='Описательные характеристики'!$I$5,"да","нет")</f>
        <v>да</v>
      </c>
    </row>
    <row r="636" spans="1:14" x14ac:dyDescent="0.35">
      <c r="A636">
        <v>17079</v>
      </c>
      <c r="B636" t="s">
        <v>503</v>
      </c>
      <c r="C636" t="s">
        <v>412</v>
      </c>
      <c r="D636" s="2">
        <v>9635</v>
      </c>
      <c r="E636" s="2">
        <v>25303</v>
      </c>
      <c r="F636" s="3">
        <v>5.7</v>
      </c>
      <c r="G636" s="3">
        <v>4691</v>
      </c>
      <c r="H636" s="3">
        <v>78.7</v>
      </c>
      <c r="I636" s="3">
        <v>13.9</v>
      </c>
      <c r="J636" s="3">
        <v>7.2</v>
      </c>
      <c r="K636" s="3">
        <v>0.1</v>
      </c>
      <c r="L636" s="3">
        <v>5.5</v>
      </c>
      <c r="M636" t="str">
        <f>IF(acs2015_county_data[[#This Row],[PublicWork]]&gt;='Описательные характеристики'!$F$5,"да","нет")</f>
        <v>нет</v>
      </c>
      <c r="N636" t="str">
        <f>IF(acs2015_county_data[[#This Row],[Unemployment]]&gt;='Описательные характеристики'!$I$5,"да","нет")</f>
        <v>нет</v>
      </c>
    </row>
    <row r="637" spans="1:14" x14ac:dyDescent="0.35">
      <c r="A637">
        <v>17081</v>
      </c>
      <c r="B637" t="s">
        <v>503</v>
      </c>
      <c r="C637" t="s">
        <v>50</v>
      </c>
      <c r="D637" s="2">
        <v>38578</v>
      </c>
      <c r="E637" s="2">
        <v>22975</v>
      </c>
      <c r="F637" s="3">
        <v>3.8</v>
      </c>
      <c r="G637" s="3">
        <v>16528</v>
      </c>
      <c r="H637" s="3">
        <v>81</v>
      </c>
      <c r="I637" s="3">
        <v>11.9</v>
      </c>
      <c r="J637" s="3">
        <v>7</v>
      </c>
      <c r="K637" s="3">
        <v>0.1</v>
      </c>
      <c r="L637" s="3">
        <v>9.1999999999999993</v>
      </c>
      <c r="M637" t="str">
        <f>IF(acs2015_county_data[[#This Row],[PublicWork]]&gt;='Описательные характеристики'!$F$5,"да","нет")</f>
        <v>нет</v>
      </c>
      <c r="N637" t="str">
        <f>IF(acs2015_county_data[[#This Row],[Unemployment]]&gt;='Описательные характеристики'!$I$5,"да","нет")</f>
        <v>да</v>
      </c>
    </row>
    <row r="638" spans="1:14" x14ac:dyDescent="0.35">
      <c r="A638">
        <v>17083</v>
      </c>
      <c r="B638" t="s">
        <v>503</v>
      </c>
      <c r="C638" t="s">
        <v>524</v>
      </c>
      <c r="D638" s="2">
        <v>22625</v>
      </c>
      <c r="E638" s="2">
        <v>25901</v>
      </c>
      <c r="F638" s="3">
        <v>3.8</v>
      </c>
      <c r="G638" s="3">
        <v>10587</v>
      </c>
      <c r="H638" s="3">
        <v>86.6</v>
      </c>
      <c r="I638" s="3">
        <v>7.5</v>
      </c>
      <c r="J638" s="3">
        <v>5.8</v>
      </c>
      <c r="K638" s="3">
        <v>0.1</v>
      </c>
      <c r="L638" s="3">
        <v>8</v>
      </c>
      <c r="M638" t="str">
        <f>IF(acs2015_county_data[[#This Row],[PublicWork]]&gt;='Описательные характеристики'!$F$5,"да","нет")</f>
        <v>нет</v>
      </c>
      <c r="N638" t="str">
        <f>IF(acs2015_county_data[[#This Row],[Unemployment]]&gt;='Описательные характеристики'!$I$5,"да","нет")</f>
        <v>да</v>
      </c>
    </row>
    <row r="639" spans="1:14" x14ac:dyDescent="0.35">
      <c r="A639">
        <v>17085</v>
      </c>
      <c r="B639" t="s">
        <v>503</v>
      </c>
      <c r="C639" t="s">
        <v>525</v>
      </c>
      <c r="D639" s="2">
        <v>22397</v>
      </c>
      <c r="E639" s="2">
        <v>29362</v>
      </c>
      <c r="F639" s="3">
        <v>5.8</v>
      </c>
      <c r="G639" s="3">
        <v>10991</v>
      </c>
      <c r="H639" s="3">
        <v>81.2</v>
      </c>
      <c r="I639" s="3">
        <v>10.4</v>
      </c>
      <c r="J639" s="3">
        <v>8.1</v>
      </c>
      <c r="K639" s="3">
        <v>0.3</v>
      </c>
      <c r="L639" s="3">
        <v>5.6</v>
      </c>
      <c r="M639" t="str">
        <f>IF(acs2015_county_data[[#This Row],[PublicWork]]&gt;='Описательные характеристики'!$F$5,"да","нет")</f>
        <v>нет</v>
      </c>
      <c r="N639" t="str">
        <f>IF(acs2015_county_data[[#This Row],[Unemployment]]&gt;='Описательные характеристики'!$I$5,"да","нет")</f>
        <v>нет</v>
      </c>
    </row>
    <row r="640" spans="1:14" x14ac:dyDescent="0.35">
      <c r="A640">
        <v>17087</v>
      </c>
      <c r="B640" t="s">
        <v>503</v>
      </c>
      <c r="C640" t="s">
        <v>150</v>
      </c>
      <c r="D640" s="2">
        <v>12829</v>
      </c>
      <c r="E640" s="2">
        <v>20014</v>
      </c>
      <c r="F640" s="3">
        <v>5.0999999999999996</v>
      </c>
      <c r="G640" s="3">
        <v>4244</v>
      </c>
      <c r="H640" s="3">
        <v>66.5</v>
      </c>
      <c r="I640" s="3">
        <v>26.9</v>
      </c>
      <c r="J640" s="3">
        <v>6.5</v>
      </c>
      <c r="K640" s="3">
        <v>0</v>
      </c>
      <c r="L640" s="3">
        <v>10.3</v>
      </c>
      <c r="M640" t="str">
        <f>IF(acs2015_county_data[[#This Row],[PublicWork]]&gt;='Описательные характеристики'!$F$5,"да","нет")</f>
        <v>да</v>
      </c>
      <c r="N640" t="str">
        <f>IF(acs2015_county_data[[#This Row],[Unemployment]]&gt;='Описательные характеристики'!$I$5,"да","нет")</f>
        <v>да</v>
      </c>
    </row>
    <row r="641" spans="1:14" x14ac:dyDescent="0.35">
      <c r="A641">
        <v>17089</v>
      </c>
      <c r="B641" t="s">
        <v>503</v>
      </c>
      <c r="C641" t="s">
        <v>526</v>
      </c>
      <c r="D641" s="2">
        <v>524886</v>
      </c>
      <c r="E641" s="2">
        <v>31056</v>
      </c>
      <c r="F641" s="3">
        <v>4.8</v>
      </c>
      <c r="G641" s="3">
        <v>255530</v>
      </c>
      <c r="H641" s="3">
        <v>85.9</v>
      </c>
      <c r="I641" s="3">
        <v>10.3</v>
      </c>
      <c r="J641" s="3">
        <v>3.7</v>
      </c>
      <c r="K641" s="3">
        <v>0.2</v>
      </c>
      <c r="L641" s="3">
        <v>7.6</v>
      </c>
      <c r="M641" t="str">
        <f>IF(acs2015_county_data[[#This Row],[PublicWork]]&gt;='Описательные характеристики'!$F$5,"да","нет")</f>
        <v>нет</v>
      </c>
      <c r="N641" t="str">
        <f>IF(acs2015_county_data[[#This Row],[Unemployment]]&gt;='Описательные характеристики'!$I$5,"да","нет")</f>
        <v>да</v>
      </c>
    </row>
    <row r="642" spans="1:14" x14ac:dyDescent="0.35">
      <c r="A642">
        <v>17091</v>
      </c>
      <c r="B642" t="s">
        <v>503</v>
      </c>
      <c r="C642" t="s">
        <v>527</v>
      </c>
      <c r="D642" s="2">
        <v>112221</v>
      </c>
      <c r="E642" s="2">
        <v>24449</v>
      </c>
      <c r="F642" s="3">
        <v>3</v>
      </c>
      <c r="G642" s="3">
        <v>49815</v>
      </c>
      <c r="H642" s="3">
        <v>82</v>
      </c>
      <c r="I642" s="3">
        <v>13.6</v>
      </c>
      <c r="J642" s="3">
        <v>4.2</v>
      </c>
      <c r="K642" s="3">
        <v>0.1</v>
      </c>
      <c r="L642" s="3">
        <v>9.8000000000000007</v>
      </c>
      <c r="M642" t="str">
        <f>IF(acs2015_county_data[[#This Row],[PublicWork]]&gt;='Описательные характеристики'!$F$5,"да","нет")</f>
        <v>нет</v>
      </c>
      <c r="N642" t="str">
        <f>IF(acs2015_county_data[[#This Row],[Unemployment]]&gt;='Описательные характеристики'!$I$5,"да","нет")</f>
        <v>да</v>
      </c>
    </row>
    <row r="643" spans="1:14" x14ac:dyDescent="0.35">
      <c r="A643">
        <v>17093</v>
      </c>
      <c r="B643" t="s">
        <v>503</v>
      </c>
      <c r="C643" t="s">
        <v>528</v>
      </c>
      <c r="D643" s="2">
        <v>120036</v>
      </c>
      <c r="E643" s="2">
        <v>31053</v>
      </c>
      <c r="F643" s="3">
        <v>3.7</v>
      </c>
      <c r="G643" s="3">
        <v>61270</v>
      </c>
      <c r="H643" s="3">
        <v>82.9</v>
      </c>
      <c r="I643" s="3">
        <v>13.8</v>
      </c>
      <c r="J643" s="3">
        <v>3.1</v>
      </c>
      <c r="K643" s="3">
        <v>0.2</v>
      </c>
      <c r="L643" s="3">
        <v>6</v>
      </c>
      <c r="M643" t="str">
        <f>IF(acs2015_county_data[[#This Row],[PublicWork]]&gt;='Описательные характеристики'!$F$5,"да","нет")</f>
        <v>нет</v>
      </c>
      <c r="N643" t="str">
        <f>IF(acs2015_county_data[[#This Row],[Unemployment]]&gt;='Описательные характеристики'!$I$5,"да","нет")</f>
        <v>нет</v>
      </c>
    </row>
    <row r="644" spans="1:14" x14ac:dyDescent="0.35">
      <c r="A644">
        <v>17095</v>
      </c>
      <c r="B644" t="s">
        <v>503</v>
      </c>
      <c r="C644" t="s">
        <v>529</v>
      </c>
      <c r="D644" s="2">
        <v>52112</v>
      </c>
      <c r="E644" s="2">
        <v>22241</v>
      </c>
      <c r="F644" s="3">
        <v>2.9</v>
      </c>
      <c r="G644" s="3">
        <v>21475</v>
      </c>
      <c r="H644" s="3">
        <v>81.599999999999994</v>
      </c>
      <c r="I644" s="3">
        <v>12.4</v>
      </c>
      <c r="J644" s="3">
        <v>5.9</v>
      </c>
      <c r="K644" s="3">
        <v>0.1</v>
      </c>
      <c r="L644" s="3">
        <v>7.4</v>
      </c>
      <c r="M644" t="str">
        <f>IF(acs2015_county_data[[#This Row],[PublicWork]]&gt;='Описательные характеристики'!$F$5,"да","нет")</f>
        <v>нет</v>
      </c>
      <c r="N644" t="str">
        <f>IF(acs2015_county_data[[#This Row],[Unemployment]]&gt;='Описательные характеристики'!$I$5,"да","нет")</f>
        <v>нет</v>
      </c>
    </row>
    <row r="645" spans="1:14" x14ac:dyDescent="0.35">
      <c r="A645">
        <v>17097</v>
      </c>
      <c r="B645" t="s">
        <v>503</v>
      </c>
      <c r="C645" t="s">
        <v>196</v>
      </c>
      <c r="D645" s="2">
        <v>702898</v>
      </c>
      <c r="E645" s="2">
        <v>39299</v>
      </c>
      <c r="F645" s="3">
        <v>6.1</v>
      </c>
      <c r="G645" s="3">
        <v>338959</v>
      </c>
      <c r="H645" s="3">
        <v>84.7</v>
      </c>
      <c r="I645" s="3">
        <v>10.5</v>
      </c>
      <c r="J645" s="3">
        <v>4.5999999999999996</v>
      </c>
      <c r="K645" s="3">
        <v>0.2</v>
      </c>
      <c r="L645" s="3">
        <v>7.9</v>
      </c>
      <c r="M645" t="str">
        <f>IF(acs2015_county_data[[#This Row],[PublicWork]]&gt;='Описательные характеристики'!$F$5,"да","нет")</f>
        <v>нет</v>
      </c>
      <c r="N645" t="str">
        <f>IF(acs2015_county_data[[#This Row],[Unemployment]]&gt;='Описательные характеристики'!$I$5,"да","нет")</f>
        <v>да</v>
      </c>
    </row>
    <row r="646" spans="1:14" x14ac:dyDescent="0.35">
      <c r="A646">
        <v>17099</v>
      </c>
      <c r="B646" t="s">
        <v>503</v>
      </c>
      <c r="C646" t="s">
        <v>530</v>
      </c>
      <c r="D646" s="2">
        <v>112579</v>
      </c>
      <c r="E646" s="2">
        <v>25755</v>
      </c>
      <c r="F646" s="3">
        <v>3.2</v>
      </c>
      <c r="G646" s="3">
        <v>51452</v>
      </c>
      <c r="H646" s="3">
        <v>84.2</v>
      </c>
      <c r="I646" s="3">
        <v>11.2</v>
      </c>
      <c r="J646" s="3">
        <v>4.4000000000000004</v>
      </c>
      <c r="K646" s="3">
        <v>0.2</v>
      </c>
      <c r="L646" s="3">
        <v>9.8000000000000007</v>
      </c>
      <c r="M646" t="str">
        <f>IF(acs2015_county_data[[#This Row],[PublicWork]]&gt;='Описательные характеристики'!$F$5,"да","нет")</f>
        <v>нет</v>
      </c>
      <c r="N646" t="str">
        <f>IF(acs2015_county_data[[#This Row],[Unemployment]]&gt;='Описательные характеристики'!$I$5,"да","нет")</f>
        <v>да</v>
      </c>
    </row>
    <row r="647" spans="1:14" x14ac:dyDescent="0.35">
      <c r="A647">
        <v>17101</v>
      </c>
      <c r="B647" t="s">
        <v>503</v>
      </c>
      <c r="C647" t="s">
        <v>52</v>
      </c>
      <c r="D647" s="2">
        <v>16665</v>
      </c>
      <c r="E647" s="2">
        <v>14468</v>
      </c>
      <c r="F647" s="3">
        <v>3.8</v>
      </c>
      <c r="G647" s="3">
        <v>4197</v>
      </c>
      <c r="H647" s="3">
        <v>78.5</v>
      </c>
      <c r="I647" s="3">
        <v>13.2</v>
      </c>
      <c r="J647" s="3">
        <v>8.3000000000000007</v>
      </c>
      <c r="K647" s="3">
        <v>0</v>
      </c>
      <c r="L647" s="3">
        <v>6.1</v>
      </c>
      <c r="M647" t="str">
        <f>IF(acs2015_county_data[[#This Row],[PublicWork]]&gt;='Описательные характеристики'!$F$5,"да","нет")</f>
        <v>нет</v>
      </c>
      <c r="N647" t="str">
        <f>IF(acs2015_county_data[[#This Row],[Unemployment]]&gt;='Описательные характеристики'!$I$5,"да","нет")</f>
        <v>нет</v>
      </c>
    </row>
    <row r="648" spans="1:14" x14ac:dyDescent="0.35">
      <c r="A648">
        <v>17103</v>
      </c>
      <c r="B648" t="s">
        <v>503</v>
      </c>
      <c r="C648" t="s">
        <v>53</v>
      </c>
      <c r="D648" s="2">
        <v>35027</v>
      </c>
      <c r="E648" s="2">
        <v>25363</v>
      </c>
      <c r="F648" s="3">
        <v>4</v>
      </c>
      <c r="G648" s="3">
        <v>15539</v>
      </c>
      <c r="H648" s="3">
        <v>77.099999999999994</v>
      </c>
      <c r="I648" s="3">
        <v>14.7</v>
      </c>
      <c r="J648" s="3">
        <v>7.9</v>
      </c>
      <c r="K648" s="3">
        <v>0.3</v>
      </c>
      <c r="L648" s="3">
        <v>7.5</v>
      </c>
      <c r="M648" t="str">
        <f>IF(acs2015_county_data[[#This Row],[PublicWork]]&gt;='Описательные характеристики'!$F$5,"да","нет")</f>
        <v>нет</v>
      </c>
      <c r="N648" t="str">
        <f>IF(acs2015_county_data[[#This Row],[Unemployment]]&gt;='Описательные характеристики'!$I$5,"да","нет")</f>
        <v>нет</v>
      </c>
    </row>
    <row r="649" spans="1:14" x14ac:dyDescent="0.35">
      <c r="A649">
        <v>17105</v>
      </c>
      <c r="B649" t="s">
        <v>503</v>
      </c>
      <c r="C649" t="s">
        <v>531</v>
      </c>
      <c r="D649" s="2">
        <v>37689</v>
      </c>
      <c r="E649" s="2">
        <v>25769</v>
      </c>
      <c r="F649" s="3">
        <v>3.1</v>
      </c>
      <c r="G649" s="3">
        <v>15954</v>
      </c>
      <c r="H649" s="3">
        <v>80.2</v>
      </c>
      <c r="I649" s="3">
        <v>13.5</v>
      </c>
      <c r="J649" s="3">
        <v>6.3</v>
      </c>
      <c r="K649" s="3">
        <v>0</v>
      </c>
      <c r="L649" s="3">
        <v>6.3</v>
      </c>
      <c r="M649" t="str">
        <f>IF(acs2015_county_data[[#This Row],[PublicWork]]&gt;='Описательные характеристики'!$F$5,"да","нет")</f>
        <v>нет</v>
      </c>
      <c r="N649" t="str">
        <f>IF(acs2015_county_data[[#This Row],[Unemployment]]&gt;='Описательные характеристики'!$I$5,"да","нет")</f>
        <v>нет</v>
      </c>
    </row>
    <row r="650" spans="1:14" x14ac:dyDescent="0.35">
      <c r="A650">
        <v>17107</v>
      </c>
      <c r="B650" t="s">
        <v>503</v>
      </c>
      <c r="C650" t="s">
        <v>154</v>
      </c>
      <c r="D650" s="2">
        <v>29956</v>
      </c>
      <c r="E650" s="2">
        <v>21786</v>
      </c>
      <c r="F650" s="3">
        <v>3.5</v>
      </c>
      <c r="G650" s="3">
        <v>10856</v>
      </c>
      <c r="H650" s="3">
        <v>75</v>
      </c>
      <c r="I650" s="3">
        <v>17</v>
      </c>
      <c r="J650" s="3">
        <v>7.9</v>
      </c>
      <c r="K650" s="3">
        <v>0.2</v>
      </c>
      <c r="L650" s="3">
        <v>7.8</v>
      </c>
      <c r="M650" t="str">
        <f>IF(acs2015_county_data[[#This Row],[PublicWork]]&gt;='Описательные характеристики'!$F$5,"да","нет")</f>
        <v>да</v>
      </c>
      <c r="N650" t="str">
        <f>IF(acs2015_county_data[[#This Row],[Unemployment]]&gt;='Описательные характеристики'!$I$5,"да","нет")</f>
        <v>да</v>
      </c>
    </row>
    <row r="651" spans="1:14" x14ac:dyDescent="0.35">
      <c r="A651">
        <v>17109</v>
      </c>
      <c r="B651" t="s">
        <v>503</v>
      </c>
      <c r="C651" t="s">
        <v>532</v>
      </c>
      <c r="D651" s="2">
        <v>32009</v>
      </c>
      <c r="E651" s="2">
        <v>21664</v>
      </c>
      <c r="F651" s="3">
        <v>3.3</v>
      </c>
      <c r="G651" s="3">
        <v>14279</v>
      </c>
      <c r="H651" s="3">
        <v>65.8</v>
      </c>
      <c r="I651" s="3">
        <v>28.7</v>
      </c>
      <c r="J651" s="3">
        <v>5.3</v>
      </c>
      <c r="K651" s="3">
        <v>0.2</v>
      </c>
      <c r="L651" s="3">
        <v>9.4</v>
      </c>
      <c r="M651" t="str">
        <f>IF(acs2015_county_data[[#This Row],[PublicWork]]&gt;='Описательные характеристики'!$F$5,"да","нет")</f>
        <v>да</v>
      </c>
      <c r="N651" t="str">
        <f>IF(acs2015_county_data[[#This Row],[Unemployment]]&gt;='Описательные характеристики'!$I$5,"да","нет")</f>
        <v>да</v>
      </c>
    </row>
    <row r="652" spans="1:14" x14ac:dyDescent="0.35">
      <c r="A652">
        <v>17111</v>
      </c>
      <c r="B652" t="s">
        <v>503</v>
      </c>
      <c r="C652" t="s">
        <v>533</v>
      </c>
      <c r="D652" s="2">
        <v>307357</v>
      </c>
      <c r="E652" s="2">
        <v>33735</v>
      </c>
      <c r="F652" s="3">
        <v>5.5</v>
      </c>
      <c r="G652" s="3">
        <v>157226</v>
      </c>
      <c r="H652" s="3">
        <v>84.8</v>
      </c>
      <c r="I652" s="3">
        <v>10.4</v>
      </c>
      <c r="J652" s="3">
        <v>4.7</v>
      </c>
      <c r="K652" s="3">
        <v>0.1</v>
      </c>
      <c r="L652" s="3">
        <v>8</v>
      </c>
      <c r="M652" t="str">
        <f>IF(acs2015_county_data[[#This Row],[PublicWork]]&gt;='Описательные характеристики'!$F$5,"да","нет")</f>
        <v>нет</v>
      </c>
      <c r="N652" t="str">
        <f>IF(acs2015_county_data[[#This Row],[Unemployment]]&gt;='Описательные характеристики'!$I$5,"да","нет")</f>
        <v>да</v>
      </c>
    </row>
    <row r="653" spans="1:14" x14ac:dyDescent="0.35">
      <c r="A653">
        <v>17113</v>
      </c>
      <c r="B653" t="s">
        <v>503</v>
      </c>
      <c r="C653" t="s">
        <v>534</v>
      </c>
      <c r="D653" s="2">
        <v>173114</v>
      </c>
      <c r="E653" s="2">
        <v>31305</v>
      </c>
      <c r="F653" s="3">
        <v>3.1</v>
      </c>
      <c r="G653" s="3">
        <v>90810</v>
      </c>
      <c r="H653" s="3">
        <v>81.900000000000006</v>
      </c>
      <c r="I653" s="3">
        <v>13.9</v>
      </c>
      <c r="J653" s="3">
        <v>4</v>
      </c>
      <c r="K653" s="3">
        <v>0.2</v>
      </c>
      <c r="L653" s="3">
        <v>5.5</v>
      </c>
      <c r="M653" t="str">
        <f>IF(acs2015_county_data[[#This Row],[PublicWork]]&gt;='Описательные характеристики'!$F$5,"да","нет")</f>
        <v>нет</v>
      </c>
      <c r="N653" t="str">
        <f>IF(acs2015_county_data[[#This Row],[Unemployment]]&gt;='Описательные характеристики'!$I$5,"да","нет")</f>
        <v>нет</v>
      </c>
    </row>
    <row r="654" spans="1:14" x14ac:dyDescent="0.35">
      <c r="A654">
        <v>17115</v>
      </c>
      <c r="B654" t="s">
        <v>503</v>
      </c>
      <c r="C654" t="s">
        <v>56</v>
      </c>
      <c r="D654" s="2">
        <v>109193</v>
      </c>
      <c r="E654" s="2">
        <v>26895</v>
      </c>
      <c r="F654" s="3">
        <v>2.6</v>
      </c>
      <c r="G654" s="3">
        <v>48783</v>
      </c>
      <c r="H654" s="3">
        <v>82.4</v>
      </c>
      <c r="I654" s="3">
        <v>12.5</v>
      </c>
      <c r="J654" s="3">
        <v>4.9000000000000004</v>
      </c>
      <c r="K654" s="3">
        <v>0.2</v>
      </c>
      <c r="L654" s="3">
        <v>10.5</v>
      </c>
      <c r="M654" t="str">
        <f>IF(acs2015_county_data[[#This Row],[PublicWork]]&gt;='Описательные характеристики'!$F$5,"да","нет")</f>
        <v>нет</v>
      </c>
      <c r="N654" t="str">
        <f>IF(acs2015_county_data[[#This Row],[Unemployment]]&gt;='Описательные характеристики'!$I$5,"да","нет")</f>
        <v>да</v>
      </c>
    </row>
    <row r="655" spans="1:14" x14ac:dyDescent="0.35">
      <c r="A655">
        <v>17117</v>
      </c>
      <c r="B655" t="s">
        <v>503</v>
      </c>
      <c r="C655" t="s">
        <v>535</v>
      </c>
      <c r="D655" s="2">
        <v>46844</v>
      </c>
      <c r="E655" s="2">
        <v>25962</v>
      </c>
      <c r="F655" s="3">
        <v>4</v>
      </c>
      <c r="G655" s="3">
        <v>21098</v>
      </c>
      <c r="H655" s="3">
        <v>79.3</v>
      </c>
      <c r="I655" s="3">
        <v>14.5</v>
      </c>
      <c r="J655" s="3">
        <v>6</v>
      </c>
      <c r="K655" s="3">
        <v>0.2</v>
      </c>
      <c r="L655" s="3">
        <v>9.6</v>
      </c>
      <c r="M655" t="str">
        <f>IF(acs2015_county_data[[#This Row],[PublicWork]]&gt;='Описательные характеристики'!$F$5,"да","нет")</f>
        <v>нет</v>
      </c>
      <c r="N655" t="str">
        <f>IF(acs2015_county_data[[#This Row],[Unemployment]]&gt;='Описательные характеристики'!$I$5,"да","нет")</f>
        <v>да</v>
      </c>
    </row>
    <row r="656" spans="1:14" x14ac:dyDescent="0.35">
      <c r="A656">
        <v>17119</v>
      </c>
      <c r="B656" t="s">
        <v>503</v>
      </c>
      <c r="C656" t="s">
        <v>57</v>
      </c>
      <c r="D656" s="2">
        <v>267356</v>
      </c>
      <c r="E656" s="2">
        <v>28337</v>
      </c>
      <c r="F656" s="3">
        <v>3.7</v>
      </c>
      <c r="G656" s="3">
        <v>125030</v>
      </c>
      <c r="H656" s="3">
        <v>82.8</v>
      </c>
      <c r="I656" s="3">
        <v>13</v>
      </c>
      <c r="J656" s="3">
        <v>4.0999999999999996</v>
      </c>
      <c r="K656" s="3">
        <v>0.1</v>
      </c>
      <c r="L656" s="3">
        <v>8.9</v>
      </c>
      <c r="M656" t="str">
        <f>IF(acs2015_county_data[[#This Row],[PublicWork]]&gt;='Описательные характеристики'!$F$5,"да","нет")</f>
        <v>нет</v>
      </c>
      <c r="N656" t="str">
        <f>IF(acs2015_county_data[[#This Row],[Unemployment]]&gt;='Описательные характеристики'!$I$5,"да","нет")</f>
        <v>да</v>
      </c>
    </row>
    <row r="657" spans="1:14" x14ac:dyDescent="0.35">
      <c r="A657">
        <v>17121</v>
      </c>
      <c r="B657" t="s">
        <v>503</v>
      </c>
      <c r="C657" t="s">
        <v>59</v>
      </c>
      <c r="D657" s="2">
        <v>38665</v>
      </c>
      <c r="E657" s="2">
        <v>22808</v>
      </c>
      <c r="F657" s="3">
        <v>2.6</v>
      </c>
      <c r="G657" s="3">
        <v>17066</v>
      </c>
      <c r="H657" s="3">
        <v>78.7</v>
      </c>
      <c r="I657" s="3">
        <v>15.4</v>
      </c>
      <c r="J657" s="3">
        <v>5.9</v>
      </c>
      <c r="K657" s="3">
        <v>0</v>
      </c>
      <c r="L657" s="3">
        <v>9.6</v>
      </c>
      <c r="M657" t="str">
        <f>IF(acs2015_county_data[[#This Row],[PublicWork]]&gt;='Описательные характеристики'!$F$5,"да","нет")</f>
        <v>нет</v>
      </c>
      <c r="N657" t="str">
        <f>IF(acs2015_county_data[[#This Row],[Unemployment]]&gt;='Описательные характеристики'!$I$5,"да","нет")</f>
        <v>да</v>
      </c>
    </row>
    <row r="658" spans="1:14" x14ac:dyDescent="0.35">
      <c r="A658">
        <v>17123</v>
      </c>
      <c r="B658" t="s">
        <v>503</v>
      </c>
      <c r="C658" t="s">
        <v>60</v>
      </c>
      <c r="D658" s="2">
        <v>12173</v>
      </c>
      <c r="E658" s="2">
        <v>27739</v>
      </c>
      <c r="F658" s="3">
        <v>4.3</v>
      </c>
      <c r="G658" s="3">
        <v>5651</v>
      </c>
      <c r="H658" s="3">
        <v>81</v>
      </c>
      <c r="I658" s="3">
        <v>10.6</v>
      </c>
      <c r="J658" s="3">
        <v>7.8</v>
      </c>
      <c r="K658" s="3">
        <v>0.6</v>
      </c>
      <c r="L658" s="3">
        <v>6.5</v>
      </c>
      <c r="M658" t="str">
        <f>IF(acs2015_county_data[[#This Row],[PublicWork]]&gt;='Описательные характеристики'!$F$5,"да","нет")</f>
        <v>нет</v>
      </c>
      <c r="N658" t="str">
        <f>IF(acs2015_county_data[[#This Row],[Unemployment]]&gt;='Описательные характеристики'!$I$5,"да","нет")</f>
        <v>нет</v>
      </c>
    </row>
    <row r="659" spans="1:14" x14ac:dyDescent="0.35">
      <c r="A659">
        <v>17125</v>
      </c>
      <c r="B659" t="s">
        <v>503</v>
      </c>
      <c r="C659" t="s">
        <v>536</v>
      </c>
      <c r="D659" s="2">
        <v>14126</v>
      </c>
      <c r="E659" s="2">
        <v>24173</v>
      </c>
      <c r="F659" s="3">
        <v>3.5</v>
      </c>
      <c r="G659" s="3">
        <v>6190</v>
      </c>
      <c r="H659" s="3">
        <v>74.099999999999994</v>
      </c>
      <c r="I659" s="3">
        <v>16.2</v>
      </c>
      <c r="J659" s="3">
        <v>9.6999999999999993</v>
      </c>
      <c r="K659" s="3">
        <v>0</v>
      </c>
      <c r="L659" s="3">
        <v>9.5</v>
      </c>
      <c r="M659" t="str">
        <f>IF(acs2015_county_data[[#This Row],[PublicWork]]&gt;='Описательные характеристики'!$F$5,"да","нет")</f>
        <v>да</v>
      </c>
      <c r="N659" t="str">
        <f>IF(acs2015_county_data[[#This Row],[Unemployment]]&gt;='Описательные характеристики'!$I$5,"да","нет")</f>
        <v>да</v>
      </c>
    </row>
    <row r="660" spans="1:14" x14ac:dyDescent="0.35">
      <c r="A660">
        <v>17127</v>
      </c>
      <c r="B660" t="s">
        <v>503</v>
      </c>
      <c r="C660" t="s">
        <v>537</v>
      </c>
      <c r="D660" s="2">
        <v>15016</v>
      </c>
      <c r="E660" s="2">
        <v>22927</v>
      </c>
      <c r="F660" s="3">
        <v>1.7</v>
      </c>
      <c r="G660" s="3">
        <v>5821</v>
      </c>
      <c r="H660" s="3">
        <v>80.3</v>
      </c>
      <c r="I660" s="3">
        <v>14.1</v>
      </c>
      <c r="J660" s="3">
        <v>5.4</v>
      </c>
      <c r="K660" s="3">
        <v>0.1</v>
      </c>
      <c r="L660" s="3">
        <v>8.8000000000000007</v>
      </c>
      <c r="M660" t="str">
        <f>IF(acs2015_county_data[[#This Row],[PublicWork]]&gt;='Описательные характеристики'!$F$5,"да","нет")</f>
        <v>нет</v>
      </c>
      <c r="N660" t="str">
        <f>IF(acs2015_county_data[[#This Row],[Unemployment]]&gt;='Описательные характеристики'!$I$5,"да","нет")</f>
        <v>да</v>
      </c>
    </row>
    <row r="661" spans="1:14" x14ac:dyDescent="0.35">
      <c r="A661">
        <v>17129</v>
      </c>
      <c r="B661" t="s">
        <v>503</v>
      </c>
      <c r="C661" t="s">
        <v>538</v>
      </c>
      <c r="D661" s="2">
        <v>12611</v>
      </c>
      <c r="E661" s="2">
        <v>30578</v>
      </c>
      <c r="F661" s="3">
        <v>3.6</v>
      </c>
      <c r="G661" s="3">
        <v>6252</v>
      </c>
      <c r="H661" s="3">
        <v>71</v>
      </c>
      <c r="I661" s="3">
        <v>23.2</v>
      </c>
      <c r="J661" s="3">
        <v>5.6</v>
      </c>
      <c r="K661" s="3">
        <v>0.1</v>
      </c>
      <c r="L661" s="3">
        <v>5.7</v>
      </c>
      <c r="M661" t="str">
        <f>IF(acs2015_county_data[[#This Row],[PublicWork]]&gt;='Описательные характеристики'!$F$5,"да","нет")</f>
        <v>да</v>
      </c>
      <c r="N661" t="str">
        <f>IF(acs2015_county_data[[#This Row],[Unemployment]]&gt;='Описательные характеристики'!$I$5,"да","нет")</f>
        <v>нет</v>
      </c>
    </row>
    <row r="662" spans="1:14" x14ac:dyDescent="0.35">
      <c r="A662">
        <v>17131</v>
      </c>
      <c r="B662" t="s">
        <v>503</v>
      </c>
      <c r="C662" t="s">
        <v>539</v>
      </c>
      <c r="D662" s="2">
        <v>16107</v>
      </c>
      <c r="E662" s="2">
        <v>26823</v>
      </c>
      <c r="F662" s="3">
        <v>4.2</v>
      </c>
      <c r="G662" s="3">
        <v>7568</v>
      </c>
      <c r="H662" s="3">
        <v>79.7</v>
      </c>
      <c r="I662" s="3">
        <v>11.9</v>
      </c>
      <c r="J662" s="3">
        <v>8.3000000000000007</v>
      </c>
      <c r="K662" s="3">
        <v>0.1</v>
      </c>
      <c r="L662" s="3">
        <v>6.2</v>
      </c>
      <c r="M662" t="str">
        <f>IF(acs2015_county_data[[#This Row],[PublicWork]]&gt;='Описательные характеристики'!$F$5,"да","нет")</f>
        <v>нет</v>
      </c>
      <c r="N662" t="str">
        <f>IF(acs2015_county_data[[#This Row],[Unemployment]]&gt;='Описательные характеристики'!$I$5,"да","нет")</f>
        <v>нет</v>
      </c>
    </row>
    <row r="663" spans="1:14" x14ac:dyDescent="0.35">
      <c r="A663">
        <v>17133</v>
      </c>
      <c r="B663" t="s">
        <v>503</v>
      </c>
      <c r="C663" t="s">
        <v>62</v>
      </c>
      <c r="D663" s="2">
        <v>33539</v>
      </c>
      <c r="E663" s="2">
        <v>32889</v>
      </c>
      <c r="F663" s="3">
        <v>5.0999999999999996</v>
      </c>
      <c r="G663" s="3">
        <v>17120</v>
      </c>
      <c r="H663" s="3">
        <v>83.3</v>
      </c>
      <c r="I663" s="3">
        <v>12</v>
      </c>
      <c r="J663" s="3">
        <v>4.5999999999999996</v>
      </c>
      <c r="K663" s="3">
        <v>0.1</v>
      </c>
      <c r="L663" s="3">
        <v>5.2</v>
      </c>
      <c r="M663" t="str">
        <f>IF(acs2015_county_data[[#This Row],[PublicWork]]&gt;='Описательные характеристики'!$F$5,"да","нет")</f>
        <v>нет</v>
      </c>
      <c r="N663" t="str">
        <f>IF(acs2015_county_data[[#This Row],[Unemployment]]&gt;='Описательные характеристики'!$I$5,"да","нет")</f>
        <v>нет</v>
      </c>
    </row>
    <row r="664" spans="1:14" x14ac:dyDescent="0.35">
      <c r="A664">
        <v>17135</v>
      </c>
      <c r="B664" t="s">
        <v>503</v>
      </c>
      <c r="C664" t="s">
        <v>158</v>
      </c>
      <c r="D664" s="2">
        <v>29348</v>
      </c>
      <c r="E664" s="2">
        <v>19866</v>
      </c>
      <c r="F664" s="3">
        <v>3.2</v>
      </c>
      <c r="G664" s="3">
        <v>9604</v>
      </c>
      <c r="H664" s="3">
        <v>74.900000000000006</v>
      </c>
      <c r="I664" s="3">
        <v>17.100000000000001</v>
      </c>
      <c r="J664" s="3">
        <v>7.9</v>
      </c>
      <c r="K664" s="3">
        <v>0.1</v>
      </c>
      <c r="L664" s="3">
        <v>5.4</v>
      </c>
      <c r="M664" t="str">
        <f>IF(acs2015_county_data[[#This Row],[PublicWork]]&gt;='Описательные характеристики'!$F$5,"да","нет")</f>
        <v>да</v>
      </c>
      <c r="N664" t="str">
        <f>IF(acs2015_county_data[[#This Row],[Unemployment]]&gt;='Описательные характеристики'!$I$5,"да","нет")</f>
        <v>нет</v>
      </c>
    </row>
    <row r="665" spans="1:14" x14ac:dyDescent="0.35">
      <c r="A665">
        <v>17137</v>
      </c>
      <c r="B665" t="s">
        <v>503</v>
      </c>
      <c r="C665" t="s">
        <v>63</v>
      </c>
      <c r="D665" s="2">
        <v>35129</v>
      </c>
      <c r="E665" s="2">
        <v>24586</v>
      </c>
      <c r="F665" s="3">
        <v>3.8</v>
      </c>
      <c r="G665" s="3">
        <v>16089</v>
      </c>
      <c r="H665" s="3">
        <v>76</v>
      </c>
      <c r="I665" s="3">
        <v>16.8</v>
      </c>
      <c r="J665" s="3">
        <v>7</v>
      </c>
      <c r="K665" s="3">
        <v>0.2</v>
      </c>
      <c r="L665" s="3">
        <v>8.3000000000000007</v>
      </c>
      <c r="M665" t="str">
        <f>IF(acs2015_county_data[[#This Row],[PublicWork]]&gt;='Описательные характеристики'!$F$5,"да","нет")</f>
        <v>да</v>
      </c>
      <c r="N665" t="str">
        <f>IF(acs2015_county_data[[#This Row],[Unemployment]]&gt;='Описательные характеристики'!$I$5,"да","нет")</f>
        <v>да</v>
      </c>
    </row>
    <row r="666" spans="1:14" x14ac:dyDescent="0.35">
      <c r="A666">
        <v>17139</v>
      </c>
      <c r="B666" t="s">
        <v>503</v>
      </c>
      <c r="C666" t="s">
        <v>540</v>
      </c>
      <c r="D666" s="2">
        <v>14927</v>
      </c>
      <c r="E666" s="2">
        <v>25053</v>
      </c>
      <c r="F666" s="3">
        <v>4.8</v>
      </c>
      <c r="G666" s="3">
        <v>6963</v>
      </c>
      <c r="H666" s="3">
        <v>81.7</v>
      </c>
      <c r="I666" s="3">
        <v>10.1</v>
      </c>
      <c r="J666" s="3">
        <v>8</v>
      </c>
      <c r="K666" s="3">
        <v>0.1</v>
      </c>
      <c r="L666" s="3">
        <v>4.9000000000000004</v>
      </c>
      <c r="M666" t="str">
        <f>IF(acs2015_county_data[[#This Row],[PublicWork]]&gt;='Описательные характеристики'!$F$5,"да","нет")</f>
        <v>нет</v>
      </c>
      <c r="N666" t="str">
        <f>IF(acs2015_county_data[[#This Row],[Unemployment]]&gt;='Описательные характеристики'!$I$5,"да","нет")</f>
        <v>нет</v>
      </c>
    </row>
    <row r="667" spans="1:14" x14ac:dyDescent="0.35">
      <c r="A667">
        <v>17141</v>
      </c>
      <c r="B667" t="s">
        <v>503</v>
      </c>
      <c r="C667" t="s">
        <v>541</v>
      </c>
      <c r="D667" s="2">
        <v>52397</v>
      </c>
      <c r="E667" s="2">
        <v>27451</v>
      </c>
      <c r="F667" s="3">
        <v>4.2</v>
      </c>
      <c r="G667" s="3">
        <v>24989</v>
      </c>
      <c r="H667" s="3">
        <v>79.8</v>
      </c>
      <c r="I667" s="3">
        <v>14.5</v>
      </c>
      <c r="J667" s="3">
        <v>5.6</v>
      </c>
      <c r="K667" s="3">
        <v>0.1</v>
      </c>
      <c r="L667" s="3">
        <v>8</v>
      </c>
      <c r="M667" t="str">
        <f>IF(acs2015_county_data[[#This Row],[PublicWork]]&gt;='Описательные характеристики'!$F$5,"да","нет")</f>
        <v>нет</v>
      </c>
      <c r="N667" t="str">
        <f>IF(acs2015_county_data[[#This Row],[Unemployment]]&gt;='Описательные характеристики'!$I$5,"да","нет")</f>
        <v>да</v>
      </c>
    </row>
    <row r="668" spans="1:14" x14ac:dyDescent="0.35">
      <c r="A668">
        <v>17143</v>
      </c>
      <c r="B668" t="s">
        <v>503</v>
      </c>
      <c r="C668" t="s">
        <v>542</v>
      </c>
      <c r="D668" s="2">
        <v>187112</v>
      </c>
      <c r="E668" s="2">
        <v>28610</v>
      </c>
      <c r="F668" s="3">
        <v>2.5</v>
      </c>
      <c r="G668" s="3">
        <v>85639</v>
      </c>
      <c r="H668" s="3">
        <v>85.8</v>
      </c>
      <c r="I668" s="3">
        <v>10.4</v>
      </c>
      <c r="J668" s="3">
        <v>3.7</v>
      </c>
      <c r="K668" s="3">
        <v>0.1</v>
      </c>
      <c r="L668" s="3">
        <v>8.6999999999999993</v>
      </c>
      <c r="M668" t="str">
        <f>IF(acs2015_county_data[[#This Row],[PublicWork]]&gt;='Описательные характеристики'!$F$5,"да","нет")</f>
        <v>нет</v>
      </c>
      <c r="N668" t="str">
        <f>IF(acs2015_county_data[[#This Row],[Unemployment]]&gt;='Описательные характеристики'!$I$5,"да","нет")</f>
        <v>да</v>
      </c>
    </row>
    <row r="669" spans="1:14" x14ac:dyDescent="0.35">
      <c r="A669">
        <v>17145</v>
      </c>
      <c r="B669" t="s">
        <v>503</v>
      </c>
      <c r="C669" t="s">
        <v>64</v>
      </c>
      <c r="D669" s="2">
        <v>21810</v>
      </c>
      <c r="E669" s="2">
        <v>21720</v>
      </c>
      <c r="F669" s="3">
        <v>2.5</v>
      </c>
      <c r="G669" s="3">
        <v>8312</v>
      </c>
      <c r="H669" s="3">
        <v>75.7</v>
      </c>
      <c r="I669" s="3">
        <v>18.2</v>
      </c>
      <c r="J669" s="3">
        <v>5.7</v>
      </c>
      <c r="K669" s="3">
        <v>0.4</v>
      </c>
      <c r="L669" s="3">
        <v>8</v>
      </c>
      <c r="M669" t="str">
        <f>IF(acs2015_county_data[[#This Row],[PublicWork]]&gt;='Описательные характеристики'!$F$5,"да","нет")</f>
        <v>да</v>
      </c>
      <c r="N669" t="str">
        <f>IF(acs2015_county_data[[#This Row],[Unemployment]]&gt;='Описательные характеристики'!$I$5,"да","нет")</f>
        <v>да</v>
      </c>
    </row>
    <row r="670" spans="1:14" x14ac:dyDescent="0.35">
      <c r="A670">
        <v>17147</v>
      </c>
      <c r="B670" t="s">
        <v>503</v>
      </c>
      <c r="C670" t="s">
        <v>543</v>
      </c>
      <c r="D670" s="2">
        <v>16495</v>
      </c>
      <c r="E670" s="2">
        <v>32724</v>
      </c>
      <c r="F670" s="3">
        <v>4.0999999999999996</v>
      </c>
      <c r="G670" s="3">
        <v>8451</v>
      </c>
      <c r="H670" s="3">
        <v>71.2</v>
      </c>
      <c r="I670" s="3">
        <v>20.6</v>
      </c>
      <c r="J670" s="3">
        <v>8</v>
      </c>
      <c r="K670" s="3">
        <v>0.1</v>
      </c>
      <c r="L670" s="3">
        <v>6.3</v>
      </c>
      <c r="M670" t="str">
        <f>IF(acs2015_county_data[[#This Row],[PublicWork]]&gt;='Описательные характеристики'!$F$5,"да","нет")</f>
        <v>да</v>
      </c>
      <c r="N670" t="str">
        <f>IF(acs2015_county_data[[#This Row],[Unemployment]]&gt;='Описательные характеристики'!$I$5,"да","нет")</f>
        <v>нет</v>
      </c>
    </row>
    <row r="671" spans="1:14" x14ac:dyDescent="0.35">
      <c r="A671">
        <v>17149</v>
      </c>
      <c r="B671" t="s">
        <v>503</v>
      </c>
      <c r="C671" t="s">
        <v>66</v>
      </c>
      <c r="D671" s="2">
        <v>16144</v>
      </c>
      <c r="E671" s="2">
        <v>21594</v>
      </c>
      <c r="F671" s="3">
        <v>3.8</v>
      </c>
      <c r="G671" s="3">
        <v>7197</v>
      </c>
      <c r="H671" s="3">
        <v>74.2</v>
      </c>
      <c r="I671" s="3">
        <v>17</v>
      </c>
      <c r="J671" s="3">
        <v>8.3000000000000007</v>
      </c>
      <c r="K671" s="3">
        <v>0.6</v>
      </c>
      <c r="L671" s="3">
        <v>5.6</v>
      </c>
      <c r="M671" t="str">
        <f>IF(acs2015_county_data[[#This Row],[PublicWork]]&gt;='Описательные характеристики'!$F$5,"да","нет")</f>
        <v>да</v>
      </c>
      <c r="N671" t="str">
        <f>IF(acs2015_county_data[[#This Row],[Unemployment]]&gt;='Описательные характеристики'!$I$5,"да","нет")</f>
        <v>нет</v>
      </c>
    </row>
    <row r="672" spans="1:14" x14ac:dyDescent="0.35">
      <c r="A672">
        <v>17151</v>
      </c>
      <c r="B672" t="s">
        <v>503</v>
      </c>
      <c r="C672" t="s">
        <v>165</v>
      </c>
      <c r="D672" s="2">
        <v>4331</v>
      </c>
      <c r="E672" s="2">
        <v>21131</v>
      </c>
      <c r="F672" s="3">
        <v>6.5</v>
      </c>
      <c r="G672" s="3">
        <v>1469</v>
      </c>
      <c r="H672" s="3">
        <v>74.8</v>
      </c>
      <c r="I672" s="3">
        <v>18</v>
      </c>
      <c r="J672" s="3">
        <v>6.5</v>
      </c>
      <c r="K672" s="3">
        <v>0.7</v>
      </c>
      <c r="L672" s="3">
        <v>10</v>
      </c>
      <c r="M672" t="str">
        <f>IF(acs2015_county_data[[#This Row],[PublicWork]]&gt;='Описательные характеристики'!$F$5,"да","нет")</f>
        <v>да</v>
      </c>
      <c r="N672" t="str">
        <f>IF(acs2015_county_data[[#This Row],[Unemployment]]&gt;='Описательные характеристики'!$I$5,"да","нет")</f>
        <v>да</v>
      </c>
    </row>
    <row r="673" spans="1:14" x14ac:dyDescent="0.35">
      <c r="A673">
        <v>17153</v>
      </c>
      <c r="B673" t="s">
        <v>503</v>
      </c>
      <c r="C673" t="s">
        <v>166</v>
      </c>
      <c r="D673" s="2">
        <v>5871</v>
      </c>
      <c r="E673" s="2">
        <v>18923</v>
      </c>
      <c r="F673" s="3">
        <v>4.2</v>
      </c>
      <c r="G673" s="3">
        <v>1935</v>
      </c>
      <c r="H673" s="3">
        <v>71.400000000000006</v>
      </c>
      <c r="I673" s="3">
        <v>22.5</v>
      </c>
      <c r="J673" s="3">
        <v>6</v>
      </c>
      <c r="K673" s="3">
        <v>0.1</v>
      </c>
      <c r="L673" s="3">
        <v>16.2</v>
      </c>
      <c r="M673" t="str">
        <f>IF(acs2015_county_data[[#This Row],[PublicWork]]&gt;='Описательные характеристики'!$F$5,"да","нет")</f>
        <v>да</v>
      </c>
      <c r="N673" t="str">
        <f>IF(acs2015_county_data[[#This Row],[Unemployment]]&gt;='Описательные характеристики'!$I$5,"да","нет")</f>
        <v>да</v>
      </c>
    </row>
    <row r="674" spans="1:14" x14ac:dyDescent="0.35">
      <c r="A674">
        <v>17155</v>
      </c>
      <c r="B674" t="s">
        <v>503</v>
      </c>
      <c r="C674" t="s">
        <v>343</v>
      </c>
      <c r="D674" s="2">
        <v>5822</v>
      </c>
      <c r="E674" s="2">
        <v>29918</v>
      </c>
      <c r="F674" s="3">
        <v>1.1000000000000001</v>
      </c>
      <c r="G674" s="3">
        <v>2827</v>
      </c>
      <c r="H674" s="3">
        <v>79.2</v>
      </c>
      <c r="I674" s="3">
        <v>13.5</v>
      </c>
      <c r="J674" s="3">
        <v>7.1</v>
      </c>
      <c r="K674" s="3">
        <v>0.1</v>
      </c>
      <c r="L674" s="3">
        <v>9.9</v>
      </c>
      <c r="M674" t="str">
        <f>IF(acs2015_county_data[[#This Row],[PublicWork]]&gt;='Описательные характеристики'!$F$5,"да","нет")</f>
        <v>нет</v>
      </c>
      <c r="N674" t="str">
        <f>IF(acs2015_county_data[[#This Row],[Unemployment]]&gt;='Описательные характеристики'!$I$5,"да","нет")</f>
        <v>да</v>
      </c>
    </row>
    <row r="675" spans="1:14" x14ac:dyDescent="0.35">
      <c r="A675">
        <v>17157</v>
      </c>
      <c r="B675" t="s">
        <v>503</v>
      </c>
      <c r="C675" t="s">
        <v>67</v>
      </c>
      <c r="D675" s="2">
        <v>33069</v>
      </c>
      <c r="E675" s="2">
        <v>22895</v>
      </c>
      <c r="F675" s="3">
        <v>2.7</v>
      </c>
      <c r="G675" s="3">
        <v>13698</v>
      </c>
      <c r="H675" s="3">
        <v>79</v>
      </c>
      <c r="I675" s="3">
        <v>15.3</v>
      </c>
      <c r="J675" s="3">
        <v>5.4</v>
      </c>
      <c r="K675" s="3">
        <v>0.2</v>
      </c>
      <c r="L675" s="3">
        <v>6.7</v>
      </c>
      <c r="M675" t="str">
        <f>IF(acs2015_county_data[[#This Row],[PublicWork]]&gt;='Описательные характеристики'!$F$5,"да","нет")</f>
        <v>нет</v>
      </c>
      <c r="N675" t="str">
        <f>IF(acs2015_county_data[[#This Row],[Unemployment]]&gt;='Описательные характеристики'!$I$5,"да","нет")</f>
        <v>нет</v>
      </c>
    </row>
    <row r="676" spans="1:14" x14ac:dyDescent="0.35">
      <c r="A676">
        <v>17159</v>
      </c>
      <c r="B676" t="s">
        <v>503</v>
      </c>
      <c r="C676" t="s">
        <v>544</v>
      </c>
      <c r="D676" s="2">
        <v>16127</v>
      </c>
      <c r="E676" s="2">
        <v>23498</v>
      </c>
      <c r="F676" s="3">
        <v>2.6</v>
      </c>
      <c r="G676" s="3">
        <v>7317</v>
      </c>
      <c r="H676" s="3">
        <v>79.599999999999994</v>
      </c>
      <c r="I676" s="3">
        <v>14.2</v>
      </c>
      <c r="J676" s="3">
        <v>6.1</v>
      </c>
      <c r="K676" s="3">
        <v>0.1</v>
      </c>
      <c r="L676" s="3">
        <v>5.4</v>
      </c>
      <c r="M676" t="str">
        <f>IF(acs2015_county_data[[#This Row],[PublicWork]]&gt;='Описательные характеристики'!$F$5,"да","нет")</f>
        <v>нет</v>
      </c>
      <c r="N676" t="str">
        <f>IF(acs2015_county_data[[#This Row],[Unemployment]]&gt;='Описательные характеристики'!$I$5,"да","нет")</f>
        <v>нет</v>
      </c>
    </row>
    <row r="677" spans="1:14" x14ac:dyDescent="0.35">
      <c r="A677">
        <v>17161</v>
      </c>
      <c r="B677" t="s">
        <v>503</v>
      </c>
      <c r="C677" t="s">
        <v>545</v>
      </c>
      <c r="D677" s="2">
        <v>147161</v>
      </c>
      <c r="E677" s="2">
        <v>26391</v>
      </c>
      <c r="F677" s="3">
        <v>2.8</v>
      </c>
      <c r="G677" s="3">
        <v>68438</v>
      </c>
      <c r="H677" s="3">
        <v>82.8</v>
      </c>
      <c r="I677" s="3">
        <v>12.9</v>
      </c>
      <c r="J677" s="3">
        <v>4.0999999999999996</v>
      </c>
      <c r="K677" s="3">
        <v>0.2</v>
      </c>
      <c r="L677" s="3">
        <v>7.9</v>
      </c>
      <c r="M677" t="str">
        <f>IF(acs2015_county_data[[#This Row],[PublicWork]]&gt;='Описательные характеристики'!$F$5,"да","нет")</f>
        <v>нет</v>
      </c>
      <c r="N677" t="str">
        <f>IF(acs2015_county_data[[#This Row],[Unemployment]]&gt;='Описательные характеристики'!$I$5,"да","нет")</f>
        <v>да</v>
      </c>
    </row>
    <row r="678" spans="1:14" x14ac:dyDescent="0.35">
      <c r="A678">
        <v>17163</v>
      </c>
      <c r="B678" t="s">
        <v>503</v>
      </c>
      <c r="C678" t="s">
        <v>69</v>
      </c>
      <c r="D678" s="2">
        <v>267029</v>
      </c>
      <c r="E678" s="2">
        <v>26738</v>
      </c>
      <c r="F678" s="3">
        <v>3.2</v>
      </c>
      <c r="G678" s="3">
        <v>116537</v>
      </c>
      <c r="H678" s="3">
        <v>79.8</v>
      </c>
      <c r="I678" s="3">
        <v>16.100000000000001</v>
      </c>
      <c r="J678" s="3">
        <v>4</v>
      </c>
      <c r="K678" s="3">
        <v>0.1</v>
      </c>
      <c r="L678" s="3">
        <v>8.9</v>
      </c>
      <c r="M678" t="str">
        <f>IF(acs2015_county_data[[#This Row],[PublicWork]]&gt;='Описательные характеристики'!$F$5,"да","нет")</f>
        <v>нет</v>
      </c>
      <c r="N678" t="str">
        <f>IF(acs2015_county_data[[#This Row],[Unemployment]]&gt;='Описательные характеристики'!$I$5,"да","нет")</f>
        <v>да</v>
      </c>
    </row>
    <row r="679" spans="1:14" x14ac:dyDescent="0.35">
      <c r="A679">
        <v>17165</v>
      </c>
      <c r="B679" t="s">
        <v>503</v>
      </c>
      <c r="C679" t="s">
        <v>168</v>
      </c>
      <c r="D679" s="2">
        <v>24783</v>
      </c>
      <c r="E679" s="2">
        <v>21175</v>
      </c>
      <c r="F679" s="3">
        <v>2.6</v>
      </c>
      <c r="G679" s="3">
        <v>9841</v>
      </c>
      <c r="H679" s="3">
        <v>76.8</v>
      </c>
      <c r="I679" s="3">
        <v>15.9</v>
      </c>
      <c r="J679" s="3">
        <v>7</v>
      </c>
      <c r="K679" s="3">
        <v>0.3</v>
      </c>
      <c r="L679" s="3">
        <v>13</v>
      </c>
      <c r="M679" t="str">
        <f>IF(acs2015_county_data[[#This Row],[PublicWork]]&gt;='Описательные характеристики'!$F$5,"да","нет")</f>
        <v>нет</v>
      </c>
      <c r="N679" t="str">
        <f>IF(acs2015_county_data[[#This Row],[Unemployment]]&gt;='Описательные характеристики'!$I$5,"да","нет")</f>
        <v>да</v>
      </c>
    </row>
    <row r="680" spans="1:14" x14ac:dyDescent="0.35">
      <c r="A680">
        <v>17167</v>
      </c>
      <c r="B680" t="s">
        <v>503</v>
      </c>
      <c r="C680" t="s">
        <v>546</v>
      </c>
      <c r="D680" s="2">
        <v>199016</v>
      </c>
      <c r="E680" s="2">
        <v>31024</v>
      </c>
      <c r="F680" s="3">
        <v>3.6</v>
      </c>
      <c r="G680" s="3">
        <v>96155</v>
      </c>
      <c r="H680" s="3">
        <v>71</v>
      </c>
      <c r="I680" s="3">
        <v>24.2</v>
      </c>
      <c r="J680" s="3">
        <v>4.5999999999999996</v>
      </c>
      <c r="K680" s="3">
        <v>0.2</v>
      </c>
      <c r="L680" s="3">
        <v>7.9</v>
      </c>
      <c r="M680" t="str">
        <f>IF(acs2015_county_data[[#This Row],[PublicWork]]&gt;='Описательные характеристики'!$F$5,"да","нет")</f>
        <v>да</v>
      </c>
      <c r="N680" t="str">
        <f>IF(acs2015_county_data[[#This Row],[Unemployment]]&gt;='Описательные характеристики'!$I$5,"да","нет")</f>
        <v>да</v>
      </c>
    </row>
    <row r="681" spans="1:14" x14ac:dyDescent="0.35">
      <c r="A681">
        <v>17169</v>
      </c>
      <c r="B681" t="s">
        <v>503</v>
      </c>
      <c r="C681" t="s">
        <v>547</v>
      </c>
      <c r="D681" s="2">
        <v>7311</v>
      </c>
      <c r="E681" s="2">
        <v>24077</v>
      </c>
      <c r="F681" s="3">
        <v>5</v>
      </c>
      <c r="G681" s="3">
        <v>3062</v>
      </c>
      <c r="H681" s="3">
        <v>68.8</v>
      </c>
      <c r="I681" s="3">
        <v>21</v>
      </c>
      <c r="J681" s="3">
        <v>10</v>
      </c>
      <c r="K681" s="3">
        <v>0.2</v>
      </c>
      <c r="L681" s="3">
        <v>5.3</v>
      </c>
      <c r="M681" t="str">
        <f>IF(acs2015_county_data[[#This Row],[PublicWork]]&gt;='Описательные характеристики'!$F$5,"да","нет")</f>
        <v>да</v>
      </c>
      <c r="N681" t="str">
        <f>IF(acs2015_county_data[[#This Row],[Unemployment]]&gt;='Описательные характеристики'!$I$5,"да","нет")</f>
        <v>нет</v>
      </c>
    </row>
    <row r="682" spans="1:14" x14ac:dyDescent="0.35">
      <c r="A682">
        <v>17171</v>
      </c>
      <c r="B682" t="s">
        <v>503</v>
      </c>
      <c r="C682" t="s">
        <v>169</v>
      </c>
      <c r="D682" s="2">
        <v>5198</v>
      </c>
      <c r="E682" s="2">
        <v>24978</v>
      </c>
      <c r="F682" s="3">
        <v>4.0999999999999996</v>
      </c>
      <c r="G682" s="3">
        <v>2370</v>
      </c>
      <c r="H682" s="3">
        <v>76.900000000000006</v>
      </c>
      <c r="I682" s="3">
        <v>14.7</v>
      </c>
      <c r="J682" s="3">
        <v>8.1999999999999993</v>
      </c>
      <c r="K682" s="3">
        <v>0.2</v>
      </c>
      <c r="L682" s="3">
        <v>9.4</v>
      </c>
      <c r="M682" t="str">
        <f>IF(acs2015_county_data[[#This Row],[PublicWork]]&gt;='Описательные характеристики'!$F$5,"да","нет")</f>
        <v>нет</v>
      </c>
      <c r="N682" t="str">
        <f>IF(acs2015_county_data[[#This Row],[Unemployment]]&gt;='Описательные характеристики'!$I$5,"да","нет")</f>
        <v>да</v>
      </c>
    </row>
    <row r="683" spans="1:14" x14ac:dyDescent="0.35">
      <c r="A683">
        <v>17173</v>
      </c>
      <c r="B683" t="s">
        <v>503</v>
      </c>
      <c r="C683" t="s">
        <v>70</v>
      </c>
      <c r="D683" s="2">
        <v>22115</v>
      </c>
      <c r="E683" s="2">
        <v>23697</v>
      </c>
      <c r="F683" s="3">
        <v>5.8</v>
      </c>
      <c r="G683" s="3">
        <v>9895</v>
      </c>
      <c r="H683" s="3">
        <v>82.4</v>
      </c>
      <c r="I683" s="3">
        <v>10.199999999999999</v>
      </c>
      <c r="J683" s="3">
        <v>7.5</v>
      </c>
      <c r="K683" s="3">
        <v>0</v>
      </c>
      <c r="L683" s="3">
        <v>6.2</v>
      </c>
      <c r="M683" t="str">
        <f>IF(acs2015_county_data[[#This Row],[PublicWork]]&gt;='Описательные характеристики'!$F$5,"да","нет")</f>
        <v>нет</v>
      </c>
      <c r="N683" t="str">
        <f>IF(acs2015_county_data[[#This Row],[Unemployment]]&gt;='Описательные характеристики'!$I$5,"да","нет")</f>
        <v>нет</v>
      </c>
    </row>
    <row r="684" spans="1:14" x14ac:dyDescent="0.35">
      <c r="A684">
        <v>17175</v>
      </c>
      <c r="B684" t="s">
        <v>503</v>
      </c>
      <c r="C684" t="s">
        <v>548</v>
      </c>
      <c r="D684" s="2">
        <v>5859</v>
      </c>
      <c r="E684" s="2">
        <v>27148</v>
      </c>
      <c r="F684" s="3">
        <v>6.4</v>
      </c>
      <c r="G684" s="3">
        <v>2556</v>
      </c>
      <c r="H684" s="3">
        <v>77.2</v>
      </c>
      <c r="I684" s="3">
        <v>12.6</v>
      </c>
      <c r="J684" s="3">
        <v>9</v>
      </c>
      <c r="K684" s="3">
        <v>1.3</v>
      </c>
      <c r="L684" s="3">
        <v>7.7</v>
      </c>
      <c r="M684" t="str">
        <f>IF(acs2015_county_data[[#This Row],[PublicWork]]&gt;='Описательные характеристики'!$F$5,"да","нет")</f>
        <v>нет</v>
      </c>
      <c r="N684" t="str">
        <f>IF(acs2015_county_data[[#This Row],[Unemployment]]&gt;='Описательные характеристики'!$I$5,"да","нет")</f>
        <v>да</v>
      </c>
    </row>
    <row r="685" spans="1:14" x14ac:dyDescent="0.35">
      <c r="A685">
        <v>17177</v>
      </c>
      <c r="B685" t="s">
        <v>503</v>
      </c>
      <c r="C685" t="s">
        <v>549</v>
      </c>
      <c r="D685" s="2">
        <v>46625</v>
      </c>
      <c r="E685" s="2">
        <v>24253</v>
      </c>
      <c r="F685" s="3">
        <v>5.5</v>
      </c>
      <c r="G685" s="3">
        <v>21853</v>
      </c>
      <c r="H685" s="3">
        <v>80.8</v>
      </c>
      <c r="I685" s="3">
        <v>10.4</v>
      </c>
      <c r="J685" s="3">
        <v>8.6999999999999993</v>
      </c>
      <c r="K685" s="3">
        <v>0.1</v>
      </c>
      <c r="L685" s="3">
        <v>9.9</v>
      </c>
      <c r="M685" t="str">
        <f>IF(acs2015_county_data[[#This Row],[PublicWork]]&gt;='Описательные характеристики'!$F$5,"да","нет")</f>
        <v>нет</v>
      </c>
      <c r="N685" t="str">
        <f>IF(acs2015_county_data[[#This Row],[Unemployment]]&gt;='Описательные характеристики'!$I$5,"да","нет")</f>
        <v>да</v>
      </c>
    </row>
    <row r="686" spans="1:14" x14ac:dyDescent="0.35">
      <c r="A686">
        <v>17179</v>
      </c>
      <c r="B686" t="s">
        <v>503</v>
      </c>
      <c r="C686" t="s">
        <v>550</v>
      </c>
      <c r="D686" s="2">
        <v>135697</v>
      </c>
      <c r="E686" s="2">
        <v>29718</v>
      </c>
      <c r="F686" s="3">
        <v>2.7</v>
      </c>
      <c r="G686" s="3">
        <v>64883</v>
      </c>
      <c r="H686" s="3">
        <v>84.6</v>
      </c>
      <c r="I686" s="3">
        <v>10.7</v>
      </c>
      <c r="J686" s="3">
        <v>4.7</v>
      </c>
      <c r="K686" s="3">
        <v>0.1</v>
      </c>
      <c r="L686" s="3">
        <v>5.5</v>
      </c>
      <c r="M686" t="str">
        <f>IF(acs2015_county_data[[#This Row],[PublicWork]]&gt;='Описательные характеристики'!$F$5,"да","нет")</f>
        <v>нет</v>
      </c>
      <c r="N686" t="str">
        <f>IF(acs2015_county_data[[#This Row],[Unemployment]]&gt;='Описательные характеристики'!$I$5,"да","нет")</f>
        <v>нет</v>
      </c>
    </row>
    <row r="687" spans="1:14" x14ac:dyDescent="0.35">
      <c r="A687">
        <v>17181</v>
      </c>
      <c r="B687" t="s">
        <v>503</v>
      </c>
      <c r="C687" t="s">
        <v>175</v>
      </c>
      <c r="D687" s="2">
        <v>17551</v>
      </c>
      <c r="E687" s="2">
        <v>23140</v>
      </c>
      <c r="F687" s="3">
        <v>5.2</v>
      </c>
      <c r="G687" s="3">
        <v>7339</v>
      </c>
      <c r="H687" s="3">
        <v>68.900000000000006</v>
      </c>
      <c r="I687" s="3">
        <v>23.8</v>
      </c>
      <c r="J687" s="3">
        <v>6.5</v>
      </c>
      <c r="K687" s="3">
        <v>0.8</v>
      </c>
      <c r="L687" s="3">
        <v>7</v>
      </c>
      <c r="M687" t="str">
        <f>IF(acs2015_county_data[[#This Row],[PublicWork]]&gt;='Описательные характеристики'!$F$5,"да","нет")</f>
        <v>да</v>
      </c>
      <c r="N687" t="str">
        <f>IF(acs2015_county_data[[#This Row],[Unemployment]]&gt;='Описательные характеристики'!$I$5,"да","нет")</f>
        <v>нет</v>
      </c>
    </row>
    <row r="688" spans="1:14" x14ac:dyDescent="0.35">
      <c r="A688">
        <v>17183</v>
      </c>
      <c r="B688" t="s">
        <v>503</v>
      </c>
      <c r="C688" t="s">
        <v>551</v>
      </c>
      <c r="D688" s="2">
        <v>80368</v>
      </c>
      <c r="E688" s="2">
        <v>22233</v>
      </c>
      <c r="F688" s="3">
        <v>2.9</v>
      </c>
      <c r="G688" s="3">
        <v>32514</v>
      </c>
      <c r="H688" s="3">
        <v>78.900000000000006</v>
      </c>
      <c r="I688" s="3">
        <v>15.2</v>
      </c>
      <c r="J688" s="3">
        <v>5.7</v>
      </c>
      <c r="K688" s="3">
        <v>0.2</v>
      </c>
      <c r="L688" s="3">
        <v>10.7</v>
      </c>
      <c r="M688" t="str">
        <f>IF(acs2015_county_data[[#This Row],[PublicWork]]&gt;='Описательные характеристики'!$F$5,"да","нет")</f>
        <v>нет</v>
      </c>
      <c r="N688" t="str">
        <f>IF(acs2015_county_data[[#This Row],[Unemployment]]&gt;='Описательные характеристики'!$I$5,"да","нет")</f>
        <v>да</v>
      </c>
    </row>
    <row r="689" spans="1:14" x14ac:dyDescent="0.35">
      <c r="A689">
        <v>17185</v>
      </c>
      <c r="B689" t="s">
        <v>503</v>
      </c>
      <c r="C689" t="s">
        <v>552</v>
      </c>
      <c r="D689" s="2">
        <v>11652</v>
      </c>
      <c r="E689" s="2">
        <v>24155</v>
      </c>
      <c r="F689" s="3">
        <v>3.2</v>
      </c>
      <c r="G689" s="3">
        <v>5501</v>
      </c>
      <c r="H689" s="3">
        <v>81</v>
      </c>
      <c r="I689" s="3">
        <v>12.9</v>
      </c>
      <c r="J689" s="3">
        <v>6.1</v>
      </c>
      <c r="K689" s="3">
        <v>0</v>
      </c>
      <c r="L689" s="3">
        <v>8.6999999999999993</v>
      </c>
      <c r="M689" t="str">
        <f>IF(acs2015_county_data[[#This Row],[PublicWork]]&gt;='Описательные характеристики'!$F$5,"да","нет")</f>
        <v>нет</v>
      </c>
      <c r="N689" t="str">
        <f>IF(acs2015_county_data[[#This Row],[Unemployment]]&gt;='Описательные характеристики'!$I$5,"да","нет")</f>
        <v>да</v>
      </c>
    </row>
    <row r="690" spans="1:14" x14ac:dyDescent="0.35">
      <c r="A690">
        <v>17187</v>
      </c>
      <c r="B690" t="s">
        <v>503</v>
      </c>
      <c r="C690" t="s">
        <v>456</v>
      </c>
      <c r="D690" s="2">
        <v>17701</v>
      </c>
      <c r="E690" s="2">
        <v>22876</v>
      </c>
      <c r="F690" s="3">
        <v>5.7</v>
      </c>
      <c r="G690" s="3">
        <v>8068</v>
      </c>
      <c r="H690" s="3">
        <v>79.5</v>
      </c>
      <c r="I690" s="3">
        <v>12.1</v>
      </c>
      <c r="J690" s="3">
        <v>8.1999999999999993</v>
      </c>
      <c r="K690" s="3">
        <v>0.1</v>
      </c>
      <c r="L690" s="3">
        <v>9.1999999999999993</v>
      </c>
      <c r="M690" t="str">
        <f>IF(acs2015_county_data[[#This Row],[PublicWork]]&gt;='Описательные характеристики'!$F$5,"да","нет")</f>
        <v>нет</v>
      </c>
      <c r="N690" t="str">
        <f>IF(acs2015_county_data[[#This Row],[Unemployment]]&gt;='Описательные характеристики'!$I$5,"да","нет")</f>
        <v>да</v>
      </c>
    </row>
    <row r="691" spans="1:14" x14ac:dyDescent="0.35">
      <c r="A691">
        <v>17189</v>
      </c>
      <c r="B691" t="s">
        <v>503</v>
      </c>
      <c r="C691" t="s">
        <v>75</v>
      </c>
      <c r="D691" s="2">
        <v>14457</v>
      </c>
      <c r="E691" s="2">
        <v>28683</v>
      </c>
      <c r="F691" s="3">
        <v>4.3</v>
      </c>
      <c r="G691" s="3">
        <v>7194</v>
      </c>
      <c r="H691" s="3">
        <v>79.7</v>
      </c>
      <c r="I691" s="3">
        <v>12.6</v>
      </c>
      <c r="J691" s="3">
        <v>7</v>
      </c>
      <c r="K691" s="3">
        <v>0.6</v>
      </c>
      <c r="L691" s="3">
        <v>5.5</v>
      </c>
      <c r="M691" t="str">
        <f>IF(acs2015_county_data[[#This Row],[PublicWork]]&gt;='Описательные характеристики'!$F$5,"да","нет")</f>
        <v>нет</v>
      </c>
      <c r="N691" t="str">
        <f>IF(acs2015_county_data[[#This Row],[Unemployment]]&gt;='Описательные характеристики'!$I$5,"да","нет")</f>
        <v>нет</v>
      </c>
    </row>
    <row r="692" spans="1:14" x14ac:dyDescent="0.35">
      <c r="A692">
        <v>17191</v>
      </c>
      <c r="B692" t="s">
        <v>503</v>
      </c>
      <c r="C692" t="s">
        <v>457</v>
      </c>
      <c r="D692" s="2">
        <v>16555</v>
      </c>
      <c r="E692" s="2">
        <v>23869</v>
      </c>
      <c r="F692" s="3">
        <v>5</v>
      </c>
      <c r="G692" s="3">
        <v>7523</v>
      </c>
      <c r="H692" s="3">
        <v>77.2</v>
      </c>
      <c r="I692" s="3">
        <v>13.7</v>
      </c>
      <c r="J692" s="3">
        <v>9.1</v>
      </c>
      <c r="K692" s="3">
        <v>0</v>
      </c>
      <c r="L692" s="3">
        <v>5.3</v>
      </c>
      <c r="M692" t="str">
        <f>IF(acs2015_county_data[[#This Row],[PublicWork]]&gt;='Описательные характеристики'!$F$5,"да","нет")</f>
        <v>нет</v>
      </c>
      <c r="N692" t="str">
        <f>IF(acs2015_county_data[[#This Row],[Unemployment]]&gt;='Описательные характеристики'!$I$5,"да","нет")</f>
        <v>нет</v>
      </c>
    </row>
    <row r="693" spans="1:14" x14ac:dyDescent="0.35">
      <c r="A693">
        <v>17193</v>
      </c>
      <c r="B693" t="s">
        <v>503</v>
      </c>
      <c r="C693" t="s">
        <v>4</v>
      </c>
      <c r="D693" s="2">
        <v>14464</v>
      </c>
      <c r="E693" s="2">
        <v>25534</v>
      </c>
      <c r="F693" s="3">
        <v>3.5</v>
      </c>
      <c r="G693" s="3">
        <v>6095</v>
      </c>
      <c r="H693" s="3">
        <v>77.5</v>
      </c>
      <c r="I693" s="3">
        <v>12.2</v>
      </c>
      <c r="J693" s="3">
        <v>10.1</v>
      </c>
      <c r="K693" s="3">
        <v>0.2</v>
      </c>
      <c r="L693" s="3">
        <v>8.8000000000000007</v>
      </c>
      <c r="M693" t="str">
        <f>IF(acs2015_county_data[[#This Row],[PublicWork]]&gt;='Описательные характеристики'!$F$5,"да","нет")</f>
        <v>нет</v>
      </c>
      <c r="N693" t="str">
        <f>IF(acs2015_county_data[[#This Row],[Unemployment]]&gt;='Описательные характеристики'!$I$5,"да","нет")</f>
        <v>да</v>
      </c>
    </row>
    <row r="694" spans="1:14" x14ac:dyDescent="0.35">
      <c r="A694">
        <v>17195</v>
      </c>
      <c r="B694" t="s">
        <v>503</v>
      </c>
      <c r="C694" t="s">
        <v>553</v>
      </c>
      <c r="D694" s="2">
        <v>57525</v>
      </c>
      <c r="E694" s="2">
        <v>25490</v>
      </c>
      <c r="F694" s="3">
        <v>2.7</v>
      </c>
      <c r="G694" s="3">
        <v>26336</v>
      </c>
      <c r="H694" s="3">
        <v>81.400000000000006</v>
      </c>
      <c r="I694" s="3">
        <v>13.4</v>
      </c>
      <c r="J694" s="3">
        <v>4.9000000000000004</v>
      </c>
      <c r="K694" s="3">
        <v>0.3</v>
      </c>
      <c r="L694" s="3">
        <v>8.1</v>
      </c>
      <c r="M694" t="str">
        <f>IF(acs2015_county_data[[#This Row],[PublicWork]]&gt;='Описательные характеристики'!$F$5,"да","нет")</f>
        <v>нет</v>
      </c>
      <c r="N694" t="str">
        <f>IF(acs2015_county_data[[#This Row],[Unemployment]]&gt;='Описательные характеристики'!$I$5,"да","нет")</f>
        <v>да</v>
      </c>
    </row>
    <row r="695" spans="1:14" x14ac:dyDescent="0.35">
      <c r="A695">
        <v>17197</v>
      </c>
      <c r="B695" t="s">
        <v>503</v>
      </c>
      <c r="C695" t="s">
        <v>554</v>
      </c>
      <c r="D695" s="2">
        <v>683995</v>
      </c>
      <c r="E695" s="2">
        <v>31310</v>
      </c>
      <c r="F695" s="3">
        <v>4</v>
      </c>
      <c r="G695" s="3">
        <v>333433</v>
      </c>
      <c r="H695" s="3">
        <v>85.2</v>
      </c>
      <c r="I695" s="3">
        <v>11.6</v>
      </c>
      <c r="J695" s="3">
        <v>3.1</v>
      </c>
      <c r="K695" s="3">
        <v>0.1</v>
      </c>
      <c r="L695" s="3">
        <v>7.8</v>
      </c>
      <c r="M695" t="str">
        <f>IF(acs2015_county_data[[#This Row],[PublicWork]]&gt;='Описательные характеристики'!$F$5,"да","нет")</f>
        <v>нет</v>
      </c>
      <c r="N695" t="str">
        <f>IF(acs2015_county_data[[#This Row],[Unemployment]]&gt;='Описательные характеристики'!$I$5,"да","нет")</f>
        <v>да</v>
      </c>
    </row>
    <row r="696" spans="1:14" x14ac:dyDescent="0.35">
      <c r="A696">
        <v>17199</v>
      </c>
      <c r="B696" t="s">
        <v>503</v>
      </c>
      <c r="C696" t="s">
        <v>555</v>
      </c>
      <c r="D696" s="2">
        <v>67121</v>
      </c>
      <c r="E696" s="2">
        <v>24669</v>
      </c>
      <c r="F696" s="3">
        <v>2.8</v>
      </c>
      <c r="G696" s="3">
        <v>29214</v>
      </c>
      <c r="H696" s="3">
        <v>74</v>
      </c>
      <c r="I696" s="3">
        <v>21.1</v>
      </c>
      <c r="J696" s="3">
        <v>4.9000000000000004</v>
      </c>
      <c r="K696" s="3">
        <v>0</v>
      </c>
      <c r="L696" s="3">
        <v>7</v>
      </c>
      <c r="M696" t="str">
        <f>IF(acs2015_county_data[[#This Row],[PublicWork]]&gt;='Описательные характеристики'!$F$5,"да","нет")</f>
        <v>да</v>
      </c>
      <c r="N696" t="str">
        <f>IF(acs2015_county_data[[#This Row],[Unemployment]]&gt;='Описательные характеристики'!$I$5,"да","нет")</f>
        <v>нет</v>
      </c>
    </row>
    <row r="697" spans="1:14" x14ac:dyDescent="0.35">
      <c r="A697">
        <v>17201</v>
      </c>
      <c r="B697" t="s">
        <v>503</v>
      </c>
      <c r="C697" t="s">
        <v>556</v>
      </c>
      <c r="D697" s="2">
        <v>290439</v>
      </c>
      <c r="E697" s="2">
        <v>25198</v>
      </c>
      <c r="F697" s="3">
        <v>3.3</v>
      </c>
      <c r="G697" s="3">
        <v>131172</v>
      </c>
      <c r="H697" s="3">
        <v>85</v>
      </c>
      <c r="I697" s="3">
        <v>10.4</v>
      </c>
      <c r="J697" s="3">
        <v>4.5</v>
      </c>
      <c r="K697" s="3">
        <v>0.2</v>
      </c>
      <c r="L697" s="3">
        <v>11.5</v>
      </c>
      <c r="M697" t="str">
        <f>IF(acs2015_county_data[[#This Row],[PublicWork]]&gt;='Описательные характеристики'!$F$5,"да","нет")</f>
        <v>нет</v>
      </c>
      <c r="N697" t="str">
        <f>IF(acs2015_county_data[[#This Row],[Unemployment]]&gt;='Описательные характеристики'!$I$5,"да","нет")</f>
        <v>да</v>
      </c>
    </row>
    <row r="698" spans="1:14" x14ac:dyDescent="0.35">
      <c r="A698">
        <v>17203</v>
      </c>
      <c r="B698" t="s">
        <v>503</v>
      </c>
      <c r="C698" t="s">
        <v>557</v>
      </c>
      <c r="D698" s="2">
        <v>39106</v>
      </c>
      <c r="E698" s="2">
        <v>30804</v>
      </c>
      <c r="F698" s="3">
        <v>3.7</v>
      </c>
      <c r="G698" s="3">
        <v>18798</v>
      </c>
      <c r="H698" s="3">
        <v>83.3</v>
      </c>
      <c r="I698" s="3">
        <v>10.6</v>
      </c>
      <c r="J698" s="3">
        <v>6</v>
      </c>
      <c r="K698" s="3">
        <v>0.1</v>
      </c>
      <c r="L698" s="3">
        <v>5.9</v>
      </c>
      <c r="M698" t="str">
        <f>IF(acs2015_county_data[[#This Row],[PublicWork]]&gt;='Описательные характеристики'!$F$5,"да","нет")</f>
        <v>нет</v>
      </c>
      <c r="N698" t="str">
        <f>IF(acs2015_county_data[[#This Row],[Unemployment]]&gt;='Описательные характеристики'!$I$5,"да","нет")</f>
        <v>нет</v>
      </c>
    </row>
    <row r="699" spans="1:14" x14ac:dyDescent="0.35">
      <c r="A699">
        <v>18001</v>
      </c>
      <c r="B699" t="s">
        <v>558</v>
      </c>
      <c r="C699" t="s">
        <v>237</v>
      </c>
      <c r="D699" s="2">
        <v>34642</v>
      </c>
      <c r="E699" s="2">
        <v>21274</v>
      </c>
      <c r="F699" s="3">
        <v>3.8</v>
      </c>
      <c r="G699" s="3">
        <v>14982</v>
      </c>
      <c r="H699" s="3">
        <v>80.599999999999994</v>
      </c>
      <c r="I699" s="3">
        <v>10.1</v>
      </c>
      <c r="J699" s="3">
        <v>8.6999999999999993</v>
      </c>
      <c r="K699" s="3">
        <v>0.6</v>
      </c>
      <c r="L699" s="3">
        <v>6.2</v>
      </c>
      <c r="M699" t="str">
        <f>IF(acs2015_county_data[[#This Row],[PublicWork]]&gt;='Описательные характеристики'!$F$5,"да","нет")</f>
        <v>нет</v>
      </c>
      <c r="N699" t="str">
        <f>IF(acs2015_county_data[[#This Row],[Unemployment]]&gt;='Описательные характеристики'!$I$5,"да","нет")</f>
        <v>нет</v>
      </c>
    </row>
    <row r="700" spans="1:14" x14ac:dyDescent="0.35">
      <c r="A700">
        <v>18003</v>
      </c>
      <c r="B700" t="s">
        <v>558</v>
      </c>
      <c r="C700" t="s">
        <v>559</v>
      </c>
      <c r="D700" s="2">
        <v>363453</v>
      </c>
      <c r="E700" s="2">
        <v>25770</v>
      </c>
      <c r="F700" s="3">
        <v>4</v>
      </c>
      <c r="G700" s="3">
        <v>170294</v>
      </c>
      <c r="H700" s="3">
        <v>86.4</v>
      </c>
      <c r="I700" s="3">
        <v>9.1</v>
      </c>
      <c r="J700" s="3">
        <v>4.4000000000000004</v>
      </c>
      <c r="K700" s="3">
        <v>0.2</v>
      </c>
      <c r="L700" s="3">
        <v>8</v>
      </c>
      <c r="M700" t="str">
        <f>IF(acs2015_county_data[[#This Row],[PublicWork]]&gt;='Описательные характеристики'!$F$5,"да","нет")</f>
        <v>нет</v>
      </c>
      <c r="N700" t="str">
        <f>IF(acs2015_county_data[[#This Row],[Unemployment]]&gt;='Описательные характеристики'!$I$5,"да","нет")</f>
        <v>да</v>
      </c>
    </row>
    <row r="701" spans="1:14" x14ac:dyDescent="0.35">
      <c r="A701">
        <v>18005</v>
      </c>
      <c r="B701" t="s">
        <v>558</v>
      </c>
      <c r="C701" t="s">
        <v>560</v>
      </c>
      <c r="D701" s="2">
        <v>79488</v>
      </c>
      <c r="E701" s="2">
        <v>27987</v>
      </c>
      <c r="F701" s="3">
        <v>2.2000000000000002</v>
      </c>
      <c r="G701" s="3">
        <v>38666</v>
      </c>
      <c r="H701" s="3">
        <v>87.8</v>
      </c>
      <c r="I701" s="3">
        <v>7.6</v>
      </c>
      <c r="J701" s="3">
        <v>4.5</v>
      </c>
      <c r="K701" s="3">
        <v>0.1</v>
      </c>
      <c r="L701" s="3">
        <v>5.4</v>
      </c>
      <c r="M701" t="str">
        <f>IF(acs2015_county_data[[#This Row],[PublicWork]]&gt;='Описательные характеристики'!$F$5,"да","нет")</f>
        <v>нет</v>
      </c>
      <c r="N701" t="str">
        <f>IF(acs2015_county_data[[#This Row],[Unemployment]]&gt;='Описательные характеристики'!$I$5,"да","нет")</f>
        <v>нет</v>
      </c>
    </row>
    <row r="702" spans="1:14" x14ac:dyDescent="0.35">
      <c r="A702">
        <v>18007</v>
      </c>
      <c r="B702" t="s">
        <v>558</v>
      </c>
      <c r="C702" t="s">
        <v>127</v>
      </c>
      <c r="D702" s="2">
        <v>8752</v>
      </c>
      <c r="E702" s="2">
        <v>22526</v>
      </c>
      <c r="F702" s="3">
        <v>5.9</v>
      </c>
      <c r="G702" s="3">
        <v>4096</v>
      </c>
      <c r="H702" s="3">
        <v>73.599999999999994</v>
      </c>
      <c r="I702" s="3">
        <v>17.100000000000001</v>
      </c>
      <c r="J702" s="3">
        <v>8.5</v>
      </c>
      <c r="K702" s="3">
        <v>0.7</v>
      </c>
      <c r="L702" s="3">
        <v>5.3</v>
      </c>
      <c r="M702" t="str">
        <f>IF(acs2015_county_data[[#This Row],[PublicWork]]&gt;='Описательные характеристики'!$F$5,"да","нет")</f>
        <v>да</v>
      </c>
      <c r="N702" t="str">
        <f>IF(acs2015_county_data[[#This Row],[Unemployment]]&gt;='Описательные характеристики'!$I$5,"да","нет")</f>
        <v>нет</v>
      </c>
    </row>
    <row r="703" spans="1:14" x14ac:dyDescent="0.35">
      <c r="A703">
        <v>18009</v>
      </c>
      <c r="B703" t="s">
        <v>558</v>
      </c>
      <c r="C703" t="s">
        <v>561</v>
      </c>
      <c r="D703" s="2">
        <v>12476</v>
      </c>
      <c r="E703" s="2">
        <v>20534</v>
      </c>
      <c r="F703" s="3">
        <v>2.1</v>
      </c>
      <c r="G703" s="3">
        <v>5199</v>
      </c>
      <c r="H703" s="3">
        <v>85.1</v>
      </c>
      <c r="I703" s="3">
        <v>10.4</v>
      </c>
      <c r="J703" s="3">
        <v>4.3</v>
      </c>
      <c r="K703" s="3">
        <v>0.2</v>
      </c>
      <c r="L703" s="3">
        <v>9.8000000000000007</v>
      </c>
      <c r="M703" t="str">
        <f>IF(acs2015_county_data[[#This Row],[PublicWork]]&gt;='Описательные характеристики'!$F$5,"да","нет")</f>
        <v>нет</v>
      </c>
      <c r="N703" t="str">
        <f>IF(acs2015_county_data[[#This Row],[Unemployment]]&gt;='Описательные характеристики'!$I$5,"да","нет")</f>
        <v>да</v>
      </c>
    </row>
    <row r="704" spans="1:14" x14ac:dyDescent="0.35">
      <c r="A704">
        <v>18011</v>
      </c>
      <c r="B704" t="s">
        <v>558</v>
      </c>
      <c r="C704" t="s">
        <v>128</v>
      </c>
      <c r="D704" s="2">
        <v>60511</v>
      </c>
      <c r="E704" s="2">
        <v>38038</v>
      </c>
      <c r="F704" s="3">
        <v>4.7</v>
      </c>
      <c r="G704" s="3">
        <v>30471</v>
      </c>
      <c r="H704" s="3">
        <v>84</v>
      </c>
      <c r="I704" s="3">
        <v>9.9</v>
      </c>
      <c r="J704" s="3">
        <v>6</v>
      </c>
      <c r="K704" s="3">
        <v>0.1</v>
      </c>
      <c r="L704" s="3">
        <v>3.7</v>
      </c>
      <c r="M704" t="str">
        <f>IF(acs2015_county_data[[#This Row],[PublicWork]]&gt;='Описательные характеристики'!$F$5,"да","нет")</f>
        <v>нет</v>
      </c>
      <c r="N704" t="str">
        <f>IF(acs2015_county_data[[#This Row],[Unemployment]]&gt;='Описательные характеристики'!$I$5,"да","нет")</f>
        <v>нет</v>
      </c>
    </row>
    <row r="705" spans="1:14" x14ac:dyDescent="0.35">
      <c r="A705">
        <v>18013</v>
      </c>
      <c r="B705" t="s">
        <v>558</v>
      </c>
      <c r="C705" t="s">
        <v>506</v>
      </c>
      <c r="D705" s="2">
        <v>15011</v>
      </c>
      <c r="E705" s="2">
        <v>29903</v>
      </c>
      <c r="F705" s="3">
        <v>3.8</v>
      </c>
      <c r="G705" s="3">
        <v>7039</v>
      </c>
      <c r="H705" s="3">
        <v>81.900000000000006</v>
      </c>
      <c r="I705" s="3">
        <v>10.9</v>
      </c>
      <c r="J705" s="3">
        <v>6.9</v>
      </c>
      <c r="K705" s="3">
        <v>0.3</v>
      </c>
      <c r="L705" s="3">
        <v>6.2</v>
      </c>
      <c r="M705" t="str">
        <f>IF(acs2015_county_data[[#This Row],[PublicWork]]&gt;='Описательные характеристики'!$F$5,"да","нет")</f>
        <v>нет</v>
      </c>
      <c r="N705" t="str">
        <f>IF(acs2015_county_data[[#This Row],[Unemployment]]&gt;='Описательные характеристики'!$I$5,"да","нет")</f>
        <v>нет</v>
      </c>
    </row>
    <row r="706" spans="1:14" x14ac:dyDescent="0.35">
      <c r="A706">
        <v>18015</v>
      </c>
      <c r="B706" t="s">
        <v>558</v>
      </c>
      <c r="C706" t="s">
        <v>129</v>
      </c>
      <c r="D706" s="2">
        <v>20014</v>
      </c>
      <c r="E706" s="2">
        <v>25365</v>
      </c>
      <c r="F706" s="3">
        <v>5.2</v>
      </c>
      <c r="G706" s="3">
        <v>9224</v>
      </c>
      <c r="H706" s="3">
        <v>78.599999999999994</v>
      </c>
      <c r="I706" s="3">
        <v>12.8</v>
      </c>
      <c r="J706" s="3">
        <v>8.5</v>
      </c>
      <c r="K706" s="3">
        <v>0.1</v>
      </c>
      <c r="L706" s="3">
        <v>8.1999999999999993</v>
      </c>
      <c r="M706" t="str">
        <f>IF(acs2015_county_data[[#This Row],[PublicWork]]&gt;='Описательные характеристики'!$F$5,"да","нет")</f>
        <v>нет</v>
      </c>
      <c r="N706" t="str">
        <f>IF(acs2015_county_data[[#This Row],[Unemployment]]&gt;='Описательные характеристики'!$I$5,"да","нет")</f>
        <v>да</v>
      </c>
    </row>
    <row r="707" spans="1:14" x14ac:dyDescent="0.35">
      <c r="A707">
        <v>18017</v>
      </c>
      <c r="B707" t="s">
        <v>558</v>
      </c>
      <c r="C707" t="s">
        <v>508</v>
      </c>
      <c r="D707" s="2">
        <v>38476</v>
      </c>
      <c r="E707" s="2">
        <v>22125</v>
      </c>
      <c r="F707" s="3">
        <v>2.1</v>
      </c>
      <c r="G707" s="3">
        <v>17342</v>
      </c>
      <c r="H707" s="3">
        <v>82</v>
      </c>
      <c r="I707" s="3">
        <v>13.3</v>
      </c>
      <c r="J707" s="3">
        <v>4.5</v>
      </c>
      <c r="K707" s="3">
        <v>0.2</v>
      </c>
      <c r="L707" s="3">
        <v>8.6999999999999993</v>
      </c>
      <c r="M707" t="str">
        <f>IF(acs2015_county_data[[#This Row],[PublicWork]]&gt;='Описательные характеристики'!$F$5,"да","нет")</f>
        <v>нет</v>
      </c>
      <c r="N707" t="str">
        <f>IF(acs2015_county_data[[#This Row],[Unemployment]]&gt;='Описательные характеристики'!$I$5,"да","нет")</f>
        <v>да</v>
      </c>
    </row>
    <row r="708" spans="1:14" x14ac:dyDescent="0.35">
      <c r="A708">
        <v>18019</v>
      </c>
      <c r="B708" t="s">
        <v>558</v>
      </c>
      <c r="C708" t="s">
        <v>131</v>
      </c>
      <c r="D708" s="2">
        <v>113181</v>
      </c>
      <c r="E708" s="2">
        <v>25470</v>
      </c>
      <c r="F708" s="3">
        <v>2.5</v>
      </c>
      <c r="G708" s="3">
        <v>54754</v>
      </c>
      <c r="H708" s="3">
        <v>85.8</v>
      </c>
      <c r="I708" s="3">
        <v>10.4</v>
      </c>
      <c r="J708" s="3">
        <v>3.7</v>
      </c>
      <c r="K708" s="3">
        <v>0.1</v>
      </c>
      <c r="L708" s="3">
        <v>6.8</v>
      </c>
      <c r="M708" t="str">
        <f>IF(acs2015_county_data[[#This Row],[PublicWork]]&gt;='Описательные характеристики'!$F$5,"да","нет")</f>
        <v>нет</v>
      </c>
      <c r="N708" t="str">
        <f>IF(acs2015_county_data[[#This Row],[Unemployment]]&gt;='Описательные характеристики'!$I$5,"да","нет")</f>
        <v>нет</v>
      </c>
    </row>
    <row r="709" spans="1:14" x14ac:dyDescent="0.35">
      <c r="A709">
        <v>18021</v>
      </c>
      <c r="B709" t="s">
        <v>558</v>
      </c>
      <c r="C709" t="s">
        <v>28</v>
      </c>
      <c r="D709" s="2">
        <v>26686</v>
      </c>
      <c r="E709" s="2">
        <v>21856</v>
      </c>
      <c r="F709" s="3">
        <v>2.6</v>
      </c>
      <c r="G709" s="3">
        <v>11766</v>
      </c>
      <c r="H709" s="3">
        <v>78.400000000000006</v>
      </c>
      <c r="I709" s="3">
        <v>15.4</v>
      </c>
      <c r="J709" s="3">
        <v>6.1</v>
      </c>
      <c r="K709" s="3">
        <v>0.1</v>
      </c>
      <c r="L709" s="3">
        <v>7.8</v>
      </c>
      <c r="M709" t="str">
        <f>IF(acs2015_county_data[[#This Row],[PublicWork]]&gt;='Описательные характеристики'!$F$5,"да","нет")</f>
        <v>нет</v>
      </c>
      <c r="N709" t="str">
        <f>IF(acs2015_county_data[[#This Row],[Unemployment]]&gt;='Описательные характеристики'!$I$5,"да","нет")</f>
        <v>да</v>
      </c>
    </row>
    <row r="710" spans="1:14" x14ac:dyDescent="0.35">
      <c r="A710">
        <v>18023</v>
      </c>
      <c r="B710" t="s">
        <v>558</v>
      </c>
      <c r="C710" t="s">
        <v>511</v>
      </c>
      <c r="D710" s="2">
        <v>32835</v>
      </c>
      <c r="E710" s="2">
        <v>22337</v>
      </c>
      <c r="F710" s="3">
        <v>2.9</v>
      </c>
      <c r="G710" s="3">
        <v>15003</v>
      </c>
      <c r="H710" s="3">
        <v>87.5</v>
      </c>
      <c r="I710" s="3">
        <v>7.5</v>
      </c>
      <c r="J710" s="3">
        <v>4.9000000000000004</v>
      </c>
      <c r="K710" s="3">
        <v>0.1</v>
      </c>
      <c r="L710" s="3">
        <v>7.3</v>
      </c>
      <c r="M710" t="str">
        <f>IF(acs2015_county_data[[#This Row],[PublicWork]]&gt;='Описательные характеристики'!$F$5,"да","нет")</f>
        <v>нет</v>
      </c>
      <c r="N710" t="str">
        <f>IF(acs2015_county_data[[#This Row],[Unemployment]]&gt;='Описательные характеристики'!$I$5,"да","нет")</f>
        <v>нет</v>
      </c>
    </row>
    <row r="711" spans="1:14" x14ac:dyDescent="0.35">
      <c r="A711">
        <v>18025</v>
      </c>
      <c r="B711" t="s">
        <v>558</v>
      </c>
      <c r="C711" t="s">
        <v>136</v>
      </c>
      <c r="D711" s="2">
        <v>10591</v>
      </c>
      <c r="E711" s="2">
        <v>18835</v>
      </c>
      <c r="F711" s="3">
        <v>2.8</v>
      </c>
      <c r="G711" s="3">
        <v>4273</v>
      </c>
      <c r="H711" s="3">
        <v>77.8</v>
      </c>
      <c r="I711" s="3">
        <v>15.3</v>
      </c>
      <c r="J711" s="3">
        <v>7</v>
      </c>
      <c r="K711" s="3">
        <v>0</v>
      </c>
      <c r="L711" s="3">
        <v>6.6</v>
      </c>
      <c r="M711" t="str">
        <f>IF(acs2015_county_data[[#This Row],[PublicWork]]&gt;='Описательные характеристики'!$F$5,"да","нет")</f>
        <v>нет</v>
      </c>
      <c r="N711" t="str">
        <f>IF(acs2015_county_data[[#This Row],[Unemployment]]&gt;='Описательные характеристики'!$I$5,"да","нет")</f>
        <v>нет</v>
      </c>
    </row>
    <row r="712" spans="1:14" x14ac:dyDescent="0.35">
      <c r="A712">
        <v>18027</v>
      </c>
      <c r="B712" t="s">
        <v>558</v>
      </c>
      <c r="C712" t="s">
        <v>562</v>
      </c>
      <c r="D712" s="2">
        <v>32411</v>
      </c>
      <c r="E712" s="2">
        <v>21101</v>
      </c>
      <c r="F712" s="3">
        <v>3.4</v>
      </c>
      <c r="G712" s="3">
        <v>14319</v>
      </c>
      <c r="H712" s="3">
        <v>79.5</v>
      </c>
      <c r="I712" s="3">
        <v>13.7</v>
      </c>
      <c r="J712" s="3">
        <v>6.3</v>
      </c>
      <c r="K712" s="3">
        <v>0.5</v>
      </c>
      <c r="L712" s="3">
        <v>5.4</v>
      </c>
      <c r="M712" t="str">
        <f>IF(acs2015_county_data[[#This Row],[PublicWork]]&gt;='Описательные характеристики'!$F$5,"да","нет")</f>
        <v>нет</v>
      </c>
      <c r="N712" t="str">
        <f>IF(acs2015_county_data[[#This Row],[Unemployment]]&gt;='Описательные характеристики'!$I$5,"да","нет")</f>
        <v>нет</v>
      </c>
    </row>
    <row r="713" spans="1:14" x14ac:dyDescent="0.35">
      <c r="A713">
        <v>18029</v>
      </c>
      <c r="B713" t="s">
        <v>558</v>
      </c>
      <c r="C713" t="s">
        <v>563</v>
      </c>
      <c r="D713" s="2">
        <v>49679</v>
      </c>
      <c r="E713" s="2">
        <v>27907</v>
      </c>
      <c r="F713" s="3">
        <v>2.6</v>
      </c>
      <c r="G713" s="3">
        <v>24159</v>
      </c>
      <c r="H713" s="3">
        <v>85.2</v>
      </c>
      <c r="I713" s="3">
        <v>9.5</v>
      </c>
      <c r="J713" s="3">
        <v>5</v>
      </c>
      <c r="K713" s="3">
        <v>0.3</v>
      </c>
      <c r="L713" s="3">
        <v>8.1</v>
      </c>
      <c r="M713" t="str">
        <f>IF(acs2015_county_data[[#This Row],[PublicWork]]&gt;='Описательные характеристики'!$F$5,"да","нет")</f>
        <v>нет</v>
      </c>
      <c r="N713" t="str">
        <f>IF(acs2015_county_data[[#This Row],[Unemployment]]&gt;='Описательные характеристики'!$I$5,"да","нет")</f>
        <v>да</v>
      </c>
    </row>
    <row r="714" spans="1:14" x14ac:dyDescent="0.35">
      <c r="A714">
        <v>18031</v>
      </c>
      <c r="B714" t="s">
        <v>558</v>
      </c>
      <c r="C714" t="s">
        <v>386</v>
      </c>
      <c r="D714" s="2">
        <v>26240</v>
      </c>
      <c r="E714" s="2">
        <v>23346</v>
      </c>
      <c r="F714" s="3">
        <v>2.5</v>
      </c>
      <c r="G714" s="3">
        <v>12601</v>
      </c>
      <c r="H714" s="3">
        <v>87.2</v>
      </c>
      <c r="I714" s="3">
        <v>8.9</v>
      </c>
      <c r="J714" s="3">
        <v>3.8</v>
      </c>
      <c r="K714" s="3">
        <v>0</v>
      </c>
      <c r="L714" s="3">
        <v>6.3</v>
      </c>
      <c r="M714" t="str">
        <f>IF(acs2015_county_data[[#This Row],[PublicWork]]&gt;='Описательные характеристики'!$F$5,"да","нет")</f>
        <v>нет</v>
      </c>
      <c r="N714" t="str">
        <f>IF(acs2015_county_data[[#This Row],[Unemployment]]&gt;='Описательные характеристики'!$I$5,"да","нет")</f>
        <v>нет</v>
      </c>
    </row>
    <row r="715" spans="1:14" x14ac:dyDescent="0.35">
      <c r="A715">
        <v>18033</v>
      </c>
      <c r="B715" t="s">
        <v>558</v>
      </c>
      <c r="C715" t="s">
        <v>38</v>
      </c>
      <c r="D715" s="2">
        <v>42449</v>
      </c>
      <c r="E715" s="2">
        <v>24016</v>
      </c>
      <c r="F715" s="3">
        <v>2.2999999999999998</v>
      </c>
      <c r="G715" s="3">
        <v>19542</v>
      </c>
      <c r="H715" s="3">
        <v>87.3</v>
      </c>
      <c r="I715" s="3">
        <v>8.5</v>
      </c>
      <c r="J715" s="3">
        <v>3.9</v>
      </c>
      <c r="K715" s="3">
        <v>0.2</v>
      </c>
      <c r="L715" s="3">
        <v>7.5</v>
      </c>
      <c r="M715" t="str">
        <f>IF(acs2015_county_data[[#This Row],[PublicWork]]&gt;='Описательные характеристики'!$F$5,"да","нет")</f>
        <v>нет</v>
      </c>
      <c r="N715" t="str">
        <f>IF(acs2015_county_data[[#This Row],[Unemployment]]&gt;='Описательные характеристики'!$I$5,"да","нет")</f>
        <v>нет</v>
      </c>
    </row>
    <row r="716" spans="1:14" x14ac:dyDescent="0.35">
      <c r="A716">
        <v>18035</v>
      </c>
      <c r="B716" t="s">
        <v>558</v>
      </c>
      <c r="C716" t="s">
        <v>300</v>
      </c>
      <c r="D716" s="2">
        <v>117335</v>
      </c>
      <c r="E716" s="2">
        <v>21179</v>
      </c>
      <c r="F716" s="3">
        <v>2.9</v>
      </c>
      <c r="G716" s="3">
        <v>51781</v>
      </c>
      <c r="H716" s="3">
        <v>79.2</v>
      </c>
      <c r="I716" s="3">
        <v>16.100000000000001</v>
      </c>
      <c r="J716" s="3">
        <v>4.5999999999999996</v>
      </c>
      <c r="K716" s="3">
        <v>0.1</v>
      </c>
      <c r="L716" s="3">
        <v>10.1</v>
      </c>
      <c r="M716" t="str">
        <f>IF(acs2015_county_data[[#This Row],[PublicWork]]&gt;='Описательные характеристики'!$F$5,"да","нет")</f>
        <v>нет</v>
      </c>
      <c r="N716" t="str">
        <f>IF(acs2015_county_data[[#This Row],[Unemployment]]&gt;='Описательные характеристики'!$I$5,"да","нет")</f>
        <v>да</v>
      </c>
    </row>
    <row r="717" spans="1:14" x14ac:dyDescent="0.35">
      <c r="A717">
        <v>18037</v>
      </c>
      <c r="B717" t="s">
        <v>558</v>
      </c>
      <c r="C717" t="s">
        <v>564</v>
      </c>
      <c r="D717" s="2">
        <v>42291</v>
      </c>
      <c r="E717" s="2">
        <v>25972</v>
      </c>
      <c r="F717" s="3">
        <v>3.7</v>
      </c>
      <c r="G717" s="3">
        <v>21742</v>
      </c>
      <c r="H717" s="3">
        <v>87.1</v>
      </c>
      <c r="I717" s="3">
        <v>8.4</v>
      </c>
      <c r="J717" s="3">
        <v>4.4000000000000004</v>
      </c>
      <c r="K717" s="3">
        <v>0.1</v>
      </c>
      <c r="L717" s="3">
        <v>3.3</v>
      </c>
      <c r="M717" t="str">
        <f>IF(acs2015_county_data[[#This Row],[PublicWork]]&gt;='Описательные характеристики'!$F$5,"да","нет")</f>
        <v>нет</v>
      </c>
      <c r="N717" t="str">
        <f>IF(acs2015_county_data[[#This Row],[Unemployment]]&gt;='Описательные характеристики'!$I$5,"да","нет")</f>
        <v>нет</v>
      </c>
    </row>
    <row r="718" spans="1:14" x14ac:dyDescent="0.35">
      <c r="A718">
        <v>18039</v>
      </c>
      <c r="B718" t="s">
        <v>558</v>
      </c>
      <c r="C718" t="s">
        <v>565</v>
      </c>
      <c r="D718" s="2">
        <v>200685</v>
      </c>
      <c r="E718" s="2">
        <v>21817</v>
      </c>
      <c r="F718" s="3">
        <v>2.9</v>
      </c>
      <c r="G718" s="3">
        <v>91085</v>
      </c>
      <c r="H718" s="3">
        <v>87.5</v>
      </c>
      <c r="I718" s="3">
        <v>7.7</v>
      </c>
      <c r="J718" s="3">
        <v>4.5999999999999996</v>
      </c>
      <c r="K718" s="3">
        <v>0.2</v>
      </c>
      <c r="L718" s="3">
        <v>7.4</v>
      </c>
      <c r="M718" t="str">
        <f>IF(acs2015_county_data[[#This Row],[PublicWork]]&gt;='Описательные характеристики'!$F$5,"да","нет")</f>
        <v>нет</v>
      </c>
      <c r="N718" t="str">
        <f>IF(acs2015_county_data[[#This Row],[Unemployment]]&gt;='Описательные характеристики'!$I$5,"да","нет")</f>
        <v>нет</v>
      </c>
    </row>
    <row r="719" spans="1:14" x14ac:dyDescent="0.35">
      <c r="A719">
        <v>18041</v>
      </c>
      <c r="B719" t="s">
        <v>558</v>
      </c>
      <c r="C719" t="s">
        <v>42</v>
      </c>
      <c r="D719" s="2">
        <v>23773</v>
      </c>
      <c r="E719" s="2">
        <v>20508</v>
      </c>
      <c r="F719" s="3">
        <v>2.4</v>
      </c>
      <c r="G719" s="3">
        <v>9245</v>
      </c>
      <c r="H719" s="3">
        <v>85.3</v>
      </c>
      <c r="I719" s="3">
        <v>9.4</v>
      </c>
      <c r="J719" s="3">
        <v>5</v>
      </c>
      <c r="K719" s="3">
        <v>0.2</v>
      </c>
      <c r="L719" s="3">
        <v>12.1</v>
      </c>
      <c r="M719" t="str">
        <f>IF(acs2015_county_data[[#This Row],[PublicWork]]&gt;='Описательные характеристики'!$F$5,"да","нет")</f>
        <v>нет</v>
      </c>
      <c r="N719" t="str">
        <f>IF(acs2015_county_data[[#This Row],[Unemployment]]&gt;='Описательные характеристики'!$I$5,"да","нет")</f>
        <v>да</v>
      </c>
    </row>
    <row r="720" spans="1:14" x14ac:dyDescent="0.35">
      <c r="A720">
        <v>18043</v>
      </c>
      <c r="B720" t="s">
        <v>558</v>
      </c>
      <c r="C720" t="s">
        <v>396</v>
      </c>
      <c r="D720" s="2">
        <v>75900</v>
      </c>
      <c r="E720" s="2">
        <v>28116</v>
      </c>
      <c r="F720" s="3">
        <v>3.1</v>
      </c>
      <c r="G720" s="3">
        <v>37064</v>
      </c>
      <c r="H720" s="3">
        <v>86.3</v>
      </c>
      <c r="I720" s="3">
        <v>10.1</v>
      </c>
      <c r="J720" s="3">
        <v>3.4</v>
      </c>
      <c r="K720" s="3">
        <v>0.1</v>
      </c>
      <c r="L720" s="3">
        <v>7.3</v>
      </c>
      <c r="M720" t="str">
        <f>IF(acs2015_county_data[[#This Row],[PublicWork]]&gt;='Описательные характеристики'!$F$5,"да","нет")</f>
        <v>нет</v>
      </c>
      <c r="N720" t="str">
        <f>IF(acs2015_county_data[[#This Row],[Unemployment]]&gt;='Описательные характеристики'!$I$5,"да","нет")</f>
        <v>нет</v>
      </c>
    </row>
    <row r="721" spans="1:14" x14ac:dyDescent="0.35">
      <c r="A721">
        <v>18045</v>
      </c>
      <c r="B721" t="s">
        <v>558</v>
      </c>
      <c r="C721" t="s">
        <v>566</v>
      </c>
      <c r="D721" s="2">
        <v>16888</v>
      </c>
      <c r="E721" s="2">
        <v>24619</v>
      </c>
      <c r="F721" s="3">
        <v>2.5</v>
      </c>
      <c r="G721" s="3">
        <v>7533</v>
      </c>
      <c r="H721" s="3">
        <v>80.400000000000006</v>
      </c>
      <c r="I721" s="3">
        <v>12.5</v>
      </c>
      <c r="J721" s="3">
        <v>6.8</v>
      </c>
      <c r="K721" s="3">
        <v>0.4</v>
      </c>
      <c r="L721" s="3">
        <v>8.6</v>
      </c>
      <c r="M721" t="str">
        <f>IF(acs2015_county_data[[#This Row],[PublicWork]]&gt;='Описательные характеристики'!$F$5,"да","нет")</f>
        <v>нет</v>
      </c>
      <c r="N721" t="str">
        <f>IF(acs2015_county_data[[#This Row],[Unemployment]]&gt;='Описательные характеристики'!$I$5,"да","нет")</f>
        <v>да</v>
      </c>
    </row>
    <row r="722" spans="1:14" x14ac:dyDescent="0.35">
      <c r="A722">
        <v>18047</v>
      </c>
      <c r="B722" t="s">
        <v>558</v>
      </c>
      <c r="C722" t="s">
        <v>43</v>
      </c>
      <c r="D722" s="2">
        <v>22935</v>
      </c>
      <c r="E722" s="2">
        <v>24032</v>
      </c>
      <c r="F722" s="3">
        <v>3.9</v>
      </c>
      <c r="G722" s="3">
        <v>11103</v>
      </c>
      <c r="H722" s="3">
        <v>82.2</v>
      </c>
      <c r="I722" s="3">
        <v>10.199999999999999</v>
      </c>
      <c r="J722" s="3">
        <v>7.2</v>
      </c>
      <c r="K722" s="3">
        <v>0.4</v>
      </c>
      <c r="L722" s="3">
        <v>6.4</v>
      </c>
      <c r="M722" t="str">
        <f>IF(acs2015_county_data[[#This Row],[PublicWork]]&gt;='Описательные характеристики'!$F$5,"да","нет")</f>
        <v>нет</v>
      </c>
      <c r="N722" t="str">
        <f>IF(acs2015_county_data[[#This Row],[Unemployment]]&gt;='Описательные характеристики'!$I$5,"да","нет")</f>
        <v>нет</v>
      </c>
    </row>
    <row r="723" spans="1:14" x14ac:dyDescent="0.35">
      <c r="A723">
        <v>18049</v>
      </c>
      <c r="B723" t="s">
        <v>558</v>
      </c>
      <c r="C723" t="s">
        <v>142</v>
      </c>
      <c r="D723" s="2">
        <v>20527</v>
      </c>
      <c r="E723" s="2">
        <v>22807</v>
      </c>
      <c r="F723" s="3">
        <v>4.7</v>
      </c>
      <c r="G723" s="3">
        <v>9122</v>
      </c>
      <c r="H723" s="3">
        <v>81.3</v>
      </c>
      <c r="I723" s="3">
        <v>10.4</v>
      </c>
      <c r="J723" s="3">
        <v>7.8</v>
      </c>
      <c r="K723" s="3">
        <v>0.5</v>
      </c>
      <c r="L723" s="3">
        <v>6</v>
      </c>
      <c r="M723" t="str">
        <f>IF(acs2015_county_data[[#This Row],[PublicWork]]&gt;='Описательные характеристики'!$F$5,"да","нет")</f>
        <v>нет</v>
      </c>
      <c r="N723" t="str">
        <f>IF(acs2015_county_data[[#This Row],[Unemployment]]&gt;='Описательные характеристики'!$I$5,"да","нет")</f>
        <v>нет</v>
      </c>
    </row>
    <row r="724" spans="1:14" x14ac:dyDescent="0.35">
      <c r="A724">
        <v>18051</v>
      </c>
      <c r="B724" t="s">
        <v>558</v>
      </c>
      <c r="C724" t="s">
        <v>567</v>
      </c>
      <c r="D724" s="2">
        <v>33668</v>
      </c>
      <c r="E724" s="2">
        <v>24682</v>
      </c>
      <c r="F724" s="3">
        <v>2.7</v>
      </c>
      <c r="G724" s="3">
        <v>16013</v>
      </c>
      <c r="H724" s="3">
        <v>88</v>
      </c>
      <c r="I724" s="3">
        <v>7.7</v>
      </c>
      <c r="J724" s="3">
        <v>4.2</v>
      </c>
      <c r="K724" s="3">
        <v>0.2</v>
      </c>
      <c r="L724" s="3">
        <v>4.3</v>
      </c>
      <c r="M724" t="str">
        <f>IF(acs2015_county_data[[#This Row],[PublicWork]]&gt;='Описательные характеристики'!$F$5,"да","нет")</f>
        <v>нет</v>
      </c>
      <c r="N724" t="str">
        <f>IF(acs2015_county_data[[#This Row],[Unemployment]]&gt;='Описательные характеристики'!$I$5,"да","нет")</f>
        <v>нет</v>
      </c>
    </row>
    <row r="725" spans="1:14" x14ac:dyDescent="0.35">
      <c r="A725">
        <v>18053</v>
      </c>
      <c r="B725" t="s">
        <v>558</v>
      </c>
      <c r="C725" t="s">
        <v>144</v>
      </c>
      <c r="D725" s="2">
        <v>68896</v>
      </c>
      <c r="E725" s="2">
        <v>20440</v>
      </c>
      <c r="F725" s="3">
        <v>6.1</v>
      </c>
      <c r="G725" s="3">
        <v>29151</v>
      </c>
      <c r="H725" s="3">
        <v>82.6</v>
      </c>
      <c r="I725" s="3">
        <v>12.9</v>
      </c>
      <c r="J725" s="3">
        <v>4.4000000000000004</v>
      </c>
      <c r="K725" s="3">
        <v>0.1</v>
      </c>
      <c r="L725" s="3">
        <v>8.8000000000000007</v>
      </c>
      <c r="M725" t="str">
        <f>IF(acs2015_county_data[[#This Row],[PublicWork]]&gt;='Описательные характеристики'!$F$5,"да","нет")</f>
        <v>нет</v>
      </c>
      <c r="N725" t="str">
        <f>IF(acs2015_county_data[[#This Row],[Unemployment]]&gt;='Описательные характеристики'!$I$5,"да","нет")</f>
        <v>да</v>
      </c>
    </row>
    <row r="726" spans="1:14" x14ac:dyDescent="0.35">
      <c r="A726">
        <v>18055</v>
      </c>
      <c r="B726" t="s">
        <v>558</v>
      </c>
      <c r="C726" t="s">
        <v>45</v>
      </c>
      <c r="D726" s="2">
        <v>32815</v>
      </c>
      <c r="E726" s="2">
        <v>22767</v>
      </c>
      <c r="F726" s="3">
        <v>1.3</v>
      </c>
      <c r="G726" s="3">
        <v>14187</v>
      </c>
      <c r="H726" s="3">
        <v>74.2</v>
      </c>
      <c r="I726" s="3">
        <v>19.600000000000001</v>
      </c>
      <c r="J726" s="3">
        <v>5.7</v>
      </c>
      <c r="K726" s="3">
        <v>0.5</v>
      </c>
      <c r="L726" s="3">
        <v>7</v>
      </c>
      <c r="M726" t="str">
        <f>IF(acs2015_county_data[[#This Row],[PublicWork]]&gt;='Описательные характеристики'!$F$5,"да","нет")</f>
        <v>да</v>
      </c>
      <c r="N726" t="str">
        <f>IF(acs2015_county_data[[#This Row],[Unemployment]]&gt;='Описательные характеристики'!$I$5,"да","нет")</f>
        <v>нет</v>
      </c>
    </row>
    <row r="727" spans="1:14" x14ac:dyDescent="0.35">
      <c r="A727">
        <v>18057</v>
      </c>
      <c r="B727" t="s">
        <v>558</v>
      </c>
      <c r="C727" t="s">
        <v>323</v>
      </c>
      <c r="D727" s="2">
        <v>296635</v>
      </c>
      <c r="E727" s="2">
        <v>41316</v>
      </c>
      <c r="F727" s="3">
        <v>6.2</v>
      </c>
      <c r="G727" s="3">
        <v>154190</v>
      </c>
      <c r="H727" s="3">
        <v>84.9</v>
      </c>
      <c r="I727" s="3">
        <v>10.5</v>
      </c>
      <c r="J727" s="3">
        <v>4.4000000000000004</v>
      </c>
      <c r="K727" s="3">
        <v>0.1</v>
      </c>
      <c r="L727" s="3">
        <v>4.3</v>
      </c>
      <c r="M727" t="str">
        <f>IF(acs2015_county_data[[#This Row],[PublicWork]]&gt;='Описательные характеристики'!$F$5,"да","нет")</f>
        <v>нет</v>
      </c>
      <c r="N727" t="str">
        <f>IF(acs2015_county_data[[#This Row],[Unemployment]]&gt;='Описательные характеристики'!$I$5,"да","нет")</f>
        <v>нет</v>
      </c>
    </row>
    <row r="728" spans="1:14" x14ac:dyDescent="0.35">
      <c r="A728">
        <v>18059</v>
      </c>
      <c r="B728" t="s">
        <v>558</v>
      </c>
      <c r="C728" t="s">
        <v>406</v>
      </c>
      <c r="D728" s="2">
        <v>71328</v>
      </c>
      <c r="E728" s="2">
        <v>29058</v>
      </c>
      <c r="F728" s="3">
        <v>4.8</v>
      </c>
      <c r="G728" s="3">
        <v>35339</v>
      </c>
      <c r="H728" s="3">
        <v>83.4</v>
      </c>
      <c r="I728" s="3">
        <v>12.3</v>
      </c>
      <c r="J728" s="3">
        <v>4.2</v>
      </c>
      <c r="K728" s="3">
        <v>0</v>
      </c>
      <c r="L728" s="3">
        <v>5.5</v>
      </c>
      <c r="M728" t="str">
        <f>IF(acs2015_county_data[[#This Row],[PublicWork]]&gt;='Описательные характеристики'!$F$5,"да","нет")</f>
        <v>нет</v>
      </c>
      <c r="N728" t="str">
        <f>IF(acs2015_county_data[[#This Row],[Unemployment]]&gt;='Описательные характеристики'!$I$5,"да","нет")</f>
        <v>нет</v>
      </c>
    </row>
    <row r="729" spans="1:14" x14ac:dyDescent="0.35">
      <c r="A729">
        <v>18061</v>
      </c>
      <c r="B729" t="s">
        <v>558</v>
      </c>
      <c r="C729" t="s">
        <v>568</v>
      </c>
      <c r="D729" s="2">
        <v>39230</v>
      </c>
      <c r="E729" s="2">
        <v>24460</v>
      </c>
      <c r="F729" s="3">
        <v>3.9</v>
      </c>
      <c r="G729" s="3">
        <v>18294</v>
      </c>
      <c r="H729" s="3">
        <v>83.7</v>
      </c>
      <c r="I729" s="3">
        <v>12.2</v>
      </c>
      <c r="J729" s="3">
        <v>4</v>
      </c>
      <c r="K729" s="3">
        <v>0.1</v>
      </c>
      <c r="L729" s="3">
        <v>7.9</v>
      </c>
      <c r="M729" t="str">
        <f>IF(acs2015_county_data[[#This Row],[PublicWork]]&gt;='Описательные характеристики'!$F$5,"да","нет")</f>
        <v>нет</v>
      </c>
      <c r="N729" t="str">
        <f>IF(acs2015_county_data[[#This Row],[Unemployment]]&gt;='Описательные характеристики'!$I$5,"да","нет")</f>
        <v>да</v>
      </c>
    </row>
    <row r="730" spans="1:14" x14ac:dyDescent="0.35">
      <c r="A730">
        <v>18063</v>
      </c>
      <c r="B730" t="s">
        <v>558</v>
      </c>
      <c r="C730" t="s">
        <v>569</v>
      </c>
      <c r="D730" s="2">
        <v>153435</v>
      </c>
      <c r="E730" s="2">
        <v>30364</v>
      </c>
      <c r="F730" s="3">
        <v>3.6</v>
      </c>
      <c r="G730" s="3">
        <v>76792</v>
      </c>
      <c r="H730" s="3">
        <v>83.8</v>
      </c>
      <c r="I730" s="3">
        <v>12.2</v>
      </c>
      <c r="J730" s="3">
        <v>4</v>
      </c>
      <c r="K730" s="3">
        <v>0</v>
      </c>
      <c r="L730" s="3">
        <v>5.3</v>
      </c>
      <c r="M730" t="str">
        <f>IF(acs2015_county_data[[#This Row],[PublicWork]]&gt;='Описательные характеристики'!$F$5,"да","нет")</f>
        <v>нет</v>
      </c>
      <c r="N730" t="str">
        <f>IF(acs2015_county_data[[#This Row],[Unemployment]]&gt;='Описательные характеристики'!$I$5,"да","нет")</f>
        <v>нет</v>
      </c>
    </row>
    <row r="731" spans="1:14" x14ac:dyDescent="0.35">
      <c r="A731">
        <v>18065</v>
      </c>
      <c r="B731" t="s">
        <v>558</v>
      </c>
      <c r="C731" t="s">
        <v>47</v>
      </c>
      <c r="D731" s="2">
        <v>49146</v>
      </c>
      <c r="E731" s="2">
        <v>21286</v>
      </c>
      <c r="F731" s="3">
        <v>3</v>
      </c>
      <c r="G731" s="3">
        <v>19488</v>
      </c>
      <c r="H731" s="3">
        <v>81.3</v>
      </c>
      <c r="I731" s="3">
        <v>11.7</v>
      </c>
      <c r="J731" s="3">
        <v>6.8</v>
      </c>
      <c r="K731" s="3">
        <v>0.3</v>
      </c>
      <c r="L731" s="3">
        <v>10.6</v>
      </c>
      <c r="M731" t="str">
        <f>IF(acs2015_county_data[[#This Row],[PublicWork]]&gt;='Описательные характеристики'!$F$5,"да","нет")</f>
        <v>нет</v>
      </c>
      <c r="N731" t="str">
        <f>IF(acs2015_county_data[[#This Row],[Unemployment]]&gt;='Описательные характеристики'!$I$5,"да","нет")</f>
        <v>да</v>
      </c>
    </row>
    <row r="732" spans="1:14" x14ac:dyDescent="0.35">
      <c r="A732">
        <v>18067</v>
      </c>
      <c r="B732" t="s">
        <v>558</v>
      </c>
      <c r="C732" t="s">
        <v>147</v>
      </c>
      <c r="D732" s="2">
        <v>82765</v>
      </c>
      <c r="E732" s="2">
        <v>24297</v>
      </c>
      <c r="F732" s="3">
        <v>2.7</v>
      </c>
      <c r="G732" s="3">
        <v>35740</v>
      </c>
      <c r="H732" s="3">
        <v>83.6</v>
      </c>
      <c r="I732" s="3">
        <v>11.3</v>
      </c>
      <c r="J732" s="3">
        <v>5</v>
      </c>
      <c r="K732" s="3">
        <v>0.1</v>
      </c>
      <c r="L732" s="3">
        <v>9.1999999999999993</v>
      </c>
      <c r="M732" t="str">
        <f>IF(acs2015_county_data[[#This Row],[PublicWork]]&gt;='Описательные характеристики'!$F$5,"да","нет")</f>
        <v>нет</v>
      </c>
      <c r="N732" t="str">
        <f>IF(acs2015_county_data[[#This Row],[Unemployment]]&gt;='Описательные характеристики'!$I$5,"да","нет")</f>
        <v>да</v>
      </c>
    </row>
    <row r="733" spans="1:14" x14ac:dyDescent="0.35">
      <c r="A733">
        <v>18069</v>
      </c>
      <c r="B733" t="s">
        <v>558</v>
      </c>
      <c r="C733" t="s">
        <v>570</v>
      </c>
      <c r="D733" s="2">
        <v>36863</v>
      </c>
      <c r="E733" s="2">
        <v>22606</v>
      </c>
      <c r="F733" s="3">
        <v>3.7</v>
      </c>
      <c r="G733" s="3">
        <v>17909</v>
      </c>
      <c r="H733" s="3">
        <v>85.6</v>
      </c>
      <c r="I733" s="3">
        <v>9.6</v>
      </c>
      <c r="J733" s="3">
        <v>4.8</v>
      </c>
      <c r="K733" s="3">
        <v>0</v>
      </c>
      <c r="L733" s="3">
        <v>7.4</v>
      </c>
      <c r="M733" t="str">
        <f>IF(acs2015_county_data[[#This Row],[PublicWork]]&gt;='Описательные характеристики'!$F$5,"да","нет")</f>
        <v>нет</v>
      </c>
      <c r="N733" t="str">
        <f>IF(acs2015_county_data[[#This Row],[Unemployment]]&gt;='Описательные характеристики'!$I$5,"да","нет")</f>
        <v>нет</v>
      </c>
    </row>
    <row r="734" spans="1:14" x14ac:dyDescent="0.35">
      <c r="A734">
        <v>18071</v>
      </c>
      <c r="B734" t="s">
        <v>558</v>
      </c>
      <c r="C734" t="s">
        <v>49</v>
      </c>
      <c r="D734" s="2">
        <v>43471</v>
      </c>
      <c r="E734" s="2">
        <v>22421</v>
      </c>
      <c r="F734" s="3">
        <v>1.8</v>
      </c>
      <c r="G734" s="3">
        <v>19885</v>
      </c>
      <c r="H734" s="3">
        <v>86</v>
      </c>
      <c r="I734" s="3">
        <v>8.6</v>
      </c>
      <c r="J734" s="3">
        <v>5.2</v>
      </c>
      <c r="K734" s="3">
        <v>0.2</v>
      </c>
      <c r="L734" s="3">
        <v>7.3</v>
      </c>
      <c r="M734" t="str">
        <f>IF(acs2015_county_data[[#This Row],[PublicWork]]&gt;='Описательные характеристики'!$F$5,"да","нет")</f>
        <v>нет</v>
      </c>
      <c r="N734" t="str">
        <f>IF(acs2015_county_data[[#This Row],[Unemployment]]&gt;='Описательные характеристики'!$I$5,"да","нет")</f>
        <v>нет</v>
      </c>
    </row>
    <row r="735" spans="1:14" x14ac:dyDescent="0.35">
      <c r="A735">
        <v>18073</v>
      </c>
      <c r="B735" t="s">
        <v>558</v>
      </c>
      <c r="C735" t="s">
        <v>412</v>
      </c>
      <c r="D735" s="2">
        <v>33448</v>
      </c>
      <c r="E735" s="2">
        <v>24614</v>
      </c>
      <c r="F735" s="3">
        <v>2.2999999999999998</v>
      </c>
      <c r="G735" s="3">
        <v>15197</v>
      </c>
      <c r="H735" s="3">
        <v>84.5</v>
      </c>
      <c r="I735" s="3">
        <v>10</v>
      </c>
      <c r="J735" s="3">
        <v>5.5</v>
      </c>
      <c r="K735" s="3">
        <v>0.1</v>
      </c>
      <c r="L735" s="3">
        <v>6.3</v>
      </c>
      <c r="M735" t="str">
        <f>IF(acs2015_county_data[[#This Row],[PublicWork]]&gt;='Описательные характеристики'!$F$5,"да","нет")</f>
        <v>нет</v>
      </c>
      <c r="N735" t="str">
        <f>IF(acs2015_county_data[[#This Row],[Unemployment]]&gt;='Описательные характеристики'!$I$5,"да","нет")</f>
        <v>нет</v>
      </c>
    </row>
    <row r="736" spans="1:14" x14ac:dyDescent="0.35">
      <c r="A736">
        <v>18075</v>
      </c>
      <c r="B736" t="s">
        <v>558</v>
      </c>
      <c r="C736" t="s">
        <v>571</v>
      </c>
      <c r="D736" s="2">
        <v>21255</v>
      </c>
      <c r="E736" s="2">
        <v>19591</v>
      </c>
      <c r="F736" s="3">
        <v>3.2</v>
      </c>
      <c r="G736" s="3">
        <v>9495</v>
      </c>
      <c r="H736" s="3">
        <v>80.900000000000006</v>
      </c>
      <c r="I736" s="3">
        <v>10.5</v>
      </c>
      <c r="J736" s="3">
        <v>8.1</v>
      </c>
      <c r="K736" s="3">
        <v>0.5</v>
      </c>
      <c r="L736" s="3">
        <v>8.1999999999999993</v>
      </c>
      <c r="M736" t="str">
        <f>IF(acs2015_county_data[[#This Row],[PublicWork]]&gt;='Описательные характеристики'!$F$5,"да","нет")</f>
        <v>нет</v>
      </c>
      <c r="N736" t="str">
        <f>IF(acs2015_county_data[[#This Row],[Unemployment]]&gt;='Описательные характеристики'!$I$5,"да","нет")</f>
        <v>да</v>
      </c>
    </row>
    <row r="737" spans="1:14" x14ac:dyDescent="0.35">
      <c r="A737">
        <v>18077</v>
      </c>
      <c r="B737" t="s">
        <v>558</v>
      </c>
      <c r="C737" t="s">
        <v>50</v>
      </c>
      <c r="D737" s="2">
        <v>32453</v>
      </c>
      <c r="E737" s="2">
        <v>22139</v>
      </c>
      <c r="F737" s="3">
        <v>3.8</v>
      </c>
      <c r="G737" s="3">
        <v>14381</v>
      </c>
      <c r="H737" s="3">
        <v>80.099999999999994</v>
      </c>
      <c r="I737" s="3">
        <v>14.7</v>
      </c>
      <c r="J737" s="3">
        <v>4.5</v>
      </c>
      <c r="K737" s="3">
        <v>0.7</v>
      </c>
      <c r="L737" s="3">
        <v>9.1999999999999993</v>
      </c>
      <c r="M737" t="str">
        <f>IF(acs2015_county_data[[#This Row],[PublicWork]]&gt;='Описательные характеристики'!$F$5,"да","нет")</f>
        <v>нет</v>
      </c>
      <c r="N737" t="str">
        <f>IF(acs2015_county_data[[#This Row],[Unemployment]]&gt;='Описательные характеристики'!$I$5,"да","нет")</f>
        <v>да</v>
      </c>
    </row>
    <row r="738" spans="1:14" x14ac:dyDescent="0.35">
      <c r="A738">
        <v>18079</v>
      </c>
      <c r="B738" t="s">
        <v>558</v>
      </c>
      <c r="C738" t="s">
        <v>572</v>
      </c>
      <c r="D738" s="2">
        <v>28113</v>
      </c>
      <c r="E738" s="2">
        <v>21434</v>
      </c>
      <c r="F738" s="3">
        <v>2.7</v>
      </c>
      <c r="G738" s="3">
        <v>12285</v>
      </c>
      <c r="H738" s="3">
        <v>81.900000000000006</v>
      </c>
      <c r="I738" s="3">
        <v>13.6</v>
      </c>
      <c r="J738" s="3">
        <v>4.4000000000000004</v>
      </c>
      <c r="K738" s="3">
        <v>0.1</v>
      </c>
      <c r="L738" s="3">
        <v>9.6999999999999993</v>
      </c>
      <c r="M738" t="str">
        <f>IF(acs2015_county_data[[#This Row],[PublicWork]]&gt;='Описательные характеристики'!$F$5,"да","нет")</f>
        <v>нет</v>
      </c>
      <c r="N738" t="str">
        <f>IF(acs2015_county_data[[#This Row],[Unemployment]]&gt;='Описательные характеристики'!$I$5,"да","нет")</f>
        <v>да</v>
      </c>
    </row>
    <row r="739" spans="1:14" x14ac:dyDescent="0.35">
      <c r="A739">
        <v>18081</v>
      </c>
      <c r="B739" t="s">
        <v>558</v>
      </c>
      <c r="C739" t="s">
        <v>150</v>
      </c>
      <c r="D739" s="2">
        <v>145645</v>
      </c>
      <c r="E739" s="2">
        <v>28889</v>
      </c>
      <c r="F739" s="3">
        <v>3.7</v>
      </c>
      <c r="G739" s="3">
        <v>70667</v>
      </c>
      <c r="H739" s="3">
        <v>84.1</v>
      </c>
      <c r="I739" s="3">
        <v>10.4</v>
      </c>
      <c r="J739" s="3">
        <v>5.4</v>
      </c>
      <c r="K739" s="3">
        <v>0.1</v>
      </c>
      <c r="L739" s="3">
        <v>6.3</v>
      </c>
      <c r="M739" t="str">
        <f>IF(acs2015_county_data[[#This Row],[PublicWork]]&gt;='Описательные характеристики'!$F$5,"да","нет")</f>
        <v>нет</v>
      </c>
      <c r="N739" t="str">
        <f>IF(acs2015_county_data[[#This Row],[Unemployment]]&gt;='Описательные характеристики'!$I$5,"да","нет")</f>
        <v>нет</v>
      </c>
    </row>
    <row r="740" spans="1:14" x14ac:dyDescent="0.35">
      <c r="A740">
        <v>18083</v>
      </c>
      <c r="B740" t="s">
        <v>558</v>
      </c>
      <c r="C740" t="s">
        <v>529</v>
      </c>
      <c r="D740" s="2">
        <v>38062</v>
      </c>
      <c r="E740" s="2">
        <v>21928</v>
      </c>
      <c r="F740" s="3">
        <v>2.1</v>
      </c>
      <c r="G740" s="3">
        <v>17864</v>
      </c>
      <c r="H740" s="3">
        <v>82.8</v>
      </c>
      <c r="I740" s="3">
        <v>13.2</v>
      </c>
      <c r="J740" s="3">
        <v>3.9</v>
      </c>
      <c r="K740" s="3">
        <v>0.1</v>
      </c>
      <c r="L740" s="3">
        <v>6.1</v>
      </c>
      <c r="M740" t="str">
        <f>IF(acs2015_county_data[[#This Row],[PublicWork]]&gt;='Описательные характеристики'!$F$5,"да","нет")</f>
        <v>нет</v>
      </c>
      <c r="N740" t="str">
        <f>IF(acs2015_county_data[[#This Row],[Unemployment]]&gt;='Описательные характеристики'!$I$5,"да","нет")</f>
        <v>нет</v>
      </c>
    </row>
    <row r="741" spans="1:14" x14ac:dyDescent="0.35">
      <c r="A741">
        <v>18085</v>
      </c>
      <c r="B741" t="s">
        <v>558</v>
      </c>
      <c r="C741" t="s">
        <v>573</v>
      </c>
      <c r="D741" s="2">
        <v>77983</v>
      </c>
      <c r="E741" s="2">
        <v>26011</v>
      </c>
      <c r="F741" s="3">
        <v>3.8</v>
      </c>
      <c r="G741" s="3">
        <v>37483</v>
      </c>
      <c r="H741" s="3">
        <v>88.3</v>
      </c>
      <c r="I741" s="3">
        <v>6.9</v>
      </c>
      <c r="J741" s="3">
        <v>4.7</v>
      </c>
      <c r="K741" s="3">
        <v>0.1</v>
      </c>
      <c r="L741" s="3">
        <v>6.5</v>
      </c>
      <c r="M741" t="str">
        <f>IF(acs2015_county_data[[#This Row],[PublicWork]]&gt;='Описательные характеристики'!$F$5,"да","нет")</f>
        <v>нет</v>
      </c>
      <c r="N741" t="str">
        <f>IF(acs2015_county_data[[#This Row],[Unemployment]]&gt;='Описательные характеристики'!$I$5,"да","нет")</f>
        <v>нет</v>
      </c>
    </row>
    <row r="742" spans="1:14" x14ac:dyDescent="0.35">
      <c r="A742">
        <v>18087</v>
      </c>
      <c r="B742" t="s">
        <v>558</v>
      </c>
      <c r="C742" t="s">
        <v>574</v>
      </c>
      <c r="D742" s="2">
        <v>38084</v>
      </c>
      <c r="E742" s="2">
        <v>20413</v>
      </c>
      <c r="F742" s="3">
        <v>6.1</v>
      </c>
      <c r="G742" s="3">
        <v>15663</v>
      </c>
      <c r="H742" s="3">
        <v>84.1</v>
      </c>
      <c r="I742" s="3">
        <v>6.6</v>
      </c>
      <c r="J742" s="3">
        <v>8.6999999999999993</v>
      </c>
      <c r="K742" s="3">
        <v>0.6</v>
      </c>
      <c r="L742" s="3">
        <v>5.5</v>
      </c>
      <c r="M742" t="str">
        <f>IF(acs2015_county_data[[#This Row],[PublicWork]]&gt;='Описательные характеристики'!$F$5,"да","нет")</f>
        <v>нет</v>
      </c>
      <c r="N742" t="str">
        <f>IF(acs2015_county_data[[#This Row],[Unemployment]]&gt;='Описательные характеристики'!$I$5,"да","нет")</f>
        <v>нет</v>
      </c>
    </row>
    <row r="743" spans="1:14" x14ac:dyDescent="0.35">
      <c r="A743">
        <v>18089</v>
      </c>
      <c r="B743" t="s">
        <v>558</v>
      </c>
      <c r="C743" t="s">
        <v>196</v>
      </c>
      <c r="D743" s="2">
        <v>491596</v>
      </c>
      <c r="E743" s="2">
        <v>24756</v>
      </c>
      <c r="F743" s="3">
        <v>2.2999999999999998</v>
      </c>
      <c r="G743" s="3">
        <v>212423</v>
      </c>
      <c r="H743" s="3">
        <v>85.3</v>
      </c>
      <c r="I743" s="3">
        <v>11</v>
      </c>
      <c r="J743" s="3">
        <v>3.5</v>
      </c>
      <c r="K743" s="3">
        <v>0.2</v>
      </c>
      <c r="L743" s="3">
        <v>10.5</v>
      </c>
      <c r="M743" t="str">
        <f>IF(acs2015_county_data[[#This Row],[PublicWork]]&gt;='Описательные характеристики'!$F$5,"да","нет")</f>
        <v>нет</v>
      </c>
      <c r="N743" t="str">
        <f>IF(acs2015_county_data[[#This Row],[Unemployment]]&gt;='Описательные характеристики'!$I$5,"да","нет")</f>
        <v>да</v>
      </c>
    </row>
    <row r="744" spans="1:14" x14ac:dyDescent="0.35">
      <c r="A744">
        <v>18091</v>
      </c>
      <c r="B744" t="s">
        <v>558</v>
      </c>
      <c r="C744" t="s">
        <v>575</v>
      </c>
      <c r="D744" s="2">
        <v>111280</v>
      </c>
      <c r="E744" s="2">
        <v>23499</v>
      </c>
      <c r="F744" s="3">
        <v>3.1</v>
      </c>
      <c r="G744" s="3">
        <v>46864</v>
      </c>
      <c r="H744" s="3">
        <v>84</v>
      </c>
      <c r="I744" s="3">
        <v>11.1</v>
      </c>
      <c r="J744" s="3">
        <v>4.8</v>
      </c>
      <c r="K744" s="3">
        <v>0.1</v>
      </c>
      <c r="L744" s="3">
        <v>9.8000000000000007</v>
      </c>
      <c r="M744" t="str">
        <f>IF(acs2015_county_data[[#This Row],[PublicWork]]&gt;='Описательные характеристики'!$F$5,"да","нет")</f>
        <v>нет</v>
      </c>
      <c r="N744" t="str">
        <f>IF(acs2015_county_data[[#This Row],[Unemployment]]&gt;='Описательные характеристики'!$I$5,"да","нет")</f>
        <v>да</v>
      </c>
    </row>
    <row r="745" spans="1:14" x14ac:dyDescent="0.35">
      <c r="A745">
        <v>18093</v>
      </c>
      <c r="B745" t="s">
        <v>558</v>
      </c>
      <c r="C745" t="s">
        <v>52</v>
      </c>
      <c r="D745" s="2">
        <v>45814</v>
      </c>
      <c r="E745" s="2">
        <v>23404</v>
      </c>
      <c r="F745" s="3">
        <v>3.3</v>
      </c>
      <c r="G745" s="3">
        <v>20669</v>
      </c>
      <c r="H745" s="3">
        <v>79.7</v>
      </c>
      <c r="I745" s="3">
        <v>14.9</v>
      </c>
      <c r="J745" s="3">
        <v>5.4</v>
      </c>
      <c r="K745" s="3">
        <v>0.1</v>
      </c>
      <c r="L745" s="3">
        <v>6.3</v>
      </c>
      <c r="M745" t="str">
        <f>IF(acs2015_county_data[[#This Row],[PublicWork]]&gt;='Описательные характеристики'!$F$5,"да","нет")</f>
        <v>нет</v>
      </c>
      <c r="N745" t="str">
        <f>IF(acs2015_county_data[[#This Row],[Unemployment]]&gt;='Описательные характеристики'!$I$5,"да","нет")</f>
        <v>нет</v>
      </c>
    </row>
    <row r="746" spans="1:14" x14ac:dyDescent="0.35">
      <c r="A746">
        <v>18095</v>
      </c>
      <c r="B746" t="s">
        <v>558</v>
      </c>
      <c r="C746" t="s">
        <v>57</v>
      </c>
      <c r="D746" s="2">
        <v>130280</v>
      </c>
      <c r="E746" s="2">
        <v>22236</v>
      </c>
      <c r="F746" s="3">
        <v>3.2</v>
      </c>
      <c r="G746" s="3">
        <v>54576</v>
      </c>
      <c r="H746" s="3">
        <v>83.7</v>
      </c>
      <c r="I746" s="3">
        <v>11.2</v>
      </c>
      <c r="J746" s="3">
        <v>4.8</v>
      </c>
      <c r="K746" s="3">
        <v>0.2</v>
      </c>
      <c r="L746" s="3">
        <v>9.3000000000000007</v>
      </c>
      <c r="M746" t="str">
        <f>IF(acs2015_county_data[[#This Row],[PublicWork]]&gt;='Описательные характеристики'!$F$5,"да","нет")</f>
        <v>нет</v>
      </c>
      <c r="N746" t="str">
        <f>IF(acs2015_county_data[[#This Row],[Unemployment]]&gt;='Описательные характеристики'!$I$5,"да","нет")</f>
        <v>да</v>
      </c>
    </row>
    <row r="747" spans="1:14" x14ac:dyDescent="0.35">
      <c r="A747">
        <v>18097</v>
      </c>
      <c r="B747" t="s">
        <v>558</v>
      </c>
      <c r="C747" t="s">
        <v>59</v>
      </c>
      <c r="D747" s="2">
        <v>926335</v>
      </c>
      <c r="E747" s="2">
        <v>24330</v>
      </c>
      <c r="F747" s="3">
        <v>3</v>
      </c>
      <c r="G747" s="3">
        <v>436687</v>
      </c>
      <c r="H747" s="3">
        <v>85.4</v>
      </c>
      <c r="I747" s="3">
        <v>10.5</v>
      </c>
      <c r="J747" s="3">
        <v>4</v>
      </c>
      <c r="K747" s="3">
        <v>0.1</v>
      </c>
      <c r="L747" s="3">
        <v>10.1</v>
      </c>
      <c r="M747" t="str">
        <f>IF(acs2015_county_data[[#This Row],[PublicWork]]&gt;='Описательные характеристики'!$F$5,"да","нет")</f>
        <v>нет</v>
      </c>
      <c r="N747" t="str">
        <f>IF(acs2015_county_data[[#This Row],[Unemployment]]&gt;='Описательные характеристики'!$I$5,"да","нет")</f>
        <v>да</v>
      </c>
    </row>
    <row r="748" spans="1:14" x14ac:dyDescent="0.35">
      <c r="A748">
        <v>18099</v>
      </c>
      <c r="B748" t="s">
        <v>558</v>
      </c>
      <c r="C748" t="s">
        <v>60</v>
      </c>
      <c r="D748" s="2">
        <v>46962</v>
      </c>
      <c r="E748" s="2">
        <v>22895</v>
      </c>
      <c r="F748" s="3">
        <v>3</v>
      </c>
      <c r="G748" s="3">
        <v>21470</v>
      </c>
      <c r="H748" s="3">
        <v>85.2</v>
      </c>
      <c r="I748" s="3">
        <v>9</v>
      </c>
      <c r="J748" s="3">
        <v>5.6</v>
      </c>
      <c r="K748" s="3">
        <v>0.2</v>
      </c>
      <c r="L748" s="3">
        <v>8.3000000000000007</v>
      </c>
      <c r="M748" t="str">
        <f>IF(acs2015_county_data[[#This Row],[PublicWork]]&gt;='Описательные характеристики'!$F$5,"да","нет")</f>
        <v>нет</v>
      </c>
      <c r="N748" t="str">
        <f>IF(acs2015_county_data[[#This Row],[Unemployment]]&gt;='Описательные характеристики'!$I$5,"да","нет")</f>
        <v>да</v>
      </c>
    </row>
    <row r="749" spans="1:14" x14ac:dyDescent="0.35">
      <c r="A749">
        <v>18101</v>
      </c>
      <c r="B749" t="s">
        <v>558</v>
      </c>
      <c r="C749" t="s">
        <v>334</v>
      </c>
      <c r="D749" s="2">
        <v>10262</v>
      </c>
      <c r="E749" s="2">
        <v>22939</v>
      </c>
      <c r="F749" s="3">
        <v>2.8</v>
      </c>
      <c r="G749" s="3">
        <v>4716</v>
      </c>
      <c r="H749" s="3">
        <v>74.5</v>
      </c>
      <c r="I749" s="3">
        <v>20.2</v>
      </c>
      <c r="J749" s="3">
        <v>4.9000000000000004</v>
      </c>
      <c r="K749" s="3">
        <v>0.4</v>
      </c>
      <c r="L749" s="3">
        <v>6.1</v>
      </c>
      <c r="M749" t="str">
        <f>IF(acs2015_county_data[[#This Row],[PublicWork]]&gt;='Описательные характеристики'!$F$5,"да","нет")</f>
        <v>да</v>
      </c>
      <c r="N749" t="str">
        <f>IF(acs2015_county_data[[#This Row],[Unemployment]]&gt;='Описательные характеристики'!$I$5,"да","нет")</f>
        <v>нет</v>
      </c>
    </row>
    <row r="750" spans="1:14" x14ac:dyDescent="0.35">
      <c r="A750">
        <v>18103</v>
      </c>
      <c r="B750" t="s">
        <v>558</v>
      </c>
      <c r="C750" t="s">
        <v>576</v>
      </c>
      <c r="D750" s="2">
        <v>36211</v>
      </c>
      <c r="E750" s="2">
        <v>21745</v>
      </c>
      <c r="F750" s="3">
        <v>2.6</v>
      </c>
      <c r="G750" s="3">
        <v>14752</v>
      </c>
      <c r="H750" s="3">
        <v>78.599999999999994</v>
      </c>
      <c r="I750" s="3">
        <v>15.8</v>
      </c>
      <c r="J750" s="3">
        <v>5.4</v>
      </c>
      <c r="K750" s="3">
        <v>0.2</v>
      </c>
      <c r="L750" s="3">
        <v>9.4</v>
      </c>
      <c r="M750" t="str">
        <f>IF(acs2015_county_data[[#This Row],[PublicWork]]&gt;='Описательные характеристики'!$F$5,"да","нет")</f>
        <v>нет</v>
      </c>
      <c r="N750" t="str">
        <f>IF(acs2015_county_data[[#This Row],[Unemployment]]&gt;='Описательные характеристики'!$I$5,"да","нет")</f>
        <v>да</v>
      </c>
    </row>
    <row r="751" spans="1:14" x14ac:dyDescent="0.35">
      <c r="A751">
        <v>18105</v>
      </c>
      <c r="B751" t="s">
        <v>558</v>
      </c>
      <c r="C751" t="s">
        <v>62</v>
      </c>
      <c r="D751" s="2">
        <v>142404</v>
      </c>
      <c r="E751" s="2">
        <v>24266</v>
      </c>
      <c r="F751" s="3">
        <v>4.0999999999999996</v>
      </c>
      <c r="G751" s="3">
        <v>69887</v>
      </c>
      <c r="H751" s="3">
        <v>73.2</v>
      </c>
      <c r="I751" s="3">
        <v>21.2</v>
      </c>
      <c r="J751" s="3">
        <v>5.5</v>
      </c>
      <c r="K751" s="3">
        <v>0.1</v>
      </c>
      <c r="L751" s="3">
        <v>6.9</v>
      </c>
      <c r="M751" t="str">
        <f>IF(acs2015_county_data[[#This Row],[PublicWork]]&gt;='Описательные характеристики'!$F$5,"да","нет")</f>
        <v>да</v>
      </c>
      <c r="N751" t="str">
        <f>IF(acs2015_county_data[[#This Row],[Unemployment]]&gt;='Описательные характеристики'!$I$5,"да","нет")</f>
        <v>нет</v>
      </c>
    </row>
    <row r="752" spans="1:14" x14ac:dyDescent="0.35">
      <c r="A752">
        <v>18107</v>
      </c>
      <c r="B752" t="s">
        <v>558</v>
      </c>
      <c r="C752" t="s">
        <v>158</v>
      </c>
      <c r="D752" s="2">
        <v>38172</v>
      </c>
      <c r="E752" s="2">
        <v>22911</v>
      </c>
      <c r="F752" s="3">
        <v>2.4</v>
      </c>
      <c r="G752" s="3">
        <v>17497</v>
      </c>
      <c r="H752" s="3">
        <v>86.6</v>
      </c>
      <c r="I752" s="3">
        <v>8.6</v>
      </c>
      <c r="J752" s="3">
        <v>4.3</v>
      </c>
      <c r="K752" s="3">
        <v>0.5</v>
      </c>
      <c r="L752" s="3">
        <v>6.9</v>
      </c>
      <c r="M752" t="str">
        <f>IF(acs2015_county_data[[#This Row],[PublicWork]]&gt;='Описательные характеристики'!$F$5,"да","нет")</f>
        <v>нет</v>
      </c>
      <c r="N752" t="str">
        <f>IF(acs2015_county_data[[#This Row],[Unemployment]]&gt;='Описательные характеристики'!$I$5,"да","нет")</f>
        <v>нет</v>
      </c>
    </row>
    <row r="753" spans="1:14" x14ac:dyDescent="0.35">
      <c r="A753">
        <v>18109</v>
      </c>
      <c r="B753" t="s">
        <v>558</v>
      </c>
      <c r="C753" t="s">
        <v>63</v>
      </c>
      <c r="D753" s="2">
        <v>69403</v>
      </c>
      <c r="E753" s="2">
        <v>26175</v>
      </c>
      <c r="F753" s="3">
        <v>3.2</v>
      </c>
      <c r="G753" s="3">
        <v>32732</v>
      </c>
      <c r="H753" s="3">
        <v>83.5</v>
      </c>
      <c r="I753" s="3">
        <v>10.6</v>
      </c>
      <c r="J753" s="3">
        <v>5.8</v>
      </c>
      <c r="K753" s="3">
        <v>0.1</v>
      </c>
      <c r="L753" s="3">
        <v>7.3</v>
      </c>
      <c r="M753" t="str">
        <f>IF(acs2015_county_data[[#This Row],[PublicWork]]&gt;='Описательные характеристики'!$F$5,"да","нет")</f>
        <v>нет</v>
      </c>
      <c r="N753" t="str">
        <f>IF(acs2015_county_data[[#This Row],[Unemployment]]&gt;='Описательные характеристики'!$I$5,"да","нет")</f>
        <v>нет</v>
      </c>
    </row>
    <row r="754" spans="1:14" x14ac:dyDescent="0.35">
      <c r="A754">
        <v>18111</v>
      </c>
      <c r="B754" t="s">
        <v>558</v>
      </c>
      <c r="C754" t="s">
        <v>160</v>
      </c>
      <c r="D754" s="2">
        <v>14057</v>
      </c>
      <c r="E754" s="2">
        <v>23154</v>
      </c>
      <c r="F754" s="3">
        <v>2.1</v>
      </c>
      <c r="G754" s="3">
        <v>6146</v>
      </c>
      <c r="H754" s="3">
        <v>82.3</v>
      </c>
      <c r="I754" s="3">
        <v>10.5</v>
      </c>
      <c r="J754" s="3">
        <v>7.2</v>
      </c>
      <c r="K754" s="3">
        <v>0.1</v>
      </c>
      <c r="L754" s="3">
        <v>8.9</v>
      </c>
      <c r="M754" t="str">
        <f>IF(acs2015_county_data[[#This Row],[PublicWork]]&gt;='Описательные характеристики'!$F$5,"да","нет")</f>
        <v>нет</v>
      </c>
      <c r="N754" t="str">
        <f>IF(acs2015_county_data[[#This Row],[Unemployment]]&gt;='Описательные характеристики'!$I$5,"да","нет")</f>
        <v>да</v>
      </c>
    </row>
    <row r="755" spans="1:14" x14ac:dyDescent="0.35">
      <c r="A755">
        <v>18113</v>
      </c>
      <c r="B755" t="s">
        <v>558</v>
      </c>
      <c r="C755" t="s">
        <v>577</v>
      </c>
      <c r="D755" s="2">
        <v>47546</v>
      </c>
      <c r="E755" s="2">
        <v>23477</v>
      </c>
      <c r="F755" s="3">
        <v>2.9</v>
      </c>
      <c r="G755" s="3">
        <v>21795</v>
      </c>
      <c r="H755" s="3">
        <v>86</v>
      </c>
      <c r="I755" s="3">
        <v>9</v>
      </c>
      <c r="J755" s="3">
        <v>4.8</v>
      </c>
      <c r="K755" s="3">
        <v>0.3</v>
      </c>
      <c r="L755" s="3">
        <v>8.8000000000000007</v>
      </c>
      <c r="M755" t="str">
        <f>IF(acs2015_county_data[[#This Row],[PublicWork]]&gt;='Описательные характеристики'!$F$5,"да","нет")</f>
        <v>нет</v>
      </c>
      <c r="N755" t="str">
        <f>IF(acs2015_county_data[[#This Row],[Unemployment]]&gt;='Описательные характеристики'!$I$5,"да","нет")</f>
        <v>да</v>
      </c>
    </row>
    <row r="756" spans="1:14" x14ac:dyDescent="0.35">
      <c r="A756">
        <v>18115</v>
      </c>
      <c r="B756" t="s">
        <v>558</v>
      </c>
      <c r="C756" t="s">
        <v>578</v>
      </c>
      <c r="D756" s="2">
        <v>6033</v>
      </c>
      <c r="E756" s="2">
        <v>23848</v>
      </c>
      <c r="F756" s="3">
        <v>1.2</v>
      </c>
      <c r="G756" s="3">
        <v>2909</v>
      </c>
      <c r="H756" s="3">
        <v>81.7</v>
      </c>
      <c r="I756" s="3">
        <v>13.2</v>
      </c>
      <c r="J756" s="3">
        <v>3.4</v>
      </c>
      <c r="K756" s="3">
        <v>1.7</v>
      </c>
      <c r="L756" s="3">
        <v>7.7</v>
      </c>
      <c r="M756" t="str">
        <f>IF(acs2015_county_data[[#This Row],[PublicWork]]&gt;='Описательные характеристики'!$F$5,"да","нет")</f>
        <v>нет</v>
      </c>
      <c r="N756" t="str">
        <f>IF(acs2015_county_data[[#This Row],[Unemployment]]&gt;='Описательные характеристики'!$I$5,"да","нет")</f>
        <v>да</v>
      </c>
    </row>
    <row r="757" spans="1:14" x14ac:dyDescent="0.35">
      <c r="A757">
        <v>18117</v>
      </c>
      <c r="B757" t="s">
        <v>558</v>
      </c>
      <c r="C757" t="s">
        <v>208</v>
      </c>
      <c r="D757" s="2">
        <v>19725</v>
      </c>
      <c r="E757" s="2">
        <v>19660</v>
      </c>
      <c r="F757" s="3">
        <v>4.4000000000000004</v>
      </c>
      <c r="G757" s="3">
        <v>8330</v>
      </c>
      <c r="H757" s="3">
        <v>84.7</v>
      </c>
      <c r="I757" s="3">
        <v>8.9</v>
      </c>
      <c r="J757" s="3">
        <v>6.3</v>
      </c>
      <c r="K757" s="3">
        <v>0.1</v>
      </c>
      <c r="L757" s="3">
        <v>6.8</v>
      </c>
      <c r="M757" t="str">
        <f>IF(acs2015_county_data[[#This Row],[PublicWork]]&gt;='Описательные характеристики'!$F$5,"да","нет")</f>
        <v>нет</v>
      </c>
      <c r="N757" t="str">
        <f>IF(acs2015_county_data[[#This Row],[Unemployment]]&gt;='Описательные характеристики'!$I$5,"да","нет")</f>
        <v>нет</v>
      </c>
    </row>
    <row r="758" spans="1:14" x14ac:dyDescent="0.35">
      <c r="A758">
        <v>18119</v>
      </c>
      <c r="B758" t="s">
        <v>558</v>
      </c>
      <c r="C758" t="s">
        <v>579</v>
      </c>
      <c r="D758" s="2">
        <v>21192</v>
      </c>
      <c r="E758" s="2">
        <v>21842</v>
      </c>
      <c r="F758" s="3">
        <v>2.1</v>
      </c>
      <c r="G758" s="3">
        <v>9276</v>
      </c>
      <c r="H758" s="3">
        <v>80.5</v>
      </c>
      <c r="I758" s="3">
        <v>11.3</v>
      </c>
      <c r="J758" s="3">
        <v>7.7</v>
      </c>
      <c r="K758" s="3">
        <v>0.4</v>
      </c>
      <c r="L758" s="3">
        <v>8</v>
      </c>
      <c r="M758" t="str">
        <f>IF(acs2015_county_data[[#This Row],[PublicWork]]&gt;='Описательные характеристики'!$F$5,"да","нет")</f>
        <v>нет</v>
      </c>
      <c r="N758" t="str">
        <f>IF(acs2015_county_data[[#This Row],[Unemployment]]&gt;='Описательные характеристики'!$I$5,"да","нет")</f>
        <v>да</v>
      </c>
    </row>
    <row r="759" spans="1:14" x14ac:dyDescent="0.35">
      <c r="A759">
        <v>18121</v>
      </c>
      <c r="B759" t="s">
        <v>558</v>
      </c>
      <c r="C759" t="s">
        <v>580</v>
      </c>
      <c r="D759" s="2">
        <v>17107</v>
      </c>
      <c r="E759" s="2">
        <v>20592</v>
      </c>
      <c r="F759" s="3">
        <v>3.8</v>
      </c>
      <c r="G759" s="3">
        <v>6730</v>
      </c>
      <c r="H759" s="3">
        <v>79.599999999999994</v>
      </c>
      <c r="I759" s="3">
        <v>13</v>
      </c>
      <c r="J759" s="3">
        <v>7.1</v>
      </c>
      <c r="K759" s="3">
        <v>0.2</v>
      </c>
      <c r="L759" s="3">
        <v>7.8</v>
      </c>
      <c r="M759" t="str">
        <f>IF(acs2015_county_data[[#This Row],[PublicWork]]&gt;='Описательные характеристики'!$F$5,"да","нет")</f>
        <v>нет</v>
      </c>
      <c r="N759" t="str">
        <f>IF(acs2015_county_data[[#This Row],[Unemployment]]&gt;='Описательные характеристики'!$I$5,"да","нет")</f>
        <v>да</v>
      </c>
    </row>
    <row r="760" spans="1:14" x14ac:dyDescent="0.35">
      <c r="A760">
        <v>18123</v>
      </c>
      <c r="B760" t="s">
        <v>558</v>
      </c>
      <c r="C760" t="s">
        <v>64</v>
      </c>
      <c r="D760" s="2">
        <v>19414</v>
      </c>
      <c r="E760" s="2">
        <v>20964</v>
      </c>
      <c r="F760" s="3">
        <v>1.6</v>
      </c>
      <c r="G760" s="3">
        <v>8399</v>
      </c>
      <c r="H760" s="3">
        <v>82.4</v>
      </c>
      <c r="I760" s="3">
        <v>11.9</v>
      </c>
      <c r="J760" s="3">
        <v>5.4</v>
      </c>
      <c r="K760" s="3">
        <v>0.3</v>
      </c>
      <c r="L760" s="3">
        <v>5.6</v>
      </c>
      <c r="M760" t="str">
        <f>IF(acs2015_county_data[[#This Row],[PublicWork]]&gt;='Описательные характеристики'!$F$5,"да","нет")</f>
        <v>нет</v>
      </c>
      <c r="N760" t="str">
        <f>IF(acs2015_county_data[[#This Row],[Unemployment]]&gt;='Описательные характеристики'!$I$5,"да","нет")</f>
        <v>нет</v>
      </c>
    </row>
    <row r="761" spans="1:14" x14ac:dyDescent="0.35">
      <c r="A761">
        <v>18125</v>
      </c>
      <c r="B761" t="s">
        <v>558</v>
      </c>
      <c r="C761" t="s">
        <v>66</v>
      </c>
      <c r="D761" s="2">
        <v>12687</v>
      </c>
      <c r="E761" s="2">
        <v>23169</v>
      </c>
      <c r="F761" s="3">
        <v>2.5</v>
      </c>
      <c r="G761" s="3">
        <v>5902</v>
      </c>
      <c r="H761" s="3">
        <v>87.1</v>
      </c>
      <c r="I761" s="3">
        <v>9.4</v>
      </c>
      <c r="J761" s="3">
        <v>3.2</v>
      </c>
      <c r="K761" s="3">
        <v>0.3</v>
      </c>
      <c r="L761" s="3">
        <v>5.0999999999999996</v>
      </c>
      <c r="M761" t="str">
        <f>IF(acs2015_county_data[[#This Row],[PublicWork]]&gt;='Описательные характеристики'!$F$5,"да","нет")</f>
        <v>нет</v>
      </c>
      <c r="N761" t="str">
        <f>IF(acs2015_county_data[[#This Row],[Unemployment]]&gt;='Описательные характеристики'!$I$5,"да","нет")</f>
        <v>нет</v>
      </c>
    </row>
    <row r="762" spans="1:14" x14ac:dyDescent="0.35">
      <c r="A762">
        <v>18127</v>
      </c>
      <c r="B762" t="s">
        <v>558</v>
      </c>
      <c r="C762" t="s">
        <v>581</v>
      </c>
      <c r="D762" s="2">
        <v>166570</v>
      </c>
      <c r="E762" s="2">
        <v>29922</v>
      </c>
      <c r="F762" s="3">
        <v>3.8</v>
      </c>
      <c r="G762" s="3">
        <v>78219</v>
      </c>
      <c r="H762" s="3">
        <v>85.5</v>
      </c>
      <c r="I762" s="3">
        <v>10.3</v>
      </c>
      <c r="J762" s="3">
        <v>4</v>
      </c>
      <c r="K762" s="3">
        <v>0.2</v>
      </c>
      <c r="L762" s="3">
        <v>7.3</v>
      </c>
      <c r="M762" t="str">
        <f>IF(acs2015_county_data[[#This Row],[PublicWork]]&gt;='Описательные характеристики'!$F$5,"да","нет")</f>
        <v>нет</v>
      </c>
      <c r="N762" t="str">
        <f>IF(acs2015_county_data[[#This Row],[Unemployment]]&gt;='Описательные характеристики'!$I$5,"да","нет")</f>
        <v>нет</v>
      </c>
    </row>
    <row r="763" spans="1:14" x14ac:dyDescent="0.35">
      <c r="A763">
        <v>18129</v>
      </c>
      <c r="B763" t="s">
        <v>558</v>
      </c>
      <c r="C763" t="s">
        <v>582</v>
      </c>
      <c r="D763" s="2">
        <v>25567</v>
      </c>
      <c r="E763" s="2">
        <v>29821</v>
      </c>
      <c r="F763" s="3">
        <v>3</v>
      </c>
      <c r="G763" s="3">
        <v>12101</v>
      </c>
      <c r="H763" s="3">
        <v>83.2</v>
      </c>
      <c r="I763" s="3">
        <v>11.1</v>
      </c>
      <c r="J763" s="3">
        <v>5.6</v>
      </c>
      <c r="K763" s="3">
        <v>0</v>
      </c>
      <c r="L763" s="3">
        <v>5.3</v>
      </c>
      <c r="M763" t="str">
        <f>IF(acs2015_county_data[[#This Row],[PublicWork]]&gt;='Описательные характеристики'!$F$5,"да","нет")</f>
        <v>нет</v>
      </c>
      <c r="N763" t="str">
        <f>IF(acs2015_county_data[[#This Row],[Unemployment]]&gt;='Описательные характеристики'!$I$5,"да","нет")</f>
        <v>нет</v>
      </c>
    </row>
    <row r="764" spans="1:14" x14ac:dyDescent="0.35">
      <c r="A764">
        <v>18131</v>
      </c>
      <c r="B764" t="s">
        <v>558</v>
      </c>
      <c r="C764" t="s">
        <v>166</v>
      </c>
      <c r="D764" s="2">
        <v>13047</v>
      </c>
      <c r="E764" s="2">
        <v>22798</v>
      </c>
      <c r="F764" s="3">
        <v>4</v>
      </c>
      <c r="G764" s="3">
        <v>5831</v>
      </c>
      <c r="H764" s="3">
        <v>81</v>
      </c>
      <c r="I764" s="3">
        <v>12.3</v>
      </c>
      <c r="J764" s="3">
        <v>6.6</v>
      </c>
      <c r="K764" s="3">
        <v>0.1</v>
      </c>
      <c r="L764" s="3">
        <v>7</v>
      </c>
      <c r="M764" t="str">
        <f>IF(acs2015_county_data[[#This Row],[PublicWork]]&gt;='Описательные характеристики'!$F$5,"да","нет")</f>
        <v>нет</v>
      </c>
      <c r="N764" t="str">
        <f>IF(acs2015_county_data[[#This Row],[Unemployment]]&gt;='Описательные характеристики'!$I$5,"да","нет")</f>
        <v>нет</v>
      </c>
    </row>
    <row r="765" spans="1:14" x14ac:dyDescent="0.35">
      <c r="A765">
        <v>18133</v>
      </c>
      <c r="B765" t="s">
        <v>558</v>
      </c>
      <c r="C765" t="s">
        <v>343</v>
      </c>
      <c r="D765" s="2">
        <v>37650</v>
      </c>
      <c r="E765" s="2">
        <v>22983</v>
      </c>
      <c r="F765" s="3">
        <v>2.4</v>
      </c>
      <c r="G765" s="3">
        <v>15518</v>
      </c>
      <c r="H765" s="3">
        <v>83</v>
      </c>
      <c r="I765" s="3">
        <v>11.3</v>
      </c>
      <c r="J765" s="3">
        <v>5.7</v>
      </c>
      <c r="K765" s="3">
        <v>0</v>
      </c>
      <c r="L765" s="3">
        <v>7.3</v>
      </c>
      <c r="M765" t="str">
        <f>IF(acs2015_county_data[[#This Row],[PublicWork]]&gt;='Описательные характеристики'!$F$5,"да","нет")</f>
        <v>нет</v>
      </c>
      <c r="N765" t="str">
        <f>IF(acs2015_county_data[[#This Row],[Unemployment]]&gt;='Описательные характеристики'!$I$5,"да","нет")</f>
        <v>нет</v>
      </c>
    </row>
    <row r="766" spans="1:14" x14ac:dyDescent="0.35">
      <c r="A766">
        <v>18135</v>
      </c>
      <c r="B766" t="s">
        <v>558</v>
      </c>
      <c r="C766" t="s">
        <v>67</v>
      </c>
      <c r="D766" s="2">
        <v>25596</v>
      </c>
      <c r="E766" s="2">
        <v>23000</v>
      </c>
      <c r="F766" s="3">
        <v>4.2</v>
      </c>
      <c r="G766" s="3">
        <v>11319</v>
      </c>
      <c r="H766" s="3">
        <v>81.5</v>
      </c>
      <c r="I766" s="3">
        <v>11</v>
      </c>
      <c r="J766" s="3">
        <v>6.9</v>
      </c>
      <c r="K766" s="3">
        <v>0.6</v>
      </c>
      <c r="L766" s="3">
        <v>7.8</v>
      </c>
      <c r="M766" t="str">
        <f>IF(acs2015_county_data[[#This Row],[PublicWork]]&gt;='Описательные характеристики'!$F$5,"да","нет")</f>
        <v>нет</v>
      </c>
      <c r="N766" t="str">
        <f>IF(acs2015_county_data[[#This Row],[Unemployment]]&gt;='Описательные характеристики'!$I$5,"да","нет")</f>
        <v>да</v>
      </c>
    </row>
    <row r="767" spans="1:14" x14ac:dyDescent="0.35">
      <c r="A767">
        <v>18137</v>
      </c>
      <c r="B767" t="s">
        <v>558</v>
      </c>
      <c r="C767" t="s">
        <v>583</v>
      </c>
      <c r="D767" s="2">
        <v>28612</v>
      </c>
      <c r="E767" s="2">
        <v>23534</v>
      </c>
      <c r="F767" s="3">
        <v>4.9000000000000004</v>
      </c>
      <c r="G767" s="3">
        <v>13088</v>
      </c>
      <c r="H767" s="3">
        <v>83.1</v>
      </c>
      <c r="I767" s="3">
        <v>11.6</v>
      </c>
      <c r="J767" s="3">
        <v>5.2</v>
      </c>
      <c r="K767" s="3">
        <v>0.1</v>
      </c>
      <c r="L767" s="3">
        <v>7.4</v>
      </c>
      <c r="M767" t="str">
        <f>IF(acs2015_county_data[[#This Row],[PublicWork]]&gt;='Описательные характеристики'!$F$5,"да","нет")</f>
        <v>нет</v>
      </c>
      <c r="N767" t="str">
        <f>IF(acs2015_county_data[[#This Row],[Unemployment]]&gt;='Описательные характеристики'!$I$5,"да","нет")</f>
        <v>нет</v>
      </c>
    </row>
    <row r="768" spans="1:14" x14ac:dyDescent="0.35">
      <c r="A768">
        <v>18139</v>
      </c>
      <c r="B768" t="s">
        <v>558</v>
      </c>
      <c r="C768" t="s">
        <v>584</v>
      </c>
      <c r="D768" s="2">
        <v>16991</v>
      </c>
      <c r="E768" s="2">
        <v>23186</v>
      </c>
      <c r="F768" s="3">
        <v>5.3</v>
      </c>
      <c r="G768" s="3">
        <v>7787</v>
      </c>
      <c r="H768" s="3">
        <v>79.900000000000006</v>
      </c>
      <c r="I768" s="3">
        <v>11.7</v>
      </c>
      <c r="J768" s="3">
        <v>8.1</v>
      </c>
      <c r="K768" s="3">
        <v>0.3</v>
      </c>
      <c r="L768" s="3">
        <v>6.9</v>
      </c>
      <c r="M768" t="str">
        <f>IF(acs2015_county_data[[#This Row],[PublicWork]]&gt;='Описательные характеристики'!$F$5,"да","нет")</f>
        <v>нет</v>
      </c>
      <c r="N768" t="str">
        <f>IF(acs2015_county_data[[#This Row],[Unemployment]]&gt;='Описательные характеристики'!$I$5,"да","нет")</f>
        <v>нет</v>
      </c>
    </row>
    <row r="769" spans="1:14" x14ac:dyDescent="0.35">
      <c r="A769">
        <v>18141</v>
      </c>
      <c r="B769" t="s">
        <v>558</v>
      </c>
      <c r="C769" t="s">
        <v>585</v>
      </c>
      <c r="D769" s="2">
        <v>267246</v>
      </c>
      <c r="E769" s="2">
        <v>24395</v>
      </c>
      <c r="F769" s="3">
        <v>3.6</v>
      </c>
      <c r="G769" s="3">
        <v>123170</v>
      </c>
      <c r="H769" s="3">
        <v>85.9</v>
      </c>
      <c r="I769" s="3">
        <v>9.4</v>
      </c>
      <c r="J769" s="3">
        <v>4.5999999999999996</v>
      </c>
      <c r="K769" s="3">
        <v>0.1</v>
      </c>
      <c r="L769" s="3">
        <v>8.5</v>
      </c>
      <c r="M769" t="str">
        <f>IF(acs2015_county_data[[#This Row],[PublicWork]]&gt;='Описательные характеристики'!$F$5,"да","нет")</f>
        <v>нет</v>
      </c>
      <c r="N769" t="str">
        <f>IF(acs2015_county_data[[#This Row],[Unemployment]]&gt;='Описательные характеристики'!$I$5,"да","нет")</f>
        <v>да</v>
      </c>
    </row>
    <row r="770" spans="1:14" x14ac:dyDescent="0.35">
      <c r="A770">
        <v>18143</v>
      </c>
      <c r="B770" t="s">
        <v>558</v>
      </c>
      <c r="C770" t="s">
        <v>169</v>
      </c>
      <c r="D770" s="2">
        <v>23783</v>
      </c>
      <c r="E770" s="2">
        <v>21385</v>
      </c>
      <c r="F770" s="3">
        <v>2.5</v>
      </c>
      <c r="G770" s="3">
        <v>9803</v>
      </c>
      <c r="H770" s="3">
        <v>84.6</v>
      </c>
      <c r="I770" s="3">
        <v>11.7</v>
      </c>
      <c r="J770" s="3">
        <v>3.4</v>
      </c>
      <c r="K770" s="3">
        <v>0.3</v>
      </c>
      <c r="L770" s="3">
        <v>11</v>
      </c>
      <c r="M770" t="str">
        <f>IF(acs2015_county_data[[#This Row],[PublicWork]]&gt;='Описательные характеристики'!$F$5,"да","нет")</f>
        <v>нет</v>
      </c>
      <c r="N770" t="str">
        <f>IF(acs2015_county_data[[#This Row],[Unemployment]]&gt;='Описательные характеристики'!$I$5,"да","нет")</f>
        <v>да</v>
      </c>
    </row>
    <row r="771" spans="1:14" x14ac:dyDescent="0.35">
      <c r="A771">
        <v>18145</v>
      </c>
      <c r="B771" t="s">
        <v>558</v>
      </c>
      <c r="C771" t="s">
        <v>70</v>
      </c>
      <c r="D771" s="2">
        <v>44441</v>
      </c>
      <c r="E771" s="2">
        <v>24645</v>
      </c>
      <c r="F771" s="3">
        <v>2.7</v>
      </c>
      <c r="G771" s="3">
        <v>21379</v>
      </c>
      <c r="H771" s="3">
        <v>85.4</v>
      </c>
      <c r="I771" s="3">
        <v>9.1999999999999993</v>
      </c>
      <c r="J771" s="3">
        <v>5.4</v>
      </c>
      <c r="K771" s="3">
        <v>0.1</v>
      </c>
      <c r="L771" s="3">
        <v>8.3000000000000007</v>
      </c>
      <c r="M771" t="str">
        <f>IF(acs2015_county_data[[#This Row],[PublicWork]]&gt;='Описательные характеристики'!$F$5,"да","нет")</f>
        <v>нет</v>
      </c>
      <c r="N771" t="str">
        <f>IF(acs2015_county_data[[#This Row],[Unemployment]]&gt;='Описательные характеристики'!$I$5,"да","нет")</f>
        <v>да</v>
      </c>
    </row>
    <row r="772" spans="1:14" x14ac:dyDescent="0.35">
      <c r="A772">
        <v>18147</v>
      </c>
      <c r="B772" t="s">
        <v>558</v>
      </c>
      <c r="C772" t="s">
        <v>586</v>
      </c>
      <c r="D772" s="2">
        <v>20856</v>
      </c>
      <c r="E772" s="2">
        <v>24936</v>
      </c>
      <c r="F772" s="3">
        <v>3.6</v>
      </c>
      <c r="G772" s="3">
        <v>10060</v>
      </c>
      <c r="H772" s="3">
        <v>86.3</v>
      </c>
      <c r="I772" s="3">
        <v>6.9</v>
      </c>
      <c r="J772" s="3">
        <v>6.7</v>
      </c>
      <c r="K772" s="3">
        <v>0.1</v>
      </c>
      <c r="L772" s="3">
        <v>5.6</v>
      </c>
      <c r="M772" t="str">
        <f>IF(acs2015_county_data[[#This Row],[PublicWork]]&gt;='Описательные характеристики'!$F$5,"да","нет")</f>
        <v>нет</v>
      </c>
      <c r="N772" t="str">
        <f>IF(acs2015_county_data[[#This Row],[Unemployment]]&gt;='Описательные характеристики'!$I$5,"да","нет")</f>
        <v>нет</v>
      </c>
    </row>
    <row r="773" spans="1:14" x14ac:dyDescent="0.35">
      <c r="A773">
        <v>18149</v>
      </c>
      <c r="B773" t="s">
        <v>558</v>
      </c>
      <c r="C773" t="s">
        <v>587</v>
      </c>
      <c r="D773" s="2">
        <v>23117</v>
      </c>
      <c r="E773" s="2">
        <v>20899</v>
      </c>
      <c r="F773" s="3">
        <v>2.6</v>
      </c>
      <c r="G773" s="3">
        <v>9583</v>
      </c>
      <c r="H773" s="3">
        <v>83.4</v>
      </c>
      <c r="I773" s="3">
        <v>11.2</v>
      </c>
      <c r="J773" s="3">
        <v>5.3</v>
      </c>
      <c r="K773" s="3">
        <v>0.1</v>
      </c>
      <c r="L773" s="3">
        <v>11.5</v>
      </c>
      <c r="M773" t="str">
        <f>IF(acs2015_county_data[[#This Row],[PublicWork]]&gt;='Описательные характеристики'!$F$5,"да","нет")</f>
        <v>нет</v>
      </c>
      <c r="N773" t="str">
        <f>IF(acs2015_county_data[[#This Row],[Unemployment]]&gt;='Описательные характеристики'!$I$5,"да","нет")</f>
        <v>да</v>
      </c>
    </row>
    <row r="774" spans="1:14" x14ac:dyDescent="0.35">
      <c r="A774">
        <v>18151</v>
      </c>
      <c r="B774" t="s">
        <v>558</v>
      </c>
      <c r="C774" t="s">
        <v>588</v>
      </c>
      <c r="D774" s="2">
        <v>34267</v>
      </c>
      <c r="E774" s="2">
        <v>24576</v>
      </c>
      <c r="F774" s="3">
        <v>2.8</v>
      </c>
      <c r="G774" s="3">
        <v>16375</v>
      </c>
      <c r="H774" s="3">
        <v>84.6</v>
      </c>
      <c r="I774" s="3">
        <v>10</v>
      </c>
      <c r="J774" s="3">
        <v>5.3</v>
      </c>
      <c r="K774" s="3">
        <v>0.1</v>
      </c>
      <c r="L774" s="3">
        <v>6.9</v>
      </c>
      <c r="M774" t="str">
        <f>IF(acs2015_county_data[[#This Row],[PublicWork]]&gt;='Описательные характеристики'!$F$5,"да","нет")</f>
        <v>нет</v>
      </c>
      <c r="N774" t="str">
        <f>IF(acs2015_county_data[[#This Row],[Unemployment]]&gt;='Описательные характеристики'!$I$5,"да","нет")</f>
        <v>нет</v>
      </c>
    </row>
    <row r="775" spans="1:14" x14ac:dyDescent="0.35">
      <c r="A775">
        <v>18153</v>
      </c>
      <c r="B775" t="s">
        <v>558</v>
      </c>
      <c r="C775" t="s">
        <v>589</v>
      </c>
      <c r="D775" s="2">
        <v>21111</v>
      </c>
      <c r="E775" s="2">
        <v>19715</v>
      </c>
      <c r="F775" s="3">
        <v>1.9</v>
      </c>
      <c r="G775" s="3">
        <v>8203</v>
      </c>
      <c r="H775" s="3">
        <v>84</v>
      </c>
      <c r="I775" s="3">
        <v>11.9</v>
      </c>
      <c r="J775" s="3">
        <v>4.0999999999999996</v>
      </c>
      <c r="K775" s="3">
        <v>0</v>
      </c>
      <c r="L775" s="3">
        <v>6.8</v>
      </c>
      <c r="M775" t="str">
        <f>IF(acs2015_county_data[[#This Row],[PublicWork]]&gt;='Описательные характеристики'!$F$5,"да","нет")</f>
        <v>нет</v>
      </c>
      <c r="N775" t="str">
        <f>IF(acs2015_county_data[[#This Row],[Unemployment]]&gt;='Описательные характеристики'!$I$5,"да","нет")</f>
        <v>нет</v>
      </c>
    </row>
    <row r="776" spans="1:14" x14ac:dyDescent="0.35">
      <c r="A776">
        <v>18155</v>
      </c>
      <c r="B776" t="s">
        <v>558</v>
      </c>
      <c r="C776" t="s">
        <v>590</v>
      </c>
      <c r="D776" s="2">
        <v>10500</v>
      </c>
      <c r="E776" s="2">
        <v>19516</v>
      </c>
      <c r="F776" s="3">
        <v>5.3</v>
      </c>
      <c r="G776" s="3">
        <v>4314</v>
      </c>
      <c r="H776" s="3">
        <v>79</v>
      </c>
      <c r="I776" s="3">
        <v>14.8</v>
      </c>
      <c r="J776" s="3">
        <v>6.2</v>
      </c>
      <c r="K776" s="3">
        <v>0</v>
      </c>
      <c r="L776" s="3">
        <v>9.6</v>
      </c>
      <c r="M776" t="str">
        <f>IF(acs2015_county_data[[#This Row],[PublicWork]]&gt;='Описательные характеристики'!$F$5,"да","нет")</f>
        <v>нет</v>
      </c>
      <c r="N776" t="str">
        <f>IF(acs2015_county_data[[#This Row],[Unemployment]]&gt;='Описательные характеристики'!$I$5,"да","нет")</f>
        <v>да</v>
      </c>
    </row>
    <row r="777" spans="1:14" x14ac:dyDescent="0.35">
      <c r="A777">
        <v>18157</v>
      </c>
      <c r="B777" t="s">
        <v>558</v>
      </c>
      <c r="C777" t="s">
        <v>591</v>
      </c>
      <c r="D777" s="2">
        <v>180952</v>
      </c>
      <c r="E777" s="2">
        <v>23529</v>
      </c>
      <c r="F777" s="3">
        <v>3.3</v>
      </c>
      <c r="G777" s="3">
        <v>86629</v>
      </c>
      <c r="H777" s="3">
        <v>79.400000000000006</v>
      </c>
      <c r="I777" s="3">
        <v>16.8</v>
      </c>
      <c r="J777" s="3">
        <v>3.7</v>
      </c>
      <c r="K777" s="3">
        <v>0.1</v>
      </c>
      <c r="L777" s="3">
        <v>6.5</v>
      </c>
      <c r="M777" t="str">
        <f>IF(acs2015_county_data[[#This Row],[PublicWork]]&gt;='Описательные характеристики'!$F$5,"да","нет")</f>
        <v>да</v>
      </c>
      <c r="N777" t="str">
        <f>IF(acs2015_county_data[[#This Row],[Unemployment]]&gt;='Описательные характеристики'!$I$5,"да","нет")</f>
        <v>нет</v>
      </c>
    </row>
    <row r="778" spans="1:14" x14ac:dyDescent="0.35">
      <c r="A778">
        <v>18159</v>
      </c>
      <c r="B778" t="s">
        <v>558</v>
      </c>
      <c r="C778" t="s">
        <v>592</v>
      </c>
      <c r="D778" s="2">
        <v>15573</v>
      </c>
      <c r="E778" s="2">
        <v>25868</v>
      </c>
      <c r="F778" s="3">
        <v>3.1</v>
      </c>
      <c r="G778" s="3">
        <v>7195</v>
      </c>
      <c r="H778" s="3">
        <v>82.1</v>
      </c>
      <c r="I778" s="3">
        <v>12.1</v>
      </c>
      <c r="J778" s="3">
        <v>5.5</v>
      </c>
      <c r="K778" s="3">
        <v>0.2</v>
      </c>
      <c r="L778" s="3">
        <v>6.2</v>
      </c>
      <c r="M778" t="str">
        <f>IF(acs2015_county_data[[#This Row],[PublicWork]]&gt;='Описательные характеристики'!$F$5,"да","нет")</f>
        <v>нет</v>
      </c>
      <c r="N778" t="str">
        <f>IF(acs2015_county_data[[#This Row],[Unemployment]]&gt;='Описательные характеристики'!$I$5,"да","нет")</f>
        <v>нет</v>
      </c>
    </row>
    <row r="779" spans="1:14" x14ac:dyDescent="0.35">
      <c r="A779">
        <v>18161</v>
      </c>
      <c r="B779" t="s">
        <v>558</v>
      </c>
      <c r="C779" t="s">
        <v>175</v>
      </c>
      <c r="D779" s="2">
        <v>7299</v>
      </c>
      <c r="E779" s="2">
        <v>21487</v>
      </c>
      <c r="F779" s="3">
        <v>3</v>
      </c>
      <c r="G779" s="3">
        <v>3384</v>
      </c>
      <c r="H779" s="3">
        <v>74.599999999999994</v>
      </c>
      <c r="I779" s="3">
        <v>17.100000000000001</v>
      </c>
      <c r="J779" s="3">
        <v>7.2</v>
      </c>
      <c r="K779" s="3">
        <v>1.1000000000000001</v>
      </c>
      <c r="L779" s="3">
        <v>7.7</v>
      </c>
      <c r="M779" t="str">
        <f>IF(acs2015_county_data[[#This Row],[PublicWork]]&gt;='Описательные характеристики'!$F$5,"да","нет")</f>
        <v>да</v>
      </c>
      <c r="N779" t="str">
        <f>IF(acs2015_county_data[[#This Row],[Unemployment]]&gt;='Описательные характеристики'!$I$5,"да","нет")</f>
        <v>да</v>
      </c>
    </row>
    <row r="780" spans="1:14" x14ac:dyDescent="0.35">
      <c r="A780">
        <v>18163</v>
      </c>
      <c r="B780" t="s">
        <v>558</v>
      </c>
      <c r="C780" t="s">
        <v>593</v>
      </c>
      <c r="D780" s="2">
        <v>181305</v>
      </c>
      <c r="E780" s="2">
        <v>24961</v>
      </c>
      <c r="F780" s="3">
        <v>2.8</v>
      </c>
      <c r="G780" s="3">
        <v>86077</v>
      </c>
      <c r="H780" s="3">
        <v>87</v>
      </c>
      <c r="I780" s="3">
        <v>9.1999999999999993</v>
      </c>
      <c r="J780" s="3">
        <v>3.7</v>
      </c>
      <c r="K780" s="3">
        <v>0.1</v>
      </c>
      <c r="L780" s="3">
        <v>6.2</v>
      </c>
      <c r="M780" t="str">
        <f>IF(acs2015_county_data[[#This Row],[PublicWork]]&gt;='Описательные характеристики'!$F$5,"да","нет")</f>
        <v>нет</v>
      </c>
      <c r="N780" t="str">
        <f>IF(acs2015_county_data[[#This Row],[Unemployment]]&gt;='Описательные характеристики'!$I$5,"да","нет")</f>
        <v>нет</v>
      </c>
    </row>
    <row r="781" spans="1:14" x14ac:dyDescent="0.35">
      <c r="A781">
        <v>18165</v>
      </c>
      <c r="B781" t="s">
        <v>558</v>
      </c>
      <c r="C781" t="s">
        <v>594</v>
      </c>
      <c r="D781" s="2">
        <v>15860</v>
      </c>
      <c r="E781" s="2">
        <v>22022</v>
      </c>
      <c r="F781" s="3">
        <v>2.4</v>
      </c>
      <c r="G781" s="3">
        <v>6686</v>
      </c>
      <c r="H781" s="3">
        <v>82.3</v>
      </c>
      <c r="I781" s="3">
        <v>10.6</v>
      </c>
      <c r="J781" s="3">
        <v>6.7</v>
      </c>
      <c r="K781" s="3">
        <v>0.4</v>
      </c>
      <c r="L781" s="3">
        <v>6.5</v>
      </c>
      <c r="M781" t="str">
        <f>IF(acs2015_county_data[[#This Row],[PublicWork]]&gt;='Описательные характеристики'!$F$5,"да","нет")</f>
        <v>нет</v>
      </c>
      <c r="N781" t="str">
        <f>IF(acs2015_county_data[[#This Row],[Unemployment]]&gt;='Описательные характеристики'!$I$5,"да","нет")</f>
        <v>нет</v>
      </c>
    </row>
    <row r="782" spans="1:14" x14ac:dyDescent="0.35">
      <c r="A782">
        <v>18167</v>
      </c>
      <c r="B782" t="s">
        <v>558</v>
      </c>
      <c r="C782" t="s">
        <v>595</v>
      </c>
      <c r="D782" s="2">
        <v>108268</v>
      </c>
      <c r="E782" s="2">
        <v>21626</v>
      </c>
      <c r="F782" s="3">
        <v>1.9</v>
      </c>
      <c r="G782" s="3">
        <v>47334</v>
      </c>
      <c r="H782" s="3">
        <v>83.8</v>
      </c>
      <c r="I782" s="3">
        <v>12.6</v>
      </c>
      <c r="J782" s="3">
        <v>3.6</v>
      </c>
      <c r="K782" s="3">
        <v>0.1</v>
      </c>
      <c r="L782" s="3">
        <v>8.9</v>
      </c>
      <c r="M782" t="str">
        <f>IF(acs2015_county_data[[#This Row],[PublicWork]]&gt;='Описательные характеристики'!$F$5,"да","нет")</f>
        <v>нет</v>
      </c>
      <c r="N782" t="str">
        <f>IF(acs2015_county_data[[#This Row],[Unemployment]]&gt;='Описательные характеристики'!$I$5,"да","нет")</f>
        <v>да</v>
      </c>
    </row>
    <row r="783" spans="1:14" x14ac:dyDescent="0.35">
      <c r="A783">
        <v>18169</v>
      </c>
      <c r="B783" t="s">
        <v>558</v>
      </c>
      <c r="C783" t="s">
        <v>552</v>
      </c>
      <c r="D783" s="2">
        <v>32358</v>
      </c>
      <c r="E783" s="2">
        <v>22674</v>
      </c>
      <c r="F783" s="3">
        <v>2.7</v>
      </c>
      <c r="G783" s="3">
        <v>14892</v>
      </c>
      <c r="H783" s="3">
        <v>83.6</v>
      </c>
      <c r="I783" s="3">
        <v>10.6</v>
      </c>
      <c r="J783" s="3">
        <v>5.5</v>
      </c>
      <c r="K783" s="3">
        <v>0.3</v>
      </c>
      <c r="L783" s="3">
        <v>7</v>
      </c>
      <c r="M783" t="str">
        <f>IF(acs2015_county_data[[#This Row],[PublicWork]]&gt;='Описательные характеристики'!$F$5,"да","нет")</f>
        <v>нет</v>
      </c>
      <c r="N783" t="str">
        <f>IF(acs2015_county_data[[#This Row],[Unemployment]]&gt;='Описательные характеристики'!$I$5,"да","нет")</f>
        <v>нет</v>
      </c>
    </row>
    <row r="784" spans="1:14" x14ac:dyDescent="0.35">
      <c r="A784">
        <v>18171</v>
      </c>
      <c r="B784" t="s">
        <v>558</v>
      </c>
      <c r="C784" t="s">
        <v>456</v>
      </c>
      <c r="D784" s="2">
        <v>8367</v>
      </c>
      <c r="E784" s="2">
        <v>27731</v>
      </c>
      <c r="F784" s="3">
        <v>3.3</v>
      </c>
      <c r="G784" s="3">
        <v>4031</v>
      </c>
      <c r="H784" s="3">
        <v>79.2</v>
      </c>
      <c r="I784" s="3">
        <v>13.1</v>
      </c>
      <c r="J784" s="3">
        <v>7.7</v>
      </c>
      <c r="K784" s="3">
        <v>0</v>
      </c>
      <c r="L784" s="3">
        <v>5.5</v>
      </c>
      <c r="M784" t="str">
        <f>IF(acs2015_county_data[[#This Row],[PublicWork]]&gt;='Описательные характеристики'!$F$5,"да","нет")</f>
        <v>нет</v>
      </c>
      <c r="N784" t="str">
        <f>IF(acs2015_county_data[[#This Row],[Unemployment]]&gt;='Описательные характеристики'!$I$5,"да","нет")</f>
        <v>нет</v>
      </c>
    </row>
    <row r="785" spans="1:14" x14ac:dyDescent="0.35">
      <c r="A785">
        <v>18173</v>
      </c>
      <c r="B785" t="s">
        <v>558</v>
      </c>
      <c r="C785" t="s">
        <v>596</v>
      </c>
      <c r="D785" s="2">
        <v>60995</v>
      </c>
      <c r="E785" s="2">
        <v>30507</v>
      </c>
      <c r="F785" s="3">
        <v>2.5</v>
      </c>
      <c r="G785" s="3">
        <v>29930</v>
      </c>
      <c r="H785" s="3">
        <v>86</v>
      </c>
      <c r="I785" s="3">
        <v>9.1999999999999993</v>
      </c>
      <c r="J785" s="3">
        <v>4.7</v>
      </c>
      <c r="K785" s="3">
        <v>0.1</v>
      </c>
      <c r="L785" s="3">
        <v>5</v>
      </c>
      <c r="M785" t="str">
        <f>IF(acs2015_county_data[[#This Row],[PublicWork]]&gt;='Описательные характеристики'!$F$5,"да","нет")</f>
        <v>нет</v>
      </c>
      <c r="N785" t="str">
        <f>IF(acs2015_county_data[[#This Row],[Unemployment]]&gt;='Описательные характеристики'!$I$5,"да","нет")</f>
        <v>нет</v>
      </c>
    </row>
    <row r="786" spans="1:14" x14ac:dyDescent="0.35">
      <c r="A786">
        <v>18175</v>
      </c>
      <c r="B786" t="s">
        <v>558</v>
      </c>
      <c r="C786" t="s">
        <v>75</v>
      </c>
      <c r="D786" s="2">
        <v>27930</v>
      </c>
      <c r="E786" s="2">
        <v>20483</v>
      </c>
      <c r="F786" s="3">
        <v>4.4000000000000004</v>
      </c>
      <c r="G786" s="3">
        <v>11783</v>
      </c>
      <c r="H786" s="3">
        <v>83.8</v>
      </c>
      <c r="I786" s="3">
        <v>9.6999999999999993</v>
      </c>
      <c r="J786" s="3">
        <v>6.4</v>
      </c>
      <c r="K786" s="3">
        <v>0.1</v>
      </c>
      <c r="L786" s="3">
        <v>10.1</v>
      </c>
      <c r="M786" t="str">
        <f>IF(acs2015_county_data[[#This Row],[PublicWork]]&gt;='Описательные характеристики'!$F$5,"да","нет")</f>
        <v>нет</v>
      </c>
      <c r="N786" t="str">
        <f>IF(acs2015_county_data[[#This Row],[Unemployment]]&gt;='Описательные характеристики'!$I$5,"да","нет")</f>
        <v>да</v>
      </c>
    </row>
    <row r="787" spans="1:14" x14ac:dyDescent="0.35">
      <c r="A787">
        <v>18177</v>
      </c>
      <c r="B787" t="s">
        <v>558</v>
      </c>
      <c r="C787" t="s">
        <v>457</v>
      </c>
      <c r="D787" s="2">
        <v>67866</v>
      </c>
      <c r="E787" s="2">
        <v>22093</v>
      </c>
      <c r="F787" s="3">
        <v>2.8</v>
      </c>
      <c r="G787" s="3">
        <v>28437</v>
      </c>
      <c r="H787" s="3">
        <v>82.8</v>
      </c>
      <c r="I787" s="3">
        <v>11.9</v>
      </c>
      <c r="J787" s="3">
        <v>5</v>
      </c>
      <c r="K787" s="3">
        <v>0.3</v>
      </c>
      <c r="L787" s="3">
        <v>9</v>
      </c>
      <c r="M787" t="str">
        <f>IF(acs2015_county_data[[#This Row],[PublicWork]]&gt;='Описательные характеристики'!$F$5,"да","нет")</f>
        <v>нет</v>
      </c>
      <c r="N787" t="str">
        <f>IF(acs2015_county_data[[#This Row],[Unemployment]]&gt;='Описательные характеристики'!$I$5,"да","нет")</f>
        <v>да</v>
      </c>
    </row>
    <row r="788" spans="1:14" x14ac:dyDescent="0.35">
      <c r="A788">
        <v>18179</v>
      </c>
      <c r="B788" t="s">
        <v>558</v>
      </c>
      <c r="C788" t="s">
        <v>1995</v>
      </c>
      <c r="D788" s="2">
        <v>27796</v>
      </c>
      <c r="E788" s="2">
        <v>24253</v>
      </c>
      <c r="F788" s="3">
        <v>3.5</v>
      </c>
      <c r="G788" s="3">
        <v>13510</v>
      </c>
      <c r="H788" s="3">
        <v>84.7</v>
      </c>
      <c r="I788" s="3">
        <v>8.9</v>
      </c>
      <c r="J788" s="3">
        <v>6.1</v>
      </c>
      <c r="K788" s="3">
        <v>0.2</v>
      </c>
      <c r="L788" s="3">
        <v>4.0999999999999996</v>
      </c>
      <c r="M788" t="str">
        <f>IF(acs2015_county_data[[#This Row],[PublicWork]]&gt;='Описательные характеристики'!$F$5,"да","нет")</f>
        <v>нет</v>
      </c>
      <c r="N788" t="str">
        <f>IF(acs2015_county_data[[#This Row],[Unemployment]]&gt;='Описательные характеристики'!$I$5,"да","нет")</f>
        <v>нет</v>
      </c>
    </row>
    <row r="789" spans="1:14" x14ac:dyDescent="0.35">
      <c r="A789">
        <v>18181</v>
      </c>
      <c r="B789" t="s">
        <v>558</v>
      </c>
      <c r="C789" t="s">
        <v>4</v>
      </c>
      <c r="D789" s="2">
        <v>24388</v>
      </c>
      <c r="E789" s="2">
        <v>24944</v>
      </c>
      <c r="F789" s="3">
        <v>4</v>
      </c>
      <c r="G789" s="3">
        <v>11433</v>
      </c>
      <c r="H789" s="3">
        <v>81.599999999999994</v>
      </c>
      <c r="I789" s="3">
        <v>12.5</v>
      </c>
      <c r="J789" s="3">
        <v>5.8</v>
      </c>
      <c r="K789" s="3">
        <v>0.2</v>
      </c>
      <c r="L789" s="3">
        <v>6</v>
      </c>
      <c r="M789" t="str">
        <f>IF(acs2015_county_data[[#This Row],[PublicWork]]&gt;='Описательные характеристики'!$F$5,"да","нет")</f>
        <v>нет</v>
      </c>
      <c r="N789" t="str">
        <f>IF(acs2015_county_data[[#This Row],[Unemployment]]&gt;='Описательные характеристики'!$I$5,"да","нет")</f>
        <v>нет</v>
      </c>
    </row>
    <row r="790" spans="1:14" x14ac:dyDescent="0.35">
      <c r="A790">
        <v>18183</v>
      </c>
      <c r="B790" t="s">
        <v>558</v>
      </c>
      <c r="C790" t="s">
        <v>597</v>
      </c>
      <c r="D790" s="2">
        <v>33330</v>
      </c>
      <c r="E790" s="2">
        <v>26383</v>
      </c>
      <c r="F790" s="3">
        <v>3.2</v>
      </c>
      <c r="G790" s="3">
        <v>16503</v>
      </c>
      <c r="H790" s="3">
        <v>85.1</v>
      </c>
      <c r="I790" s="3">
        <v>9.3000000000000007</v>
      </c>
      <c r="J790" s="3">
        <v>5.5</v>
      </c>
      <c r="K790" s="3">
        <v>0.1</v>
      </c>
      <c r="L790" s="3">
        <v>5.3</v>
      </c>
      <c r="M790" t="str">
        <f>IF(acs2015_county_data[[#This Row],[PublicWork]]&gt;='Описательные характеристики'!$F$5,"да","нет")</f>
        <v>нет</v>
      </c>
      <c r="N790" t="str">
        <f>IF(acs2015_county_data[[#This Row],[Unemployment]]&gt;='Описательные характеристики'!$I$5,"да","нет")</f>
        <v>нет</v>
      </c>
    </row>
    <row r="791" spans="1:14" x14ac:dyDescent="0.35">
      <c r="A791">
        <v>19001</v>
      </c>
      <c r="B791" t="s">
        <v>598</v>
      </c>
      <c r="C791" t="s">
        <v>599</v>
      </c>
      <c r="D791" s="2">
        <v>7426</v>
      </c>
      <c r="E791" s="2">
        <v>25990</v>
      </c>
      <c r="F791" s="3">
        <v>5.8</v>
      </c>
      <c r="G791" s="3">
        <v>3776</v>
      </c>
      <c r="H791" s="3">
        <v>73.599999999999994</v>
      </c>
      <c r="I791" s="3">
        <v>15.6</v>
      </c>
      <c r="J791" s="3">
        <v>10.6</v>
      </c>
      <c r="K791" s="3">
        <v>0.1</v>
      </c>
      <c r="L791" s="3">
        <v>3.2</v>
      </c>
      <c r="M791" t="str">
        <f>IF(acs2015_county_data[[#This Row],[PublicWork]]&gt;='Описательные характеристики'!$F$5,"да","нет")</f>
        <v>нет</v>
      </c>
      <c r="N791" t="str">
        <f>IF(acs2015_county_data[[#This Row],[Unemployment]]&gt;='Описательные характеристики'!$I$5,"да","нет")</f>
        <v>нет</v>
      </c>
    </row>
    <row r="792" spans="1:14" x14ac:dyDescent="0.35">
      <c r="A792">
        <v>19003</v>
      </c>
      <c r="B792" t="s">
        <v>598</v>
      </c>
      <c r="C792" t="s">
        <v>237</v>
      </c>
      <c r="D792" s="2">
        <v>3892</v>
      </c>
      <c r="E792" s="2">
        <v>26428</v>
      </c>
      <c r="F792" s="3">
        <v>7.5</v>
      </c>
      <c r="G792" s="3">
        <v>1994</v>
      </c>
      <c r="H792" s="3">
        <v>72.900000000000006</v>
      </c>
      <c r="I792" s="3">
        <v>12.8</v>
      </c>
      <c r="J792" s="3">
        <v>13.9</v>
      </c>
      <c r="K792" s="3">
        <v>0.4</v>
      </c>
      <c r="L792" s="3">
        <v>3.2</v>
      </c>
      <c r="M792" t="str">
        <f>IF(acs2015_county_data[[#This Row],[PublicWork]]&gt;='Описательные характеристики'!$F$5,"да","нет")</f>
        <v>нет</v>
      </c>
      <c r="N792" t="str">
        <f>IF(acs2015_county_data[[#This Row],[Unemployment]]&gt;='Описательные характеристики'!$I$5,"да","нет")</f>
        <v>нет</v>
      </c>
    </row>
    <row r="793" spans="1:14" x14ac:dyDescent="0.35">
      <c r="A793">
        <v>19005</v>
      </c>
      <c r="B793" t="s">
        <v>598</v>
      </c>
      <c r="C793" t="s">
        <v>600</v>
      </c>
      <c r="D793" s="2">
        <v>14060</v>
      </c>
      <c r="E793" s="2">
        <v>26077</v>
      </c>
      <c r="F793" s="3">
        <v>5.0999999999999996</v>
      </c>
      <c r="G793" s="3">
        <v>6904</v>
      </c>
      <c r="H793" s="3">
        <v>77.900000000000006</v>
      </c>
      <c r="I793" s="3">
        <v>10.1</v>
      </c>
      <c r="J793" s="3">
        <v>10.8</v>
      </c>
      <c r="K793" s="3">
        <v>1.2</v>
      </c>
      <c r="L793" s="3">
        <v>6</v>
      </c>
      <c r="M793" t="str">
        <f>IF(acs2015_county_data[[#This Row],[PublicWork]]&gt;='Описательные характеристики'!$F$5,"да","нет")</f>
        <v>нет</v>
      </c>
      <c r="N793" t="str">
        <f>IF(acs2015_county_data[[#This Row],[Unemployment]]&gt;='Описательные характеристики'!$I$5,"да","нет")</f>
        <v>нет</v>
      </c>
    </row>
    <row r="794" spans="1:14" x14ac:dyDescent="0.35">
      <c r="A794">
        <v>19007</v>
      </c>
      <c r="B794" t="s">
        <v>598</v>
      </c>
      <c r="C794" t="s">
        <v>601</v>
      </c>
      <c r="D794" s="2">
        <v>12669</v>
      </c>
      <c r="E794" s="2">
        <v>23653</v>
      </c>
      <c r="F794" s="3">
        <v>5.3</v>
      </c>
      <c r="G794" s="3">
        <v>5799</v>
      </c>
      <c r="H794" s="3">
        <v>78.400000000000006</v>
      </c>
      <c r="I794" s="3">
        <v>11.9</v>
      </c>
      <c r="J794" s="3">
        <v>9.1</v>
      </c>
      <c r="K794" s="3">
        <v>0.6</v>
      </c>
      <c r="L794" s="3">
        <v>6.6</v>
      </c>
      <c r="M794" t="str">
        <f>IF(acs2015_county_data[[#This Row],[PublicWork]]&gt;='Описательные характеристики'!$F$5,"да","нет")</f>
        <v>нет</v>
      </c>
      <c r="N794" t="str">
        <f>IF(acs2015_county_data[[#This Row],[Unemployment]]&gt;='Описательные характеристики'!$I$5,"да","нет")</f>
        <v>нет</v>
      </c>
    </row>
    <row r="795" spans="1:14" x14ac:dyDescent="0.35">
      <c r="A795">
        <v>19009</v>
      </c>
      <c r="B795" t="s">
        <v>598</v>
      </c>
      <c r="C795" t="s">
        <v>602</v>
      </c>
      <c r="D795" s="2">
        <v>5869</v>
      </c>
      <c r="E795" s="2">
        <v>29882</v>
      </c>
      <c r="F795" s="3">
        <v>6</v>
      </c>
      <c r="G795" s="3">
        <v>3008</v>
      </c>
      <c r="H795" s="3">
        <v>72</v>
      </c>
      <c r="I795" s="3">
        <v>13.4</v>
      </c>
      <c r="J795" s="3">
        <v>14.3</v>
      </c>
      <c r="K795" s="3">
        <v>0.3</v>
      </c>
      <c r="L795" s="3">
        <v>2.6</v>
      </c>
      <c r="M795" t="str">
        <f>IF(acs2015_county_data[[#This Row],[PublicWork]]&gt;='Описательные характеристики'!$F$5,"да","нет")</f>
        <v>нет</v>
      </c>
      <c r="N795" t="str">
        <f>IF(acs2015_county_data[[#This Row],[Unemployment]]&gt;='Описательные характеристики'!$I$5,"да","нет")</f>
        <v>нет</v>
      </c>
    </row>
    <row r="796" spans="1:14" x14ac:dyDescent="0.35">
      <c r="A796">
        <v>19011</v>
      </c>
      <c r="B796" t="s">
        <v>598</v>
      </c>
      <c r="C796" t="s">
        <v>127</v>
      </c>
      <c r="D796" s="2">
        <v>25803</v>
      </c>
      <c r="E796" s="2">
        <v>29990</v>
      </c>
      <c r="F796" s="3">
        <v>5.0999999999999996</v>
      </c>
      <c r="G796" s="3">
        <v>13080</v>
      </c>
      <c r="H796" s="3">
        <v>79.5</v>
      </c>
      <c r="I796" s="3">
        <v>13</v>
      </c>
      <c r="J796" s="3">
        <v>7.4</v>
      </c>
      <c r="K796" s="3">
        <v>0.1</v>
      </c>
      <c r="L796" s="3">
        <v>4.7</v>
      </c>
      <c r="M796" t="str">
        <f>IF(acs2015_county_data[[#This Row],[PublicWork]]&gt;='Описательные характеристики'!$F$5,"да","нет")</f>
        <v>нет</v>
      </c>
      <c r="N796" t="str">
        <f>IF(acs2015_county_data[[#This Row],[Unemployment]]&gt;='Описательные характеристики'!$I$5,"да","нет")</f>
        <v>нет</v>
      </c>
    </row>
    <row r="797" spans="1:14" x14ac:dyDescent="0.35">
      <c r="A797">
        <v>19013</v>
      </c>
      <c r="B797" t="s">
        <v>598</v>
      </c>
      <c r="C797" t="s">
        <v>603</v>
      </c>
      <c r="D797" s="2">
        <v>132496</v>
      </c>
      <c r="E797" s="2">
        <v>25382</v>
      </c>
      <c r="F797" s="3">
        <v>2.6</v>
      </c>
      <c r="G797" s="3">
        <v>67141</v>
      </c>
      <c r="H797" s="3">
        <v>81</v>
      </c>
      <c r="I797" s="3">
        <v>14.3</v>
      </c>
      <c r="J797" s="3">
        <v>4.5999999999999996</v>
      </c>
      <c r="K797" s="3">
        <v>0.1</v>
      </c>
      <c r="L797" s="3">
        <v>6.6</v>
      </c>
      <c r="M797" t="str">
        <f>IF(acs2015_county_data[[#This Row],[PublicWork]]&gt;='Описательные характеристики'!$F$5,"да","нет")</f>
        <v>нет</v>
      </c>
      <c r="N797" t="str">
        <f>IF(acs2015_county_data[[#This Row],[Unemployment]]&gt;='Описательные характеристики'!$I$5,"да","нет")</f>
        <v>нет</v>
      </c>
    </row>
    <row r="798" spans="1:14" x14ac:dyDescent="0.35">
      <c r="A798">
        <v>19015</v>
      </c>
      <c r="B798" t="s">
        <v>598</v>
      </c>
      <c r="C798" t="s">
        <v>128</v>
      </c>
      <c r="D798" s="2">
        <v>26401</v>
      </c>
      <c r="E798" s="2">
        <v>26935</v>
      </c>
      <c r="F798" s="3">
        <v>4.7</v>
      </c>
      <c r="G798" s="3">
        <v>13403</v>
      </c>
      <c r="H798" s="3">
        <v>74.3</v>
      </c>
      <c r="I798" s="3">
        <v>19.7</v>
      </c>
      <c r="J798" s="3">
        <v>5.8</v>
      </c>
      <c r="K798" s="3">
        <v>0.2</v>
      </c>
      <c r="L798" s="3">
        <v>4.7</v>
      </c>
      <c r="M798" t="str">
        <f>IF(acs2015_county_data[[#This Row],[PublicWork]]&gt;='Описательные характеристики'!$F$5,"да","нет")</f>
        <v>да</v>
      </c>
      <c r="N798" t="str">
        <f>IF(acs2015_county_data[[#This Row],[Unemployment]]&gt;='Описательные характеристики'!$I$5,"да","нет")</f>
        <v>нет</v>
      </c>
    </row>
    <row r="799" spans="1:14" x14ac:dyDescent="0.35">
      <c r="A799">
        <v>19017</v>
      </c>
      <c r="B799" t="s">
        <v>598</v>
      </c>
      <c r="C799" t="s">
        <v>604</v>
      </c>
      <c r="D799" s="2">
        <v>24539</v>
      </c>
      <c r="E799" s="2">
        <v>30504</v>
      </c>
      <c r="F799" s="3">
        <v>4.2</v>
      </c>
      <c r="G799" s="3">
        <v>12843</v>
      </c>
      <c r="H799" s="3">
        <v>82.5</v>
      </c>
      <c r="I799" s="3">
        <v>10.6</v>
      </c>
      <c r="J799" s="3">
        <v>6.8</v>
      </c>
      <c r="K799" s="3">
        <v>0.1</v>
      </c>
      <c r="L799" s="3">
        <v>3.9</v>
      </c>
      <c r="M799" t="str">
        <f>IF(acs2015_county_data[[#This Row],[PublicWork]]&gt;='Описательные характеристики'!$F$5,"да","нет")</f>
        <v>нет</v>
      </c>
      <c r="N799" t="str">
        <f>IF(acs2015_county_data[[#This Row],[Unemployment]]&gt;='Описательные характеристики'!$I$5,"да","нет")</f>
        <v>нет</v>
      </c>
    </row>
    <row r="800" spans="1:14" x14ac:dyDescent="0.35">
      <c r="A800">
        <v>19019</v>
      </c>
      <c r="B800" t="s">
        <v>598</v>
      </c>
      <c r="C800" t="s">
        <v>605</v>
      </c>
      <c r="D800" s="2">
        <v>20998</v>
      </c>
      <c r="E800" s="2">
        <v>29045</v>
      </c>
      <c r="F800" s="3">
        <v>5</v>
      </c>
      <c r="G800" s="3">
        <v>10375</v>
      </c>
      <c r="H800" s="3">
        <v>76</v>
      </c>
      <c r="I800" s="3">
        <v>13.5</v>
      </c>
      <c r="J800" s="3">
        <v>9.8000000000000007</v>
      </c>
      <c r="K800" s="3">
        <v>0.7</v>
      </c>
      <c r="L800" s="3">
        <v>3.9</v>
      </c>
      <c r="M800" t="str">
        <f>IF(acs2015_county_data[[#This Row],[PublicWork]]&gt;='Описательные характеристики'!$F$5,"да","нет")</f>
        <v>нет</v>
      </c>
      <c r="N800" t="str">
        <f>IF(acs2015_county_data[[#This Row],[Unemployment]]&gt;='Описательные характеристики'!$I$5,"да","нет")</f>
        <v>нет</v>
      </c>
    </row>
    <row r="801" spans="1:14" x14ac:dyDescent="0.35">
      <c r="A801">
        <v>19021</v>
      </c>
      <c r="B801" t="s">
        <v>598</v>
      </c>
      <c r="C801" t="s">
        <v>606</v>
      </c>
      <c r="D801" s="2">
        <v>20507</v>
      </c>
      <c r="E801" s="2">
        <v>24511</v>
      </c>
      <c r="F801" s="3">
        <v>5.5</v>
      </c>
      <c r="G801" s="3">
        <v>10725</v>
      </c>
      <c r="H801" s="3">
        <v>81.599999999999994</v>
      </c>
      <c r="I801" s="3">
        <v>10</v>
      </c>
      <c r="J801" s="3">
        <v>8.3000000000000007</v>
      </c>
      <c r="K801" s="3">
        <v>0.1</v>
      </c>
      <c r="L801" s="3">
        <v>3.7</v>
      </c>
      <c r="M801" t="str">
        <f>IF(acs2015_county_data[[#This Row],[PublicWork]]&gt;='Описательные характеристики'!$F$5,"да","нет")</f>
        <v>нет</v>
      </c>
      <c r="N801" t="str">
        <f>IF(acs2015_county_data[[#This Row],[Unemployment]]&gt;='Описательные характеристики'!$I$5,"да","нет")</f>
        <v>нет</v>
      </c>
    </row>
    <row r="802" spans="1:14" x14ac:dyDescent="0.35">
      <c r="A802">
        <v>19023</v>
      </c>
      <c r="B802" t="s">
        <v>598</v>
      </c>
      <c r="C802" t="s">
        <v>21</v>
      </c>
      <c r="D802" s="2">
        <v>14966</v>
      </c>
      <c r="E802" s="2">
        <v>26498</v>
      </c>
      <c r="F802" s="3">
        <v>5.0999999999999996</v>
      </c>
      <c r="G802" s="3">
        <v>7419</v>
      </c>
      <c r="H802" s="3">
        <v>76.599999999999994</v>
      </c>
      <c r="I802" s="3">
        <v>11.8</v>
      </c>
      <c r="J802" s="3">
        <v>11</v>
      </c>
      <c r="K802" s="3">
        <v>0.6</v>
      </c>
      <c r="L802" s="3">
        <v>4</v>
      </c>
      <c r="M802" t="str">
        <f>IF(acs2015_county_data[[#This Row],[PublicWork]]&gt;='Описательные характеристики'!$F$5,"да","нет")</f>
        <v>нет</v>
      </c>
      <c r="N802" t="str">
        <f>IF(acs2015_county_data[[#This Row],[Unemployment]]&gt;='Описательные характеристики'!$I$5,"да","нет")</f>
        <v>нет</v>
      </c>
    </row>
    <row r="803" spans="1:14" x14ac:dyDescent="0.35">
      <c r="A803">
        <v>19025</v>
      </c>
      <c r="B803" t="s">
        <v>598</v>
      </c>
      <c r="C803" t="s">
        <v>22</v>
      </c>
      <c r="D803" s="2">
        <v>9914</v>
      </c>
      <c r="E803" s="2">
        <v>26524</v>
      </c>
      <c r="F803" s="3">
        <v>5.4</v>
      </c>
      <c r="G803" s="3">
        <v>4614</v>
      </c>
      <c r="H803" s="3">
        <v>72.400000000000006</v>
      </c>
      <c r="I803" s="3">
        <v>15.1</v>
      </c>
      <c r="J803" s="3">
        <v>12.2</v>
      </c>
      <c r="K803" s="3">
        <v>0.3</v>
      </c>
      <c r="L803" s="3">
        <v>4</v>
      </c>
      <c r="M803" t="str">
        <f>IF(acs2015_county_data[[#This Row],[PublicWork]]&gt;='Описательные характеристики'!$F$5,"да","нет")</f>
        <v>нет</v>
      </c>
      <c r="N803" t="str">
        <f>IF(acs2015_county_data[[#This Row],[Unemployment]]&gt;='Описательные характеристики'!$I$5,"да","нет")</f>
        <v>нет</v>
      </c>
    </row>
    <row r="804" spans="1:14" x14ac:dyDescent="0.35">
      <c r="A804">
        <v>19027</v>
      </c>
      <c r="B804" t="s">
        <v>598</v>
      </c>
      <c r="C804" t="s">
        <v>129</v>
      </c>
      <c r="D804" s="2">
        <v>20629</v>
      </c>
      <c r="E804" s="2">
        <v>27100</v>
      </c>
      <c r="F804" s="3">
        <v>6.8</v>
      </c>
      <c r="G804" s="3">
        <v>10722</v>
      </c>
      <c r="H804" s="3">
        <v>81.5</v>
      </c>
      <c r="I804" s="3">
        <v>8.4</v>
      </c>
      <c r="J804" s="3">
        <v>10</v>
      </c>
      <c r="K804" s="3">
        <v>0.2</v>
      </c>
      <c r="L804" s="3">
        <v>3.3</v>
      </c>
      <c r="M804" t="str">
        <f>IF(acs2015_county_data[[#This Row],[PublicWork]]&gt;='Описательные характеристики'!$F$5,"да","нет")</f>
        <v>нет</v>
      </c>
      <c r="N804" t="str">
        <f>IF(acs2015_county_data[[#This Row],[Unemployment]]&gt;='Описательные характеристики'!$I$5,"да","нет")</f>
        <v>нет</v>
      </c>
    </row>
    <row r="805" spans="1:14" x14ac:dyDescent="0.35">
      <c r="A805">
        <v>19029</v>
      </c>
      <c r="B805" t="s">
        <v>598</v>
      </c>
      <c r="C805" t="s">
        <v>508</v>
      </c>
      <c r="D805" s="2">
        <v>13590</v>
      </c>
      <c r="E805" s="2">
        <v>25868</v>
      </c>
      <c r="F805" s="3">
        <v>5.9</v>
      </c>
      <c r="G805" s="3">
        <v>6712</v>
      </c>
      <c r="H805" s="3">
        <v>77.8</v>
      </c>
      <c r="I805" s="3">
        <v>11.3</v>
      </c>
      <c r="J805" s="3">
        <v>10.6</v>
      </c>
      <c r="K805" s="3">
        <v>0.4</v>
      </c>
      <c r="L805" s="3">
        <v>3.2</v>
      </c>
      <c r="M805" t="str">
        <f>IF(acs2015_county_data[[#This Row],[PublicWork]]&gt;='Описательные характеристики'!$F$5,"да","нет")</f>
        <v>нет</v>
      </c>
      <c r="N805" t="str">
        <f>IF(acs2015_county_data[[#This Row],[Unemployment]]&gt;='Описательные характеристики'!$I$5,"да","нет")</f>
        <v>нет</v>
      </c>
    </row>
    <row r="806" spans="1:14" x14ac:dyDescent="0.35">
      <c r="A806">
        <v>19031</v>
      </c>
      <c r="B806" t="s">
        <v>598</v>
      </c>
      <c r="C806" t="s">
        <v>607</v>
      </c>
      <c r="D806" s="2">
        <v>18375</v>
      </c>
      <c r="E806" s="2">
        <v>27879</v>
      </c>
      <c r="F806" s="3">
        <v>6.5</v>
      </c>
      <c r="G806" s="3">
        <v>9763</v>
      </c>
      <c r="H806" s="3">
        <v>73.599999999999994</v>
      </c>
      <c r="I806" s="3">
        <v>16.3</v>
      </c>
      <c r="J806" s="3">
        <v>9.5</v>
      </c>
      <c r="K806" s="3">
        <v>0.6</v>
      </c>
      <c r="L806" s="3">
        <v>3</v>
      </c>
      <c r="M806" t="str">
        <f>IF(acs2015_county_data[[#This Row],[PublicWork]]&gt;='Описательные характеристики'!$F$5,"да","нет")</f>
        <v>да</v>
      </c>
      <c r="N806" t="str">
        <f>IF(acs2015_county_data[[#This Row],[Unemployment]]&gt;='Описательные характеристики'!$I$5,"да","нет")</f>
        <v>нет</v>
      </c>
    </row>
    <row r="807" spans="1:14" x14ac:dyDescent="0.35">
      <c r="A807">
        <v>19033</v>
      </c>
      <c r="B807" t="s">
        <v>598</v>
      </c>
      <c r="C807" t="s">
        <v>608</v>
      </c>
      <c r="D807" s="2">
        <v>43481</v>
      </c>
      <c r="E807" s="2">
        <v>28270</v>
      </c>
      <c r="F807" s="3">
        <v>3.5</v>
      </c>
      <c r="G807" s="3">
        <v>22601</v>
      </c>
      <c r="H807" s="3">
        <v>82.5</v>
      </c>
      <c r="I807" s="3">
        <v>10.9</v>
      </c>
      <c r="J807" s="3">
        <v>6.3</v>
      </c>
      <c r="K807" s="3">
        <v>0.2</v>
      </c>
      <c r="L807" s="3">
        <v>4.4000000000000004</v>
      </c>
      <c r="M807" t="str">
        <f>IF(acs2015_county_data[[#This Row],[PublicWork]]&gt;='Описательные характеристики'!$F$5,"да","нет")</f>
        <v>нет</v>
      </c>
      <c r="N807" t="str">
        <f>IF(acs2015_county_data[[#This Row],[Unemployment]]&gt;='Описательные характеристики'!$I$5,"да","нет")</f>
        <v>нет</v>
      </c>
    </row>
    <row r="808" spans="1:14" x14ac:dyDescent="0.35">
      <c r="A808">
        <v>19035</v>
      </c>
      <c r="B808" t="s">
        <v>598</v>
      </c>
      <c r="C808" t="s">
        <v>24</v>
      </c>
      <c r="D808" s="2">
        <v>11853</v>
      </c>
      <c r="E808" s="2">
        <v>27934</v>
      </c>
      <c r="F808" s="3">
        <v>5.5</v>
      </c>
      <c r="G808" s="3">
        <v>6018</v>
      </c>
      <c r="H808" s="3">
        <v>75.2</v>
      </c>
      <c r="I808" s="3">
        <v>14.2</v>
      </c>
      <c r="J808" s="3">
        <v>10.3</v>
      </c>
      <c r="K808" s="3">
        <v>0.3</v>
      </c>
      <c r="L808" s="3">
        <v>3.7</v>
      </c>
      <c r="M808" t="str">
        <f>IF(acs2015_county_data[[#This Row],[PublicWork]]&gt;='Описательные характеристики'!$F$5,"да","нет")</f>
        <v>нет</v>
      </c>
      <c r="N808" t="str">
        <f>IF(acs2015_county_data[[#This Row],[Unemployment]]&gt;='Описательные характеристики'!$I$5,"да","нет")</f>
        <v>нет</v>
      </c>
    </row>
    <row r="809" spans="1:14" x14ac:dyDescent="0.35">
      <c r="A809">
        <v>19037</v>
      </c>
      <c r="B809" t="s">
        <v>598</v>
      </c>
      <c r="C809" t="s">
        <v>609</v>
      </c>
      <c r="D809" s="2">
        <v>12244</v>
      </c>
      <c r="E809" s="2">
        <v>26981</v>
      </c>
      <c r="F809" s="3">
        <v>6.9</v>
      </c>
      <c r="G809" s="3">
        <v>6148</v>
      </c>
      <c r="H809" s="3">
        <v>76.5</v>
      </c>
      <c r="I809" s="3">
        <v>12.5</v>
      </c>
      <c r="J809" s="3">
        <v>10.1</v>
      </c>
      <c r="K809" s="3">
        <v>0.8</v>
      </c>
      <c r="L809" s="3">
        <v>3.8</v>
      </c>
      <c r="M809" t="str">
        <f>IF(acs2015_county_data[[#This Row],[PublicWork]]&gt;='Описательные характеристики'!$F$5,"да","нет")</f>
        <v>нет</v>
      </c>
      <c r="N809" t="str">
        <f>IF(acs2015_county_data[[#This Row],[Unemployment]]&gt;='Описательные характеристики'!$I$5,"да","нет")</f>
        <v>нет</v>
      </c>
    </row>
    <row r="810" spans="1:14" x14ac:dyDescent="0.35">
      <c r="A810">
        <v>19039</v>
      </c>
      <c r="B810" t="s">
        <v>598</v>
      </c>
      <c r="C810" t="s">
        <v>27</v>
      </c>
      <c r="D810" s="2">
        <v>9280</v>
      </c>
      <c r="E810" s="2">
        <v>22586</v>
      </c>
      <c r="F810" s="3">
        <v>4.2</v>
      </c>
      <c r="G810" s="3">
        <v>4504</v>
      </c>
      <c r="H810" s="3">
        <v>82.3</v>
      </c>
      <c r="I810" s="3">
        <v>11.1</v>
      </c>
      <c r="J810" s="3">
        <v>6.2</v>
      </c>
      <c r="K810" s="3">
        <v>0.5</v>
      </c>
      <c r="L810" s="3">
        <v>5</v>
      </c>
      <c r="M810" t="str">
        <f>IF(acs2015_county_data[[#This Row],[PublicWork]]&gt;='Описательные характеристики'!$F$5,"да","нет")</f>
        <v>нет</v>
      </c>
      <c r="N810" t="str">
        <f>IF(acs2015_county_data[[#This Row],[Unemployment]]&gt;='Описательные характеристики'!$I$5,"да","нет")</f>
        <v>нет</v>
      </c>
    </row>
    <row r="811" spans="1:14" x14ac:dyDescent="0.35">
      <c r="A811">
        <v>19041</v>
      </c>
      <c r="B811" t="s">
        <v>598</v>
      </c>
      <c r="C811" t="s">
        <v>28</v>
      </c>
      <c r="D811" s="2">
        <v>16537</v>
      </c>
      <c r="E811" s="2">
        <v>27138</v>
      </c>
      <c r="F811" s="3">
        <v>6.2</v>
      </c>
      <c r="G811" s="3">
        <v>8504</v>
      </c>
      <c r="H811" s="3">
        <v>81.099999999999994</v>
      </c>
      <c r="I811" s="3">
        <v>9.9</v>
      </c>
      <c r="J811" s="3">
        <v>8.6</v>
      </c>
      <c r="K811" s="3">
        <v>0.3</v>
      </c>
      <c r="L811" s="3">
        <v>3.8</v>
      </c>
      <c r="M811" t="str">
        <f>IF(acs2015_county_data[[#This Row],[PublicWork]]&gt;='Описательные характеристики'!$F$5,"да","нет")</f>
        <v>нет</v>
      </c>
      <c r="N811" t="str">
        <f>IF(acs2015_county_data[[#This Row],[Unemployment]]&gt;='Описательные характеристики'!$I$5,"да","нет")</f>
        <v>нет</v>
      </c>
    </row>
    <row r="812" spans="1:14" x14ac:dyDescent="0.35">
      <c r="A812">
        <v>19043</v>
      </c>
      <c r="B812" t="s">
        <v>598</v>
      </c>
      <c r="C812" t="s">
        <v>377</v>
      </c>
      <c r="D812" s="2">
        <v>17806</v>
      </c>
      <c r="E812" s="2">
        <v>26124</v>
      </c>
      <c r="F812" s="3">
        <v>6.9</v>
      </c>
      <c r="G812" s="3">
        <v>8996</v>
      </c>
      <c r="H812" s="3">
        <v>75.3</v>
      </c>
      <c r="I812" s="3">
        <v>11.1</v>
      </c>
      <c r="J812" s="3">
        <v>13.2</v>
      </c>
      <c r="K812" s="3">
        <v>0.4</v>
      </c>
      <c r="L812" s="3">
        <v>4.2</v>
      </c>
      <c r="M812" t="str">
        <f>IF(acs2015_county_data[[#This Row],[PublicWork]]&gt;='Описательные характеристики'!$F$5,"да","нет")</f>
        <v>нет</v>
      </c>
      <c r="N812" t="str">
        <f>IF(acs2015_county_data[[#This Row],[Unemployment]]&gt;='Описательные характеристики'!$I$5,"да","нет")</f>
        <v>нет</v>
      </c>
    </row>
    <row r="813" spans="1:14" x14ac:dyDescent="0.35">
      <c r="A813">
        <v>19045</v>
      </c>
      <c r="B813" t="s">
        <v>598</v>
      </c>
      <c r="C813" t="s">
        <v>511</v>
      </c>
      <c r="D813" s="2">
        <v>48365</v>
      </c>
      <c r="E813" s="2">
        <v>27255</v>
      </c>
      <c r="F813" s="3">
        <v>3.4</v>
      </c>
      <c r="G813" s="3">
        <v>23564</v>
      </c>
      <c r="H813" s="3">
        <v>85.2</v>
      </c>
      <c r="I813" s="3">
        <v>9.5</v>
      </c>
      <c r="J813" s="3">
        <v>5</v>
      </c>
      <c r="K813" s="3">
        <v>0.3</v>
      </c>
      <c r="L813" s="3">
        <v>4.8</v>
      </c>
      <c r="M813" t="str">
        <f>IF(acs2015_county_data[[#This Row],[PublicWork]]&gt;='Описательные характеристики'!$F$5,"да","нет")</f>
        <v>нет</v>
      </c>
      <c r="N813" t="str">
        <f>IF(acs2015_county_data[[#This Row],[Unemployment]]&gt;='Описательные характеристики'!$I$5,"да","нет")</f>
        <v>нет</v>
      </c>
    </row>
    <row r="814" spans="1:14" x14ac:dyDescent="0.35">
      <c r="A814">
        <v>19047</v>
      </c>
      <c r="B814" t="s">
        <v>598</v>
      </c>
      <c r="C814" t="s">
        <v>136</v>
      </c>
      <c r="D814" s="2">
        <v>17252</v>
      </c>
      <c r="E814" s="2">
        <v>23344</v>
      </c>
      <c r="F814" s="3">
        <v>5.0999999999999996</v>
      </c>
      <c r="G814" s="3">
        <v>8192</v>
      </c>
      <c r="H814" s="3">
        <v>77.8</v>
      </c>
      <c r="I814" s="3">
        <v>12.8</v>
      </c>
      <c r="J814" s="3">
        <v>8.4</v>
      </c>
      <c r="K814" s="3">
        <v>1</v>
      </c>
      <c r="L814" s="3">
        <v>4.8</v>
      </c>
      <c r="M814" t="str">
        <f>IF(acs2015_county_data[[#This Row],[PublicWork]]&gt;='Описательные характеристики'!$F$5,"да","нет")</f>
        <v>нет</v>
      </c>
      <c r="N814" t="str">
        <f>IF(acs2015_county_data[[#This Row],[Unemployment]]&gt;='Описательные характеристики'!$I$5,"да","нет")</f>
        <v>нет</v>
      </c>
    </row>
    <row r="815" spans="1:14" x14ac:dyDescent="0.35">
      <c r="A815">
        <v>19049</v>
      </c>
      <c r="B815" t="s">
        <v>598</v>
      </c>
      <c r="C815" t="s">
        <v>37</v>
      </c>
      <c r="D815" s="2">
        <v>74892</v>
      </c>
      <c r="E815" s="2">
        <v>37669</v>
      </c>
      <c r="F815" s="3">
        <v>4.3</v>
      </c>
      <c r="G815" s="3">
        <v>40388</v>
      </c>
      <c r="H815" s="3">
        <v>83.7</v>
      </c>
      <c r="I815" s="3">
        <v>11.3</v>
      </c>
      <c r="J815" s="3">
        <v>4.8</v>
      </c>
      <c r="K815" s="3">
        <v>0.2</v>
      </c>
      <c r="L815" s="3">
        <v>2.6</v>
      </c>
      <c r="M815" t="str">
        <f>IF(acs2015_county_data[[#This Row],[PublicWork]]&gt;='Описательные характеристики'!$F$5,"да","нет")</f>
        <v>нет</v>
      </c>
      <c r="N815" t="str">
        <f>IF(acs2015_county_data[[#This Row],[Unemployment]]&gt;='Описательные характеристики'!$I$5,"да","нет")</f>
        <v>нет</v>
      </c>
    </row>
    <row r="816" spans="1:14" x14ac:dyDescent="0.35">
      <c r="A816">
        <v>19051</v>
      </c>
      <c r="B816" t="s">
        <v>598</v>
      </c>
      <c r="C816" t="s">
        <v>610</v>
      </c>
      <c r="D816" s="2">
        <v>8742</v>
      </c>
      <c r="E816" s="2">
        <v>23867</v>
      </c>
      <c r="F816" s="3">
        <v>6.6</v>
      </c>
      <c r="G816" s="3">
        <v>3821</v>
      </c>
      <c r="H816" s="3">
        <v>74.400000000000006</v>
      </c>
      <c r="I816" s="3">
        <v>11.3</v>
      </c>
      <c r="J816" s="3">
        <v>13.5</v>
      </c>
      <c r="K816" s="3">
        <v>0.8</v>
      </c>
      <c r="L816" s="3">
        <v>4.2</v>
      </c>
      <c r="M816" t="str">
        <f>IF(acs2015_county_data[[#This Row],[PublicWork]]&gt;='Описательные характеристики'!$F$5,"да","нет")</f>
        <v>нет</v>
      </c>
      <c r="N816" t="str">
        <f>IF(acs2015_county_data[[#This Row],[Unemployment]]&gt;='Описательные характеристики'!$I$5,"да","нет")</f>
        <v>нет</v>
      </c>
    </row>
    <row r="817" spans="1:14" x14ac:dyDescent="0.35">
      <c r="A817">
        <v>19053</v>
      </c>
      <c r="B817" t="s">
        <v>598</v>
      </c>
      <c r="C817" t="s">
        <v>386</v>
      </c>
      <c r="D817" s="2">
        <v>8249</v>
      </c>
      <c r="E817" s="2">
        <v>19493</v>
      </c>
      <c r="F817" s="3">
        <v>6.8</v>
      </c>
      <c r="G817" s="3">
        <v>3660</v>
      </c>
      <c r="H817" s="3">
        <v>74.900000000000006</v>
      </c>
      <c r="I817" s="3">
        <v>14.5</v>
      </c>
      <c r="J817" s="3">
        <v>9.6999999999999993</v>
      </c>
      <c r="K817" s="3">
        <v>0.9</v>
      </c>
      <c r="L817" s="3">
        <v>7.5</v>
      </c>
      <c r="M817" t="str">
        <f>IF(acs2015_county_data[[#This Row],[PublicWork]]&gt;='Описательные характеристики'!$F$5,"да","нет")</f>
        <v>нет</v>
      </c>
      <c r="N817" t="str">
        <f>IF(acs2015_county_data[[#This Row],[Unemployment]]&gt;='Описательные характеристики'!$I$5,"да","нет")</f>
        <v>нет</v>
      </c>
    </row>
    <row r="818" spans="1:14" x14ac:dyDescent="0.35">
      <c r="A818">
        <v>19055</v>
      </c>
      <c r="B818" t="s">
        <v>598</v>
      </c>
      <c r="C818" t="s">
        <v>300</v>
      </c>
      <c r="D818" s="2">
        <v>17507</v>
      </c>
      <c r="E818" s="2">
        <v>27563</v>
      </c>
      <c r="F818" s="3">
        <v>8.8000000000000007</v>
      </c>
      <c r="G818" s="3">
        <v>9442</v>
      </c>
      <c r="H818" s="3">
        <v>78.3</v>
      </c>
      <c r="I818" s="3">
        <v>9.4</v>
      </c>
      <c r="J818" s="3">
        <v>11.6</v>
      </c>
      <c r="K818" s="3">
        <v>0.7</v>
      </c>
      <c r="L818" s="3">
        <v>3.6</v>
      </c>
      <c r="M818" t="str">
        <f>IF(acs2015_county_data[[#This Row],[PublicWork]]&gt;='Описательные характеристики'!$F$5,"да","нет")</f>
        <v>нет</v>
      </c>
      <c r="N818" t="str">
        <f>IF(acs2015_county_data[[#This Row],[Unemployment]]&gt;='Описательные характеристики'!$I$5,"да","нет")</f>
        <v>нет</v>
      </c>
    </row>
    <row r="819" spans="1:14" x14ac:dyDescent="0.35">
      <c r="A819">
        <v>19057</v>
      </c>
      <c r="B819" t="s">
        <v>598</v>
      </c>
      <c r="C819" t="s">
        <v>611</v>
      </c>
      <c r="D819" s="2">
        <v>40208</v>
      </c>
      <c r="E819" s="2">
        <v>24614</v>
      </c>
      <c r="F819" s="3">
        <v>2.7</v>
      </c>
      <c r="G819" s="3">
        <v>18798</v>
      </c>
      <c r="H819" s="3">
        <v>81.7</v>
      </c>
      <c r="I819" s="3">
        <v>12.2</v>
      </c>
      <c r="J819" s="3">
        <v>6</v>
      </c>
      <c r="K819" s="3">
        <v>0.1</v>
      </c>
      <c r="L819" s="3">
        <v>6.3</v>
      </c>
      <c r="M819" t="str">
        <f>IF(acs2015_county_data[[#This Row],[PublicWork]]&gt;='Описательные характеристики'!$F$5,"да","нет")</f>
        <v>нет</v>
      </c>
      <c r="N819" t="str">
        <f>IF(acs2015_county_data[[#This Row],[Unemployment]]&gt;='Описательные характеристики'!$I$5,"да","нет")</f>
        <v>нет</v>
      </c>
    </row>
    <row r="820" spans="1:14" x14ac:dyDescent="0.35">
      <c r="A820">
        <v>19059</v>
      </c>
      <c r="B820" t="s">
        <v>598</v>
      </c>
      <c r="C820" t="s">
        <v>612</v>
      </c>
      <c r="D820" s="2">
        <v>16967</v>
      </c>
      <c r="E820" s="2">
        <v>34218</v>
      </c>
      <c r="F820" s="3">
        <v>6.6</v>
      </c>
      <c r="G820" s="3">
        <v>8899</v>
      </c>
      <c r="H820" s="3">
        <v>79.3</v>
      </c>
      <c r="I820" s="3">
        <v>9.6</v>
      </c>
      <c r="J820" s="3">
        <v>10.9</v>
      </c>
      <c r="K820" s="3">
        <v>0.2</v>
      </c>
      <c r="L820" s="3">
        <v>3.8</v>
      </c>
      <c r="M820" t="str">
        <f>IF(acs2015_county_data[[#This Row],[PublicWork]]&gt;='Описательные характеристики'!$F$5,"да","нет")</f>
        <v>нет</v>
      </c>
      <c r="N820" t="str">
        <f>IF(acs2015_county_data[[#This Row],[Unemployment]]&gt;='Описательные характеристики'!$I$5,"да","нет")</f>
        <v>нет</v>
      </c>
    </row>
    <row r="821" spans="1:14" x14ac:dyDescent="0.35">
      <c r="A821">
        <v>19061</v>
      </c>
      <c r="B821" t="s">
        <v>598</v>
      </c>
      <c r="C821" t="s">
        <v>613</v>
      </c>
      <c r="D821" s="2">
        <v>95906</v>
      </c>
      <c r="E821" s="2">
        <v>27096</v>
      </c>
      <c r="F821" s="3">
        <v>4.4000000000000004</v>
      </c>
      <c r="G821" s="3">
        <v>50102</v>
      </c>
      <c r="H821" s="3">
        <v>84.7</v>
      </c>
      <c r="I821" s="3">
        <v>10</v>
      </c>
      <c r="J821" s="3">
        <v>5.2</v>
      </c>
      <c r="K821" s="3">
        <v>0.2</v>
      </c>
      <c r="L821" s="3">
        <v>4.3</v>
      </c>
      <c r="M821" t="str">
        <f>IF(acs2015_county_data[[#This Row],[PublicWork]]&gt;='Описательные характеристики'!$F$5,"да","нет")</f>
        <v>нет</v>
      </c>
      <c r="N821" t="str">
        <f>IF(acs2015_county_data[[#This Row],[Unemployment]]&gt;='Описательные характеристики'!$I$5,"да","нет")</f>
        <v>нет</v>
      </c>
    </row>
    <row r="822" spans="1:14" x14ac:dyDescent="0.35">
      <c r="A822">
        <v>19063</v>
      </c>
      <c r="B822" t="s">
        <v>598</v>
      </c>
      <c r="C822" t="s">
        <v>614</v>
      </c>
      <c r="D822" s="2">
        <v>9917</v>
      </c>
      <c r="E822" s="2">
        <v>27707</v>
      </c>
      <c r="F822" s="3">
        <v>5.2</v>
      </c>
      <c r="G822" s="3">
        <v>4955</v>
      </c>
      <c r="H822" s="3">
        <v>80.2</v>
      </c>
      <c r="I822" s="3">
        <v>11.3</v>
      </c>
      <c r="J822" s="3">
        <v>8.3000000000000007</v>
      </c>
      <c r="K822" s="3">
        <v>0.2</v>
      </c>
      <c r="L822" s="3">
        <v>4.5999999999999996</v>
      </c>
      <c r="M822" t="str">
        <f>IF(acs2015_county_data[[#This Row],[PublicWork]]&gt;='Описательные характеристики'!$F$5,"да","нет")</f>
        <v>нет</v>
      </c>
      <c r="N822" t="str">
        <f>IF(acs2015_county_data[[#This Row],[Unemployment]]&gt;='Описательные характеристики'!$I$5,"да","нет")</f>
        <v>нет</v>
      </c>
    </row>
    <row r="823" spans="1:14" x14ac:dyDescent="0.35">
      <c r="A823">
        <v>19065</v>
      </c>
      <c r="B823" t="s">
        <v>598</v>
      </c>
      <c r="C823" t="s">
        <v>42</v>
      </c>
      <c r="D823" s="2">
        <v>20589</v>
      </c>
      <c r="E823" s="2">
        <v>24513</v>
      </c>
      <c r="F823" s="3">
        <v>8.4</v>
      </c>
      <c r="G823" s="3">
        <v>10050</v>
      </c>
      <c r="H823" s="3">
        <v>79</v>
      </c>
      <c r="I823" s="3">
        <v>10.6</v>
      </c>
      <c r="J823" s="3">
        <v>10.199999999999999</v>
      </c>
      <c r="K823" s="3">
        <v>0.2</v>
      </c>
      <c r="L823" s="3">
        <v>5.0999999999999996</v>
      </c>
      <c r="M823" t="str">
        <f>IF(acs2015_county_data[[#This Row],[PublicWork]]&gt;='Описательные характеристики'!$F$5,"да","нет")</f>
        <v>нет</v>
      </c>
      <c r="N823" t="str">
        <f>IF(acs2015_county_data[[#This Row],[Unemployment]]&gt;='Описательные характеристики'!$I$5,"да","нет")</f>
        <v>нет</v>
      </c>
    </row>
    <row r="824" spans="1:14" x14ac:dyDescent="0.35">
      <c r="A824">
        <v>19067</v>
      </c>
      <c r="B824" t="s">
        <v>598</v>
      </c>
      <c r="C824" t="s">
        <v>396</v>
      </c>
      <c r="D824" s="2">
        <v>16050</v>
      </c>
      <c r="E824" s="2">
        <v>25918</v>
      </c>
      <c r="F824" s="3">
        <v>5.5</v>
      </c>
      <c r="G824" s="3">
        <v>7998</v>
      </c>
      <c r="H824" s="3">
        <v>80.3</v>
      </c>
      <c r="I824" s="3">
        <v>10.9</v>
      </c>
      <c r="J824" s="3">
        <v>8.1</v>
      </c>
      <c r="K824" s="3">
        <v>0.7</v>
      </c>
      <c r="L824" s="3">
        <v>3.5</v>
      </c>
      <c r="M824" t="str">
        <f>IF(acs2015_county_data[[#This Row],[PublicWork]]&gt;='Описательные характеристики'!$F$5,"да","нет")</f>
        <v>нет</v>
      </c>
      <c r="N824" t="str">
        <f>IF(acs2015_county_data[[#This Row],[Unemployment]]&gt;='Описательные характеристики'!$I$5,"да","нет")</f>
        <v>нет</v>
      </c>
    </row>
    <row r="825" spans="1:14" x14ac:dyDescent="0.35">
      <c r="A825">
        <v>19069</v>
      </c>
      <c r="B825" t="s">
        <v>598</v>
      </c>
      <c r="C825" t="s">
        <v>43</v>
      </c>
      <c r="D825" s="2">
        <v>10489</v>
      </c>
      <c r="E825" s="2">
        <v>25417</v>
      </c>
      <c r="F825" s="3">
        <v>5.4</v>
      </c>
      <c r="G825" s="3">
        <v>5012</v>
      </c>
      <c r="H825" s="3">
        <v>73</v>
      </c>
      <c r="I825" s="3">
        <v>12.6</v>
      </c>
      <c r="J825" s="3">
        <v>13.9</v>
      </c>
      <c r="K825" s="3">
        <v>0.5</v>
      </c>
      <c r="L825" s="3">
        <v>4.2</v>
      </c>
      <c r="M825" t="str">
        <f>IF(acs2015_county_data[[#This Row],[PublicWork]]&gt;='Описательные характеристики'!$F$5,"да","нет")</f>
        <v>нет</v>
      </c>
      <c r="N825" t="str">
        <f>IF(acs2015_county_data[[#This Row],[Unemployment]]&gt;='Описательные характеристики'!$I$5,"да","нет")</f>
        <v>нет</v>
      </c>
    </row>
    <row r="826" spans="1:14" x14ac:dyDescent="0.35">
      <c r="A826">
        <v>19071</v>
      </c>
      <c r="B826" t="s">
        <v>598</v>
      </c>
      <c r="C826" t="s">
        <v>258</v>
      </c>
      <c r="D826" s="2">
        <v>7106</v>
      </c>
      <c r="E826" s="2">
        <v>29060</v>
      </c>
      <c r="F826" s="3">
        <v>4.8</v>
      </c>
      <c r="G826" s="3">
        <v>3463</v>
      </c>
      <c r="H826" s="3">
        <v>73.900000000000006</v>
      </c>
      <c r="I826" s="3">
        <v>17.7</v>
      </c>
      <c r="J826" s="3">
        <v>8.4</v>
      </c>
      <c r="K826" s="3">
        <v>0</v>
      </c>
      <c r="L826" s="3">
        <v>3.7</v>
      </c>
      <c r="M826" t="str">
        <f>IF(acs2015_county_data[[#This Row],[PublicWork]]&gt;='Описательные характеристики'!$F$5,"да","нет")</f>
        <v>да</v>
      </c>
      <c r="N826" t="str">
        <f>IF(acs2015_county_data[[#This Row],[Unemployment]]&gt;='Описательные характеристики'!$I$5,"да","нет")</f>
        <v>нет</v>
      </c>
    </row>
    <row r="827" spans="1:14" x14ac:dyDescent="0.35">
      <c r="A827">
        <v>19073</v>
      </c>
      <c r="B827" t="s">
        <v>598</v>
      </c>
      <c r="C827" t="s">
        <v>45</v>
      </c>
      <c r="D827" s="2">
        <v>9174</v>
      </c>
      <c r="E827" s="2">
        <v>26918</v>
      </c>
      <c r="F827" s="3">
        <v>7.8</v>
      </c>
      <c r="G827" s="3">
        <v>4452</v>
      </c>
      <c r="H827" s="3">
        <v>73.099999999999994</v>
      </c>
      <c r="I827" s="3">
        <v>15.4</v>
      </c>
      <c r="J827" s="3">
        <v>10.9</v>
      </c>
      <c r="K827" s="3">
        <v>0.5</v>
      </c>
      <c r="L827" s="3">
        <v>5.6</v>
      </c>
      <c r="M827" t="str">
        <f>IF(acs2015_county_data[[#This Row],[PublicWork]]&gt;='Описательные характеристики'!$F$5,"да","нет")</f>
        <v>нет</v>
      </c>
      <c r="N827" t="str">
        <f>IF(acs2015_county_data[[#This Row],[Unemployment]]&gt;='Описательные характеристики'!$I$5,"да","нет")</f>
        <v>нет</v>
      </c>
    </row>
    <row r="828" spans="1:14" x14ac:dyDescent="0.35">
      <c r="A828">
        <v>19075</v>
      </c>
      <c r="B828" t="s">
        <v>598</v>
      </c>
      <c r="C828" t="s">
        <v>520</v>
      </c>
      <c r="D828" s="2">
        <v>12407</v>
      </c>
      <c r="E828" s="2">
        <v>31076</v>
      </c>
      <c r="F828" s="3">
        <v>5.5</v>
      </c>
      <c r="G828" s="3">
        <v>6164</v>
      </c>
      <c r="H828" s="3">
        <v>76.8</v>
      </c>
      <c r="I828" s="3">
        <v>13.3</v>
      </c>
      <c r="J828" s="3">
        <v>10</v>
      </c>
      <c r="K828" s="3">
        <v>0</v>
      </c>
      <c r="L828" s="3">
        <v>3.9</v>
      </c>
      <c r="M828" t="str">
        <f>IF(acs2015_county_data[[#This Row],[PublicWork]]&gt;='Описательные характеристики'!$F$5,"да","нет")</f>
        <v>нет</v>
      </c>
      <c r="N828" t="str">
        <f>IF(acs2015_county_data[[#This Row],[Unemployment]]&gt;='Описательные характеристики'!$I$5,"да","нет")</f>
        <v>нет</v>
      </c>
    </row>
    <row r="829" spans="1:14" x14ac:dyDescent="0.35">
      <c r="A829">
        <v>19077</v>
      </c>
      <c r="B829" t="s">
        <v>598</v>
      </c>
      <c r="C829" t="s">
        <v>615</v>
      </c>
      <c r="D829" s="2">
        <v>10740</v>
      </c>
      <c r="E829" s="2">
        <v>28946</v>
      </c>
      <c r="F829" s="3">
        <v>6.5</v>
      </c>
      <c r="G829" s="3">
        <v>5312</v>
      </c>
      <c r="H829" s="3">
        <v>73.8</v>
      </c>
      <c r="I829" s="3">
        <v>14.6</v>
      </c>
      <c r="J829" s="3">
        <v>10.9</v>
      </c>
      <c r="K829" s="3">
        <v>0.7</v>
      </c>
      <c r="L829" s="3">
        <v>5.4</v>
      </c>
      <c r="M829" t="str">
        <f>IF(acs2015_county_data[[#This Row],[PublicWork]]&gt;='Описательные характеристики'!$F$5,"да","нет")</f>
        <v>нет</v>
      </c>
      <c r="N829" t="str">
        <f>IF(acs2015_county_data[[#This Row],[Unemployment]]&gt;='Описательные характеристики'!$I$5,"да","нет")</f>
        <v>нет</v>
      </c>
    </row>
    <row r="830" spans="1:14" x14ac:dyDescent="0.35">
      <c r="A830">
        <v>19079</v>
      </c>
      <c r="B830" t="s">
        <v>598</v>
      </c>
      <c r="C830" t="s">
        <v>323</v>
      </c>
      <c r="D830" s="2">
        <v>15297</v>
      </c>
      <c r="E830" s="2">
        <v>26001</v>
      </c>
      <c r="F830" s="3">
        <v>3.3</v>
      </c>
      <c r="G830" s="3">
        <v>7476</v>
      </c>
      <c r="H830" s="3">
        <v>75.099999999999994</v>
      </c>
      <c r="I830" s="3">
        <v>16</v>
      </c>
      <c r="J830" s="3">
        <v>8.6999999999999993</v>
      </c>
      <c r="K830" s="3">
        <v>0.2</v>
      </c>
      <c r="L830" s="3">
        <v>3.8</v>
      </c>
      <c r="M830" t="str">
        <f>IF(acs2015_county_data[[#This Row],[PublicWork]]&gt;='Описательные характеристики'!$F$5,"да","нет")</f>
        <v>нет</v>
      </c>
      <c r="N830" t="str">
        <f>IF(acs2015_county_data[[#This Row],[Unemployment]]&gt;='Описательные характеристики'!$I$5,"да","нет")</f>
        <v>нет</v>
      </c>
    </row>
    <row r="831" spans="1:14" x14ac:dyDescent="0.35">
      <c r="A831">
        <v>19081</v>
      </c>
      <c r="B831" t="s">
        <v>598</v>
      </c>
      <c r="C831" t="s">
        <v>406</v>
      </c>
      <c r="D831" s="2">
        <v>11092</v>
      </c>
      <c r="E831" s="2">
        <v>26846</v>
      </c>
      <c r="F831" s="3">
        <v>6.8</v>
      </c>
      <c r="G831" s="3">
        <v>5640</v>
      </c>
      <c r="H831" s="3">
        <v>77.2</v>
      </c>
      <c r="I831" s="3">
        <v>11.6</v>
      </c>
      <c r="J831" s="3">
        <v>10.5</v>
      </c>
      <c r="K831" s="3">
        <v>0.7</v>
      </c>
      <c r="L831" s="3">
        <v>1.5</v>
      </c>
      <c r="M831" t="str">
        <f>IF(acs2015_county_data[[#This Row],[PublicWork]]&gt;='Описательные характеристики'!$F$5,"да","нет")</f>
        <v>нет</v>
      </c>
      <c r="N831" t="str">
        <f>IF(acs2015_county_data[[#This Row],[Unemployment]]&gt;='Описательные характеристики'!$I$5,"да","нет")</f>
        <v>нет</v>
      </c>
    </row>
    <row r="832" spans="1:14" x14ac:dyDescent="0.35">
      <c r="A832">
        <v>19083</v>
      </c>
      <c r="B832" t="s">
        <v>598</v>
      </c>
      <c r="C832" t="s">
        <v>521</v>
      </c>
      <c r="D832" s="2">
        <v>17393</v>
      </c>
      <c r="E832" s="2">
        <v>26256</v>
      </c>
      <c r="F832" s="3">
        <v>4.4000000000000004</v>
      </c>
      <c r="G832" s="3">
        <v>8293</v>
      </c>
      <c r="H832" s="3">
        <v>77</v>
      </c>
      <c r="I832" s="3">
        <v>13.7</v>
      </c>
      <c r="J832" s="3">
        <v>8.9</v>
      </c>
      <c r="K832" s="3">
        <v>0.3</v>
      </c>
      <c r="L832" s="3">
        <v>4.9000000000000004</v>
      </c>
      <c r="M832" t="str">
        <f>IF(acs2015_county_data[[#This Row],[PublicWork]]&gt;='Описательные характеристики'!$F$5,"да","нет")</f>
        <v>нет</v>
      </c>
      <c r="N832" t="str">
        <f>IF(acs2015_county_data[[#This Row],[Unemployment]]&gt;='Описательные характеристики'!$I$5,"да","нет")</f>
        <v>нет</v>
      </c>
    </row>
    <row r="833" spans="1:14" x14ac:dyDescent="0.35">
      <c r="A833">
        <v>19085</v>
      </c>
      <c r="B833" t="s">
        <v>598</v>
      </c>
      <c r="C833" t="s">
        <v>568</v>
      </c>
      <c r="D833" s="2">
        <v>14467</v>
      </c>
      <c r="E833" s="2">
        <v>26910</v>
      </c>
      <c r="F833" s="3">
        <v>4.7</v>
      </c>
      <c r="G833" s="3">
        <v>7352</v>
      </c>
      <c r="H833" s="3">
        <v>79.8</v>
      </c>
      <c r="I833" s="3">
        <v>11.2</v>
      </c>
      <c r="J833" s="3">
        <v>8.9</v>
      </c>
      <c r="K833" s="3">
        <v>0.2</v>
      </c>
      <c r="L833" s="3">
        <v>3.6</v>
      </c>
      <c r="M833" t="str">
        <f>IF(acs2015_county_data[[#This Row],[PublicWork]]&gt;='Описательные характеристики'!$F$5,"да","нет")</f>
        <v>нет</v>
      </c>
      <c r="N833" t="str">
        <f>IF(acs2015_county_data[[#This Row],[Unemployment]]&gt;='Описательные характеристики'!$I$5,"да","нет")</f>
        <v>нет</v>
      </c>
    </row>
    <row r="834" spans="1:14" x14ac:dyDescent="0.35">
      <c r="A834">
        <v>19087</v>
      </c>
      <c r="B834" t="s">
        <v>598</v>
      </c>
      <c r="C834" t="s">
        <v>47</v>
      </c>
      <c r="D834" s="2">
        <v>20080</v>
      </c>
      <c r="E834" s="2">
        <v>23439</v>
      </c>
      <c r="F834" s="3">
        <v>4.2</v>
      </c>
      <c r="G834" s="3">
        <v>8992</v>
      </c>
      <c r="H834" s="3">
        <v>75.2</v>
      </c>
      <c r="I834" s="3">
        <v>18.100000000000001</v>
      </c>
      <c r="J834" s="3">
        <v>6.3</v>
      </c>
      <c r="K834" s="3">
        <v>0.4</v>
      </c>
      <c r="L834" s="3">
        <v>5.0999999999999996</v>
      </c>
      <c r="M834" t="str">
        <f>IF(acs2015_county_data[[#This Row],[PublicWork]]&gt;='Описательные характеристики'!$F$5,"да","нет")</f>
        <v>да</v>
      </c>
      <c r="N834" t="str">
        <f>IF(acs2015_county_data[[#This Row],[Unemployment]]&gt;='Описательные характеристики'!$I$5,"да","нет")</f>
        <v>нет</v>
      </c>
    </row>
    <row r="835" spans="1:14" x14ac:dyDescent="0.35">
      <c r="A835">
        <v>19089</v>
      </c>
      <c r="B835" t="s">
        <v>598</v>
      </c>
      <c r="C835" t="s">
        <v>147</v>
      </c>
      <c r="D835" s="2">
        <v>9494</v>
      </c>
      <c r="E835" s="2">
        <v>25804</v>
      </c>
      <c r="F835" s="3">
        <v>8.3000000000000007</v>
      </c>
      <c r="G835" s="3">
        <v>4666</v>
      </c>
      <c r="H835" s="3">
        <v>75.099999999999994</v>
      </c>
      <c r="I835" s="3">
        <v>12.9</v>
      </c>
      <c r="J835" s="3">
        <v>11</v>
      </c>
      <c r="K835" s="3">
        <v>1.1000000000000001</v>
      </c>
      <c r="L835" s="3">
        <v>3.4</v>
      </c>
      <c r="M835" t="str">
        <f>IF(acs2015_county_data[[#This Row],[PublicWork]]&gt;='Описательные характеристики'!$F$5,"да","нет")</f>
        <v>нет</v>
      </c>
      <c r="N835" t="str">
        <f>IF(acs2015_county_data[[#This Row],[Unemployment]]&gt;='Описательные характеристики'!$I$5,"да","нет")</f>
        <v>нет</v>
      </c>
    </row>
    <row r="836" spans="1:14" x14ac:dyDescent="0.35">
      <c r="A836">
        <v>19091</v>
      </c>
      <c r="B836" t="s">
        <v>598</v>
      </c>
      <c r="C836" t="s">
        <v>191</v>
      </c>
      <c r="D836" s="2">
        <v>9674</v>
      </c>
      <c r="E836" s="2">
        <v>27814</v>
      </c>
      <c r="F836" s="3">
        <v>4</v>
      </c>
      <c r="G836" s="3">
        <v>4652</v>
      </c>
      <c r="H836" s="3">
        <v>78.5</v>
      </c>
      <c r="I836" s="3">
        <v>12</v>
      </c>
      <c r="J836" s="3">
        <v>9.3000000000000007</v>
      </c>
      <c r="K836" s="3">
        <v>0.2</v>
      </c>
      <c r="L836" s="3">
        <v>4.8</v>
      </c>
      <c r="M836" t="str">
        <f>IF(acs2015_county_data[[#This Row],[PublicWork]]&gt;='Описательные характеристики'!$F$5,"да","нет")</f>
        <v>нет</v>
      </c>
      <c r="N836" t="str">
        <f>IF(acs2015_county_data[[#This Row],[Unemployment]]&gt;='Описательные характеристики'!$I$5,"да","нет")</f>
        <v>нет</v>
      </c>
    </row>
    <row r="837" spans="1:14" x14ac:dyDescent="0.35">
      <c r="A837">
        <v>19093</v>
      </c>
      <c r="B837" t="s">
        <v>598</v>
      </c>
      <c r="C837" t="s">
        <v>616</v>
      </c>
      <c r="D837" s="2">
        <v>7071</v>
      </c>
      <c r="E837" s="2">
        <v>28398</v>
      </c>
      <c r="F837" s="3">
        <v>7.2</v>
      </c>
      <c r="G837" s="3">
        <v>3579</v>
      </c>
      <c r="H837" s="3">
        <v>79.7</v>
      </c>
      <c r="I837" s="3">
        <v>10.9</v>
      </c>
      <c r="J837" s="3">
        <v>9.3000000000000007</v>
      </c>
      <c r="K837" s="3">
        <v>0.1</v>
      </c>
      <c r="L837" s="3">
        <v>3.7</v>
      </c>
      <c r="M837" t="str">
        <f>IF(acs2015_county_data[[#This Row],[PublicWork]]&gt;='Описательные характеристики'!$F$5,"да","нет")</f>
        <v>нет</v>
      </c>
      <c r="N837" t="str">
        <f>IF(acs2015_county_data[[#This Row],[Unemployment]]&gt;='Описательные характеристики'!$I$5,"да","нет")</f>
        <v>нет</v>
      </c>
    </row>
    <row r="838" spans="1:14" x14ac:dyDescent="0.35">
      <c r="A838">
        <v>19095</v>
      </c>
      <c r="B838" t="s">
        <v>598</v>
      </c>
      <c r="C838" t="s">
        <v>598</v>
      </c>
      <c r="D838" s="2">
        <v>16344</v>
      </c>
      <c r="E838" s="2">
        <v>29022</v>
      </c>
      <c r="F838" s="3">
        <v>6.1</v>
      </c>
      <c r="G838" s="3">
        <v>8818</v>
      </c>
      <c r="H838" s="3">
        <v>72.7</v>
      </c>
      <c r="I838" s="3">
        <v>17.399999999999999</v>
      </c>
      <c r="J838" s="3">
        <v>9.6999999999999993</v>
      </c>
      <c r="K838" s="3">
        <v>0.2</v>
      </c>
      <c r="L838" s="3">
        <v>1.8</v>
      </c>
      <c r="M838" t="str">
        <f>IF(acs2015_county_data[[#This Row],[PublicWork]]&gt;='Описательные характеристики'!$F$5,"да","нет")</f>
        <v>да</v>
      </c>
      <c r="N838" t="str">
        <f>IF(acs2015_county_data[[#This Row],[Unemployment]]&gt;='Описательные характеристики'!$I$5,"да","нет")</f>
        <v>нет</v>
      </c>
    </row>
    <row r="839" spans="1:14" x14ac:dyDescent="0.35">
      <c r="A839">
        <v>19097</v>
      </c>
      <c r="B839" t="s">
        <v>598</v>
      </c>
      <c r="C839" t="s">
        <v>49</v>
      </c>
      <c r="D839" s="2">
        <v>19572</v>
      </c>
      <c r="E839" s="2">
        <v>25546</v>
      </c>
      <c r="F839" s="3">
        <v>5.2</v>
      </c>
      <c r="G839" s="3">
        <v>9687</v>
      </c>
      <c r="H839" s="3">
        <v>79.3</v>
      </c>
      <c r="I839" s="3">
        <v>10.1</v>
      </c>
      <c r="J839" s="3">
        <v>10.4</v>
      </c>
      <c r="K839" s="3">
        <v>0.2</v>
      </c>
      <c r="L839" s="3">
        <v>4.4000000000000004</v>
      </c>
      <c r="M839" t="str">
        <f>IF(acs2015_county_data[[#This Row],[PublicWork]]&gt;='Описательные характеристики'!$F$5,"да","нет")</f>
        <v>нет</v>
      </c>
      <c r="N839" t="str">
        <f>IF(acs2015_county_data[[#This Row],[Unemployment]]&gt;='Описательные характеристики'!$I$5,"да","нет")</f>
        <v>нет</v>
      </c>
    </row>
    <row r="840" spans="1:14" x14ac:dyDescent="0.35">
      <c r="A840">
        <v>19099</v>
      </c>
      <c r="B840" t="s">
        <v>598</v>
      </c>
      <c r="C840" t="s">
        <v>412</v>
      </c>
      <c r="D840" s="2">
        <v>36726</v>
      </c>
      <c r="E840" s="2">
        <v>26138</v>
      </c>
      <c r="F840" s="3">
        <v>5.8</v>
      </c>
      <c r="G840" s="3">
        <v>17247</v>
      </c>
      <c r="H840" s="3">
        <v>80.2</v>
      </c>
      <c r="I840" s="3">
        <v>13</v>
      </c>
      <c r="J840" s="3">
        <v>6.7</v>
      </c>
      <c r="K840" s="3">
        <v>0.2</v>
      </c>
      <c r="L840" s="3">
        <v>5.4</v>
      </c>
      <c r="M840" t="str">
        <f>IF(acs2015_county_data[[#This Row],[PublicWork]]&gt;='Описательные характеристики'!$F$5,"да","нет")</f>
        <v>нет</v>
      </c>
      <c r="N840" t="str">
        <f>IF(acs2015_county_data[[#This Row],[Unemployment]]&gt;='Описательные характеристики'!$I$5,"да","нет")</f>
        <v>нет</v>
      </c>
    </row>
    <row r="841" spans="1:14" x14ac:dyDescent="0.35">
      <c r="A841">
        <v>19101</v>
      </c>
      <c r="B841" t="s">
        <v>598</v>
      </c>
      <c r="C841" t="s">
        <v>50</v>
      </c>
      <c r="D841" s="2">
        <v>17318</v>
      </c>
      <c r="E841" s="2">
        <v>25209</v>
      </c>
      <c r="F841" s="3">
        <v>12.8</v>
      </c>
      <c r="G841" s="3">
        <v>7751</v>
      </c>
      <c r="H841" s="3">
        <v>79.599999999999994</v>
      </c>
      <c r="I841" s="3">
        <v>9.3000000000000007</v>
      </c>
      <c r="J841" s="3">
        <v>10.5</v>
      </c>
      <c r="K841" s="3">
        <v>0.5</v>
      </c>
      <c r="L841" s="3">
        <v>6.4</v>
      </c>
      <c r="M841" t="str">
        <f>IF(acs2015_county_data[[#This Row],[PublicWork]]&gt;='Описательные характеристики'!$F$5,"да","нет")</f>
        <v>нет</v>
      </c>
      <c r="N841" t="str">
        <f>IF(acs2015_county_data[[#This Row],[Unemployment]]&gt;='Описательные характеристики'!$I$5,"да","нет")</f>
        <v>нет</v>
      </c>
    </row>
    <row r="842" spans="1:14" x14ac:dyDescent="0.35">
      <c r="A842">
        <v>19103</v>
      </c>
      <c r="B842" t="s">
        <v>598</v>
      </c>
      <c r="C842" t="s">
        <v>150</v>
      </c>
      <c r="D842" s="2">
        <v>139436</v>
      </c>
      <c r="E842" s="2">
        <v>31271</v>
      </c>
      <c r="F842" s="3">
        <v>4.0999999999999996</v>
      </c>
      <c r="G842" s="3">
        <v>78838</v>
      </c>
      <c r="H842" s="3">
        <v>67</v>
      </c>
      <c r="I842" s="3">
        <v>28</v>
      </c>
      <c r="J842" s="3">
        <v>4.8</v>
      </c>
      <c r="K842" s="3">
        <v>0.2</v>
      </c>
      <c r="L842" s="3">
        <v>3.5</v>
      </c>
      <c r="M842" t="str">
        <f>IF(acs2015_county_data[[#This Row],[PublicWork]]&gt;='Описательные характеристики'!$F$5,"да","нет")</f>
        <v>да</v>
      </c>
      <c r="N842" t="str">
        <f>IF(acs2015_county_data[[#This Row],[Unemployment]]&gt;='Описательные характеристики'!$I$5,"да","нет")</f>
        <v>нет</v>
      </c>
    </row>
    <row r="843" spans="1:14" x14ac:dyDescent="0.35">
      <c r="A843">
        <v>19105</v>
      </c>
      <c r="B843" t="s">
        <v>598</v>
      </c>
      <c r="C843" t="s">
        <v>415</v>
      </c>
      <c r="D843" s="2">
        <v>20560</v>
      </c>
      <c r="E843" s="2">
        <v>26937</v>
      </c>
      <c r="F843" s="3">
        <v>4.4000000000000004</v>
      </c>
      <c r="G843" s="3">
        <v>9815</v>
      </c>
      <c r="H843" s="3">
        <v>77.599999999999994</v>
      </c>
      <c r="I843" s="3">
        <v>12.7</v>
      </c>
      <c r="J843" s="3">
        <v>9.5</v>
      </c>
      <c r="K843" s="3">
        <v>0.2</v>
      </c>
      <c r="L843" s="3">
        <v>5</v>
      </c>
      <c r="M843" t="str">
        <f>IF(acs2015_county_data[[#This Row],[PublicWork]]&gt;='Описательные характеристики'!$F$5,"да","нет")</f>
        <v>нет</v>
      </c>
      <c r="N843" t="str">
        <f>IF(acs2015_county_data[[#This Row],[Unemployment]]&gt;='Описательные характеристики'!$I$5,"да","нет")</f>
        <v>нет</v>
      </c>
    </row>
    <row r="844" spans="1:14" x14ac:dyDescent="0.35">
      <c r="A844">
        <v>19107</v>
      </c>
      <c r="B844" t="s">
        <v>598</v>
      </c>
      <c r="C844" t="s">
        <v>617</v>
      </c>
      <c r="D844" s="2">
        <v>10291</v>
      </c>
      <c r="E844" s="2">
        <v>23076</v>
      </c>
      <c r="F844" s="3">
        <v>7.1</v>
      </c>
      <c r="G844" s="3">
        <v>4921</v>
      </c>
      <c r="H844" s="3">
        <v>70</v>
      </c>
      <c r="I844" s="3">
        <v>16.3</v>
      </c>
      <c r="J844" s="3">
        <v>13.2</v>
      </c>
      <c r="K844" s="3">
        <v>0.4</v>
      </c>
      <c r="L844" s="3">
        <v>5.0999999999999996</v>
      </c>
      <c r="M844" t="str">
        <f>IF(acs2015_county_data[[#This Row],[PublicWork]]&gt;='Описательные характеристики'!$F$5,"да","нет")</f>
        <v>да</v>
      </c>
      <c r="N844" t="str">
        <f>IF(acs2015_county_data[[#This Row],[Unemployment]]&gt;='Описательные характеристики'!$I$5,"да","нет")</f>
        <v>нет</v>
      </c>
    </row>
    <row r="845" spans="1:14" x14ac:dyDescent="0.35">
      <c r="A845">
        <v>19109</v>
      </c>
      <c r="B845" t="s">
        <v>598</v>
      </c>
      <c r="C845" t="s">
        <v>618</v>
      </c>
      <c r="D845" s="2">
        <v>15280</v>
      </c>
      <c r="E845" s="2">
        <v>28952</v>
      </c>
      <c r="F845" s="3">
        <v>4.9000000000000004</v>
      </c>
      <c r="G845" s="3">
        <v>7788</v>
      </c>
      <c r="H845" s="3">
        <v>74.599999999999994</v>
      </c>
      <c r="I845" s="3">
        <v>12.2</v>
      </c>
      <c r="J845" s="3">
        <v>13</v>
      </c>
      <c r="K845" s="3">
        <v>0.2</v>
      </c>
      <c r="L845" s="3">
        <v>2.1</v>
      </c>
      <c r="M845" t="str">
        <f>IF(acs2015_county_data[[#This Row],[PublicWork]]&gt;='Описательные характеристики'!$F$5,"да","нет")</f>
        <v>нет</v>
      </c>
      <c r="N845" t="str">
        <f>IF(acs2015_county_data[[#This Row],[Unemployment]]&gt;='Описательные характеристики'!$I$5,"да","нет")</f>
        <v>нет</v>
      </c>
    </row>
    <row r="846" spans="1:14" x14ac:dyDescent="0.35">
      <c r="A846">
        <v>19111</v>
      </c>
      <c r="B846" t="s">
        <v>598</v>
      </c>
      <c r="C846" t="s">
        <v>53</v>
      </c>
      <c r="D846" s="2">
        <v>35369</v>
      </c>
      <c r="E846" s="2">
        <v>22746</v>
      </c>
      <c r="F846" s="3">
        <v>2.5</v>
      </c>
      <c r="G846" s="3">
        <v>16414</v>
      </c>
      <c r="H846" s="3">
        <v>81.099999999999994</v>
      </c>
      <c r="I846" s="3">
        <v>12.7</v>
      </c>
      <c r="J846" s="3">
        <v>5.8</v>
      </c>
      <c r="K846" s="3">
        <v>0.4</v>
      </c>
      <c r="L846" s="3">
        <v>8.6999999999999993</v>
      </c>
      <c r="M846" t="str">
        <f>IF(acs2015_county_data[[#This Row],[PublicWork]]&gt;='Описательные характеристики'!$F$5,"да","нет")</f>
        <v>нет</v>
      </c>
      <c r="N846" t="str">
        <f>IF(acs2015_county_data[[#This Row],[Unemployment]]&gt;='Описательные характеристики'!$I$5,"да","нет")</f>
        <v>да</v>
      </c>
    </row>
    <row r="847" spans="1:14" x14ac:dyDescent="0.35">
      <c r="A847">
        <v>19113</v>
      </c>
      <c r="B847" t="s">
        <v>598</v>
      </c>
      <c r="C847" t="s">
        <v>619</v>
      </c>
      <c r="D847" s="2">
        <v>216640</v>
      </c>
      <c r="E847" s="2">
        <v>30829</v>
      </c>
      <c r="F847" s="3">
        <v>3.4</v>
      </c>
      <c r="G847" s="3">
        <v>114142</v>
      </c>
      <c r="H847" s="3">
        <v>85.5</v>
      </c>
      <c r="I847" s="3">
        <v>9.9</v>
      </c>
      <c r="J847" s="3">
        <v>4.5</v>
      </c>
      <c r="K847" s="3">
        <v>0.1</v>
      </c>
      <c r="L847" s="3">
        <v>4.8</v>
      </c>
      <c r="M847" t="str">
        <f>IF(acs2015_county_data[[#This Row],[PublicWork]]&gt;='Описательные характеристики'!$F$5,"да","нет")</f>
        <v>нет</v>
      </c>
      <c r="N847" t="str">
        <f>IF(acs2015_county_data[[#This Row],[Unemployment]]&gt;='Описательные характеристики'!$I$5,"да","нет")</f>
        <v>нет</v>
      </c>
    </row>
    <row r="848" spans="1:14" x14ac:dyDescent="0.35">
      <c r="A848">
        <v>19115</v>
      </c>
      <c r="B848" t="s">
        <v>598</v>
      </c>
      <c r="C848" t="s">
        <v>620</v>
      </c>
      <c r="D848" s="2">
        <v>11271</v>
      </c>
      <c r="E848" s="2">
        <v>26176</v>
      </c>
      <c r="F848" s="3">
        <v>5.3</v>
      </c>
      <c r="G848" s="3">
        <v>5614</v>
      </c>
      <c r="H848" s="3">
        <v>81.900000000000006</v>
      </c>
      <c r="I848" s="3">
        <v>11.2</v>
      </c>
      <c r="J848" s="3">
        <v>6.9</v>
      </c>
      <c r="K848" s="3">
        <v>0</v>
      </c>
      <c r="L848" s="3">
        <v>4.8</v>
      </c>
      <c r="M848" t="str">
        <f>IF(acs2015_county_data[[#This Row],[PublicWork]]&gt;='Описательные характеристики'!$F$5,"да","нет")</f>
        <v>нет</v>
      </c>
      <c r="N848" t="str">
        <f>IF(acs2015_county_data[[#This Row],[Unemployment]]&gt;='Описательные характеристики'!$I$5,"да","нет")</f>
        <v>нет</v>
      </c>
    </row>
    <row r="849" spans="1:14" x14ac:dyDescent="0.35">
      <c r="A849">
        <v>19117</v>
      </c>
      <c r="B849" t="s">
        <v>598</v>
      </c>
      <c r="C849" t="s">
        <v>621</v>
      </c>
      <c r="D849" s="2">
        <v>8731</v>
      </c>
      <c r="E849" s="2">
        <v>23512</v>
      </c>
      <c r="F849" s="3">
        <v>6.4</v>
      </c>
      <c r="G849" s="3">
        <v>4122</v>
      </c>
      <c r="H849" s="3">
        <v>74.2</v>
      </c>
      <c r="I849" s="3">
        <v>14.7</v>
      </c>
      <c r="J849" s="3">
        <v>11.1</v>
      </c>
      <c r="K849" s="3">
        <v>0</v>
      </c>
      <c r="L849" s="3">
        <v>5.8</v>
      </c>
      <c r="M849" t="str">
        <f>IF(acs2015_county_data[[#This Row],[PublicWork]]&gt;='Описательные характеристики'!$F$5,"да","нет")</f>
        <v>нет</v>
      </c>
      <c r="N849" t="str">
        <f>IF(acs2015_county_data[[#This Row],[Unemployment]]&gt;='Описательные характеристики'!$I$5,"да","нет")</f>
        <v>нет</v>
      </c>
    </row>
    <row r="850" spans="1:14" x14ac:dyDescent="0.35">
      <c r="A850">
        <v>19119</v>
      </c>
      <c r="B850" t="s">
        <v>598</v>
      </c>
      <c r="C850" t="s">
        <v>622</v>
      </c>
      <c r="D850" s="2">
        <v>11723</v>
      </c>
      <c r="E850" s="2">
        <v>26777</v>
      </c>
      <c r="F850" s="3">
        <v>6.6</v>
      </c>
      <c r="G850" s="3">
        <v>5968</v>
      </c>
      <c r="H850" s="3">
        <v>76.8</v>
      </c>
      <c r="I850" s="3">
        <v>12.1</v>
      </c>
      <c r="J850" s="3">
        <v>10.5</v>
      </c>
      <c r="K850" s="3">
        <v>0.6</v>
      </c>
      <c r="L850" s="3">
        <v>2.4</v>
      </c>
      <c r="M850" t="str">
        <f>IF(acs2015_county_data[[#This Row],[PublicWork]]&gt;='Описательные характеристики'!$F$5,"да","нет")</f>
        <v>нет</v>
      </c>
      <c r="N850" t="str">
        <f>IF(acs2015_county_data[[#This Row],[Unemployment]]&gt;='Описательные характеристики'!$I$5,"да","нет")</f>
        <v>нет</v>
      </c>
    </row>
    <row r="851" spans="1:14" x14ac:dyDescent="0.35">
      <c r="A851">
        <v>19121</v>
      </c>
      <c r="B851" t="s">
        <v>598</v>
      </c>
      <c r="C851" t="s">
        <v>57</v>
      </c>
      <c r="D851" s="2">
        <v>15644</v>
      </c>
      <c r="E851" s="2">
        <v>28922</v>
      </c>
      <c r="F851" s="3">
        <v>5.2</v>
      </c>
      <c r="G851" s="3">
        <v>7712</v>
      </c>
      <c r="H851" s="3">
        <v>80.099999999999994</v>
      </c>
      <c r="I851" s="3">
        <v>12.9</v>
      </c>
      <c r="J851" s="3">
        <v>6.9</v>
      </c>
      <c r="K851" s="3">
        <v>0.1</v>
      </c>
      <c r="L851" s="3">
        <v>5.7</v>
      </c>
      <c r="M851" t="str">
        <f>IF(acs2015_county_data[[#This Row],[PublicWork]]&gt;='Описательные характеристики'!$F$5,"да","нет")</f>
        <v>нет</v>
      </c>
      <c r="N851" t="str">
        <f>IF(acs2015_county_data[[#This Row],[Unemployment]]&gt;='Описательные характеристики'!$I$5,"да","нет")</f>
        <v>нет</v>
      </c>
    </row>
    <row r="852" spans="1:14" x14ac:dyDescent="0.35">
      <c r="A852">
        <v>19123</v>
      </c>
      <c r="B852" t="s">
        <v>598</v>
      </c>
      <c r="C852" t="s">
        <v>623</v>
      </c>
      <c r="D852" s="2">
        <v>22396</v>
      </c>
      <c r="E852" s="2">
        <v>25228</v>
      </c>
      <c r="F852" s="3">
        <v>4.7</v>
      </c>
      <c r="G852" s="3">
        <v>10859</v>
      </c>
      <c r="H852" s="3">
        <v>81.599999999999994</v>
      </c>
      <c r="I852" s="3">
        <v>10.5</v>
      </c>
      <c r="J852" s="3">
        <v>7.2</v>
      </c>
      <c r="K852" s="3">
        <v>0.6</v>
      </c>
      <c r="L852" s="3">
        <v>8</v>
      </c>
      <c r="M852" t="str">
        <f>IF(acs2015_county_data[[#This Row],[PublicWork]]&gt;='Описательные характеристики'!$F$5,"да","нет")</f>
        <v>нет</v>
      </c>
      <c r="N852" t="str">
        <f>IF(acs2015_county_data[[#This Row],[Unemployment]]&gt;='Описательные характеристики'!$I$5,"да","нет")</f>
        <v>да</v>
      </c>
    </row>
    <row r="853" spans="1:14" x14ac:dyDescent="0.35">
      <c r="A853">
        <v>19125</v>
      </c>
      <c r="B853" t="s">
        <v>598</v>
      </c>
      <c r="C853" t="s">
        <v>59</v>
      </c>
      <c r="D853" s="2">
        <v>33248</v>
      </c>
      <c r="E853" s="2">
        <v>26280</v>
      </c>
      <c r="F853" s="3">
        <v>5.8</v>
      </c>
      <c r="G853" s="3">
        <v>17020</v>
      </c>
      <c r="H853" s="3">
        <v>82.7</v>
      </c>
      <c r="I853" s="3">
        <v>11.3</v>
      </c>
      <c r="J853" s="3">
        <v>5.9</v>
      </c>
      <c r="K853" s="3">
        <v>0.1</v>
      </c>
      <c r="L853" s="3">
        <v>4</v>
      </c>
      <c r="M853" t="str">
        <f>IF(acs2015_county_data[[#This Row],[PublicWork]]&gt;='Описательные характеристики'!$F$5,"да","нет")</f>
        <v>нет</v>
      </c>
      <c r="N853" t="str">
        <f>IF(acs2015_county_data[[#This Row],[Unemployment]]&gt;='Описательные характеристики'!$I$5,"да","нет")</f>
        <v>нет</v>
      </c>
    </row>
    <row r="854" spans="1:14" x14ac:dyDescent="0.35">
      <c r="A854">
        <v>19127</v>
      </c>
      <c r="B854" t="s">
        <v>598</v>
      </c>
      <c r="C854" t="s">
        <v>60</v>
      </c>
      <c r="D854" s="2">
        <v>40962</v>
      </c>
      <c r="E854" s="2">
        <v>24648</v>
      </c>
      <c r="F854" s="3">
        <v>4.5</v>
      </c>
      <c r="G854" s="3">
        <v>19409</v>
      </c>
      <c r="H854" s="3">
        <v>80.5</v>
      </c>
      <c r="I854" s="3">
        <v>14.1</v>
      </c>
      <c r="J854" s="3">
        <v>5.0999999999999996</v>
      </c>
      <c r="K854" s="3">
        <v>0.3</v>
      </c>
      <c r="L854" s="3">
        <v>6.3</v>
      </c>
      <c r="M854" t="str">
        <f>IF(acs2015_county_data[[#This Row],[PublicWork]]&gt;='Описательные характеристики'!$F$5,"да","нет")</f>
        <v>нет</v>
      </c>
      <c r="N854" t="str">
        <f>IF(acs2015_county_data[[#This Row],[Unemployment]]&gt;='Описательные характеристики'!$I$5,"да","нет")</f>
        <v>нет</v>
      </c>
    </row>
    <row r="855" spans="1:14" x14ac:dyDescent="0.35">
      <c r="A855">
        <v>19129</v>
      </c>
      <c r="B855" t="s">
        <v>598</v>
      </c>
      <c r="C855" t="s">
        <v>624</v>
      </c>
      <c r="D855" s="2">
        <v>14862</v>
      </c>
      <c r="E855" s="2">
        <v>28280</v>
      </c>
      <c r="F855" s="3">
        <v>4.0999999999999996</v>
      </c>
      <c r="G855" s="3">
        <v>7089</v>
      </c>
      <c r="H855" s="3">
        <v>71.8</v>
      </c>
      <c r="I855" s="3">
        <v>21.1</v>
      </c>
      <c r="J855" s="3">
        <v>7.1</v>
      </c>
      <c r="K855" s="3">
        <v>0</v>
      </c>
      <c r="L855" s="3">
        <v>3.8</v>
      </c>
      <c r="M855" t="str">
        <f>IF(acs2015_county_data[[#This Row],[PublicWork]]&gt;='Описательные характеристики'!$F$5,"да","нет")</f>
        <v>да</v>
      </c>
      <c r="N855" t="str">
        <f>IF(acs2015_county_data[[#This Row],[Unemployment]]&gt;='Описательные характеристики'!$I$5,"да","нет")</f>
        <v>нет</v>
      </c>
    </row>
    <row r="856" spans="1:14" x14ac:dyDescent="0.35">
      <c r="A856">
        <v>19131</v>
      </c>
      <c r="B856" t="s">
        <v>598</v>
      </c>
      <c r="C856" t="s">
        <v>423</v>
      </c>
      <c r="D856" s="2">
        <v>10762</v>
      </c>
      <c r="E856" s="2">
        <v>25706</v>
      </c>
      <c r="F856" s="3">
        <v>8.9</v>
      </c>
      <c r="G856" s="3">
        <v>5319</v>
      </c>
      <c r="H856" s="3">
        <v>75</v>
      </c>
      <c r="I856" s="3">
        <v>12.5</v>
      </c>
      <c r="J856" s="3">
        <v>11.7</v>
      </c>
      <c r="K856" s="3">
        <v>0.8</v>
      </c>
      <c r="L856" s="3">
        <v>3.2</v>
      </c>
      <c r="M856" t="str">
        <f>IF(acs2015_county_data[[#This Row],[PublicWork]]&gt;='Описательные характеристики'!$F$5,"да","нет")</f>
        <v>нет</v>
      </c>
      <c r="N856" t="str">
        <f>IF(acs2015_county_data[[#This Row],[Unemployment]]&gt;='Описательные характеристики'!$I$5,"да","нет")</f>
        <v>нет</v>
      </c>
    </row>
    <row r="857" spans="1:14" x14ac:dyDescent="0.35">
      <c r="A857">
        <v>19133</v>
      </c>
      <c r="B857" t="s">
        <v>598</v>
      </c>
      <c r="C857" t="s">
        <v>625</v>
      </c>
      <c r="D857" s="2">
        <v>9088</v>
      </c>
      <c r="E857" s="2">
        <v>24730</v>
      </c>
      <c r="F857" s="3">
        <v>5.3</v>
      </c>
      <c r="G857" s="3">
        <v>4165</v>
      </c>
      <c r="H857" s="3">
        <v>73.3</v>
      </c>
      <c r="I857" s="3">
        <v>14.4</v>
      </c>
      <c r="J857" s="3">
        <v>11.9</v>
      </c>
      <c r="K857" s="3">
        <v>0.3</v>
      </c>
      <c r="L857" s="3">
        <v>5.5</v>
      </c>
      <c r="M857" t="str">
        <f>IF(acs2015_county_data[[#This Row],[PublicWork]]&gt;='Описательные характеристики'!$F$5,"да","нет")</f>
        <v>нет</v>
      </c>
      <c r="N857" t="str">
        <f>IF(acs2015_county_data[[#This Row],[Unemployment]]&gt;='Описательные характеристики'!$I$5,"да","нет")</f>
        <v>нет</v>
      </c>
    </row>
    <row r="858" spans="1:14" x14ac:dyDescent="0.35">
      <c r="A858">
        <v>19135</v>
      </c>
      <c r="B858" t="s">
        <v>598</v>
      </c>
      <c r="C858" t="s">
        <v>62</v>
      </c>
      <c r="D858" s="2">
        <v>8002</v>
      </c>
      <c r="E858" s="2">
        <v>25753</v>
      </c>
      <c r="F858" s="3">
        <v>3.9</v>
      </c>
      <c r="G858" s="3">
        <v>3580</v>
      </c>
      <c r="H858" s="3">
        <v>74.599999999999994</v>
      </c>
      <c r="I858" s="3">
        <v>17.2</v>
      </c>
      <c r="J858" s="3">
        <v>8.1999999999999993</v>
      </c>
      <c r="K858" s="3">
        <v>0</v>
      </c>
      <c r="L858" s="3">
        <v>6.2</v>
      </c>
      <c r="M858" t="str">
        <f>IF(acs2015_county_data[[#This Row],[PublicWork]]&gt;='Описательные характеристики'!$F$5,"да","нет")</f>
        <v>да</v>
      </c>
      <c r="N858" t="str">
        <f>IF(acs2015_county_data[[#This Row],[Unemployment]]&gt;='Описательные характеристики'!$I$5,"да","нет")</f>
        <v>нет</v>
      </c>
    </row>
    <row r="859" spans="1:14" x14ac:dyDescent="0.35">
      <c r="A859">
        <v>19137</v>
      </c>
      <c r="B859" t="s">
        <v>598</v>
      </c>
      <c r="C859" t="s">
        <v>158</v>
      </c>
      <c r="D859" s="2">
        <v>10465</v>
      </c>
      <c r="E859" s="2">
        <v>23445</v>
      </c>
      <c r="F859" s="3">
        <v>4.5999999999999996</v>
      </c>
      <c r="G859" s="3">
        <v>4660</v>
      </c>
      <c r="H859" s="3">
        <v>77.099999999999994</v>
      </c>
      <c r="I859" s="3">
        <v>11.8</v>
      </c>
      <c r="J859" s="3">
        <v>10.199999999999999</v>
      </c>
      <c r="K859" s="3">
        <v>1</v>
      </c>
      <c r="L859" s="3">
        <v>9.6</v>
      </c>
      <c r="M859" t="str">
        <f>IF(acs2015_county_data[[#This Row],[PublicWork]]&gt;='Описательные характеристики'!$F$5,"да","нет")</f>
        <v>нет</v>
      </c>
      <c r="N859" t="str">
        <f>IF(acs2015_county_data[[#This Row],[Unemployment]]&gt;='Описательные характеристики'!$I$5,"да","нет")</f>
        <v>да</v>
      </c>
    </row>
    <row r="860" spans="1:14" x14ac:dyDescent="0.35">
      <c r="A860">
        <v>19139</v>
      </c>
      <c r="B860" t="s">
        <v>598</v>
      </c>
      <c r="C860" t="s">
        <v>626</v>
      </c>
      <c r="D860" s="2">
        <v>42913</v>
      </c>
      <c r="E860" s="2">
        <v>25503</v>
      </c>
      <c r="F860" s="3">
        <v>3.6</v>
      </c>
      <c r="G860" s="3">
        <v>21210</v>
      </c>
      <c r="H860" s="3">
        <v>81.400000000000006</v>
      </c>
      <c r="I860" s="3">
        <v>13.1</v>
      </c>
      <c r="J860" s="3">
        <v>5.4</v>
      </c>
      <c r="K860" s="3">
        <v>0.2</v>
      </c>
      <c r="L860" s="3">
        <v>4.5999999999999996</v>
      </c>
      <c r="M860" t="str">
        <f>IF(acs2015_county_data[[#This Row],[PublicWork]]&gt;='Описательные характеристики'!$F$5,"да","нет")</f>
        <v>нет</v>
      </c>
      <c r="N860" t="str">
        <f>IF(acs2015_county_data[[#This Row],[Unemployment]]&gt;='Описательные характеристики'!$I$5,"да","нет")</f>
        <v>нет</v>
      </c>
    </row>
    <row r="861" spans="1:14" x14ac:dyDescent="0.35">
      <c r="A861">
        <v>19141</v>
      </c>
      <c r="B861" t="s">
        <v>598</v>
      </c>
      <c r="C861" t="s">
        <v>627</v>
      </c>
      <c r="D861" s="2">
        <v>14092</v>
      </c>
      <c r="E861" s="2">
        <v>30600</v>
      </c>
      <c r="F861" s="3">
        <v>5.9</v>
      </c>
      <c r="G861" s="3">
        <v>7237</v>
      </c>
      <c r="H861" s="3">
        <v>77.7</v>
      </c>
      <c r="I861" s="3">
        <v>12</v>
      </c>
      <c r="J861" s="3">
        <v>10.199999999999999</v>
      </c>
      <c r="K861" s="3">
        <v>0</v>
      </c>
      <c r="L861" s="3">
        <v>2.8</v>
      </c>
      <c r="M861" t="str">
        <f>IF(acs2015_county_data[[#This Row],[PublicWork]]&gt;='Описательные характеристики'!$F$5,"да","нет")</f>
        <v>нет</v>
      </c>
      <c r="N861" t="str">
        <f>IF(acs2015_county_data[[#This Row],[Unemployment]]&gt;='Описательные характеристики'!$I$5,"да","нет")</f>
        <v>нет</v>
      </c>
    </row>
    <row r="862" spans="1:14" x14ac:dyDescent="0.35">
      <c r="A862">
        <v>19143</v>
      </c>
      <c r="B862" t="s">
        <v>598</v>
      </c>
      <c r="C862" t="s">
        <v>339</v>
      </c>
      <c r="D862" s="2">
        <v>6211</v>
      </c>
      <c r="E862" s="2">
        <v>25306</v>
      </c>
      <c r="F862" s="3">
        <v>4.5</v>
      </c>
      <c r="G862" s="3">
        <v>3282</v>
      </c>
      <c r="H862" s="3">
        <v>76.8</v>
      </c>
      <c r="I862" s="3">
        <v>11.2</v>
      </c>
      <c r="J862" s="3">
        <v>11.7</v>
      </c>
      <c r="K862" s="3">
        <v>0.2</v>
      </c>
      <c r="L862" s="3">
        <v>3.3</v>
      </c>
      <c r="M862" t="str">
        <f>IF(acs2015_county_data[[#This Row],[PublicWork]]&gt;='Описательные характеристики'!$F$5,"да","нет")</f>
        <v>нет</v>
      </c>
      <c r="N862" t="str">
        <f>IF(acs2015_county_data[[#This Row],[Unemployment]]&gt;='Описательные характеристики'!$I$5,"да","нет")</f>
        <v>нет</v>
      </c>
    </row>
    <row r="863" spans="1:14" x14ac:dyDescent="0.35">
      <c r="A863">
        <v>19145</v>
      </c>
      <c r="B863" t="s">
        <v>598</v>
      </c>
      <c r="C863" t="s">
        <v>628</v>
      </c>
      <c r="D863" s="2">
        <v>15660</v>
      </c>
      <c r="E863" s="2">
        <v>23617</v>
      </c>
      <c r="F863" s="3">
        <v>3.3</v>
      </c>
      <c r="G863" s="3">
        <v>7075</v>
      </c>
      <c r="H863" s="3">
        <v>75.900000000000006</v>
      </c>
      <c r="I863" s="3">
        <v>15.4</v>
      </c>
      <c r="J863" s="3">
        <v>8.4</v>
      </c>
      <c r="K863" s="3">
        <v>0.3</v>
      </c>
      <c r="L863" s="3">
        <v>5.0999999999999996</v>
      </c>
      <c r="M863" t="str">
        <f>IF(acs2015_county_data[[#This Row],[PublicWork]]&gt;='Описательные характеристики'!$F$5,"да","нет")</f>
        <v>нет</v>
      </c>
      <c r="N863" t="str">
        <f>IF(acs2015_county_data[[#This Row],[Unemployment]]&gt;='Описательные характеристики'!$I$5,"да","нет")</f>
        <v>нет</v>
      </c>
    </row>
    <row r="864" spans="1:14" x14ac:dyDescent="0.35">
      <c r="A864">
        <v>19147</v>
      </c>
      <c r="B864" t="s">
        <v>598</v>
      </c>
      <c r="C864" t="s">
        <v>629</v>
      </c>
      <c r="D864" s="2">
        <v>9208</v>
      </c>
      <c r="E864" s="2">
        <v>26154</v>
      </c>
      <c r="F864" s="3">
        <v>3.3</v>
      </c>
      <c r="G864" s="3">
        <v>4637</v>
      </c>
      <c r="H864" s="3">
        <v>73.099999999999994</v>
      </c>
      <c r="I864" s="3">
        <v>17.7</v>
      </c>
      <c r="J864" s="3">
        <v>9</v>
      </c>
      <c r="K864" s="3">
        <v>0.2</v>
      </c>
      <c r="L864" s="3">
        <v>2.9</v>
      </c>
      <c r="M864" t="str">
        <f>IF(acs2015_county_data[[#This Row],[PublicWork]]&gt;='Описательные характеристики'!$F$5,"да","нет")</f>
        <v>да</v>
      </c>
      <c r="N864" t="str">
        <f>IF(acs2015_county_data[[#This Row],[Unemployment]]&gt;='Описательные характеристики'!$I$5,"да","нет")</f>
        <v>нет</v>
      </c>
    </row>
    <row r="865" spans="1:14" x14ac:dyDescent="0.35">
      <c r="A865">
        <v>19149</v>
      </c>
      <c r="B865" t="s">
        <v>598</v>
      </c>
      <c r="C865" t="s">
        <v>630</v>
      </c>
      <c r="D865" s="2">
        <v>24853</v>
      </c>
      <c r="E865" s="2">
        <v>27991</v>
      </c>
      <c r="F865" s="3">
        <v>5</v>
      </c>
      <c r="G865" s="3">
        <v>12978</v>
      </c>
      <c r="H865" s="3">
        <v>77.400000000000006</v>
      </c>
      <c r="I865" s="3">
        <v>12.5</v>
      </c>
      <c r="J865" s="3">
        <v>9.6999999999999993</v>
      </c>
      <c r="K865" s="3">
        <v>0.4</v>
      </c>
      <c r="L865" s="3">
        <v>3.4</v>
      </c>
      <c r="M865" t="str">
        <f>IF(acs2015_county_data[[#This Row],[PublicWork]]&gt;='Описательные характеристики'!$F$5,"да","нет")</f>
        <v>нет</v>
      </c>
      <c r="N865" t="str">
        <f>IF(acs2015_county_data[[#This Row],[Unemployment]]&gt;='Описательные характеристики'!$I$5,"да","нет")</f>
        <v>нет</v>
      </c>
    </row>
    <row r="866" spans="1:14" x14ac:dyDescent="0.35">
      <c r="A866">
        <v>19151</v>
      </c>
      <c r="B866" t="s">
        <v>598</v>
      </c>
      <c r="C866" t="s">
        <v>631</v>
      </c>
      <c r="D866" s="2">
        <v>7127</v>
      </c>
      <c r="E866" s="2">
        <v>26406</v>
      </c>
      <c r="F866" s="3">
        <v>9.1</v>
      </c>
      <c r="G866" s="3">
        <v>3483</v>
      </c>
      <c r="H866" s="3">
        <v>70.5</v>
      </c>
      <c r="I866" s="3">
        <v>13.9</v>
      </c>
      <c r="J866" s="3">
        <v>15.5</v>
      </c>
      <c r="K866" s="3">
        <v>0.1</v>
      </c>
      <c r="L866" s="3">
        <v>4.9000000000000004</v>
      </c>
      <c r="M866" t="str">
        <f>IF(acs2015_county_data[[#This Row],[PublicWork]]&gt;='Описательные характеристики'!$F$5,"да","нет")</f>
        <v>нет</v>
      </c>
      <c r="N866" t="str">
        <f>IF(acs2015_county_data[[#This Row],[Unemployment]]&gt;='Описательные характеристики'!$I$5,"да","нет")</f>
        <v>нет</v>
      </c>
    </row>
    <row r="867" spans="1:14" x14ac:dyDescent="0.35">
      <c r="A867">
        <v>19153</v>
      </c>
      <c r="B867" t="s">
        <v>598</v>
      </c>
      <c r="C867" t="s">
        <v>164</v>
      </c>
      <c r="D867" s="2">
        <v>452369</v>
      </c>
      <c r="E867" s="2">
        <v>31291</v>
      </c>
      <c r="F867" s="3">
        <v>3.7</v>
      </c>
      <c r="G867" s="3">
        <v>238720</v>
      </c>
      <c r="H867" s="3">
        <v>83.2</v>
      </c>
      <c r="I867" s="3">
        <v>12.3</v>
      </c>
      <c r="J867" s="3">
        <v>4.4000000000000004</v>
      </c>
      <c r="K867" s="3">
        <v>0.1</v>
      </c>
      <c r="L867" s="3">
        <v>5.8</v>
      </c>
      <c r="M867" t="str">
        <f>IF(acs2015_county_data[[#This Row],[PublicWork]]&gt;='Описательные характеристики'!$F$5,"да","нет")</f>
        <v>нет</v>
      </c>
      <c r="N867" t="str">
        <f>IF(acs2015_county_data[[#This Row],[Unemployment]]&gt;='Описательные характеристики'!$I$5,"да","нет")</f>
        <v>нет</v>
      </c>
    </row>
    <row r="868" spans="1:14" x14ac:dyDescent="0.35">
      <c r="A868">
        <v>19155</v>
      </c>
      <c r="B868" t="s">
        <v>598</v>
      </c>
      <c r="C868" t="s">
        <v>632</v>
      </c>
      <c r="D868" s="2">
        <v>93213</v>
      </c>
      <c r="E868" s="2">
        <v>27057</v>
      </c>
      <c r="F868" s="3">
        <v>3</v>
      </c>
      <c r="G868" s="3">
        <v>46439</v>
      </c>
      <c r="H868" s="3">
        <v>82.6</v>
      </c>
      <c r="I868" s="3">
        <v>12.2</v>
      </c>
      <c r="J868" s="3">
        <v>5</v>
      </c>
      <c r="K868" s="3">
        <v>0.2</v>
      </c>
      <c r="L868" s="3">
        <v>5</v>
      </c>
      <c r="M868" t="str">
        <f>IF(acs2015_county_data[[#This Row],[PublicWork]]&gt;='Описательные характеристики'!$F$5,"да","нет")</f>
        <v>нет</v>
      </c>
      <c r="N868" t="str">
        <f>IF(acs2015_county_data[[#This Row],[Unemployment]]&gt;='Описательные характеристики'!$I$5,"да","нет")</f>
        <v>нет</v>
      </c>
    </row>
    <row r="869" spans="1:14" x14ac:dyDescent="0.35">
      <c r="A869">
        <v>19157</v>
      </c>
      <c r="B869" t="s">
        <v>598</v>
      </c>
      <c r="C869" t="s">
        <v>633</v>
      </c>
      <c r="D869" s="2">
        <v>18705</v>
      </c>
      <c r="E869" s="2">
        <v>26018</v>
      </c>
      <c r="F869" s="3">
        <v>7.8</v>
      </c>
      <c r="G869" s="3">
        <v>9636</v>
      </c>
      <c r="H869" s="3">
        <v>83.7</v>
      </c>
      <c r="I869" s="3">
        <v>9</v>
      </c>
      <c r="J869" s="3">
        <v>7.2</v>
      </c>
      <c r="K869" s="3">
        <v>0.1</v>
      </c>
      <c r="L869" s="3">
        <v>4.8</v>
      </c>
      <c r="M869" t="str">
        <f>IF(acs2015_county_data[[#This Row],[PublicWork]]&gt;='Описательные характеристики'!$F$5,"да","нет")</f>
        <v>нет</v>
      </c>
      <c r="N869" t="str">
        <f>IF(acs2015_county_data[[#This Row],[Unemployment]]&gt;='Описательные характеристики'!$I$5,"да","нет")</f>
        <v>нет</v>
      </c>
    </row>
    <row r="870" spans="1:14" x14ac:dyDescent="0.35">
      <c r="A870">
        <v>19159</v>
      </c>
      <c r="B870" t="s">
        <v>598</v>
      </c>
      <c r="C870" t="s">
        <v>634</v>
      </c>
      <c r="D870" s="2">
        <v>5061</v>
      </c>
      <c r="E870" s="2">
        <v>26557</v>
      </c>
      <c r="F870" s="3">
        <v>10.9</v>
      </c>
      <c r="G870" s="3">
        <v>2133</v>
      </c>
      <c r="H870" s="3">
        <v>66.400000000000006</v>
      </c>
      <c r="I870" s="3">
        <v>16.5</v>
      </c>
      <c r="J870" s="3">
        <v>16.600000000000001</v>
      </c>
      <c r="K870" s="3">
        <v>0.4</v>
      </c>
      <c r="L870" s="3">
        <v>4.8</v>
      </c>
      <c r="M870" t="str">
        <f>IF(acs2015_county_data[[#This Row],[PublicWork]]&gt;='Описательные характеристики'!$F$5,"да","нет")</f>
        <v>да</v>
      </c>
      <c r="N870" t="str">
        <f>IF(acs2015_county_data[[#This Row],[Unemployment]]&gt;='Описательные характеристики'!$I$5,"да","нет")</f>
        <v>нет</v>
      </c>
    </row>
    <row r="871" spans="1:14" x14ac:dyDescent="0.35">
      <c r="A871">
        <v>19161</v>
      </c>
      <c r="B871" t="s">
        <v>598</v>
      </c>
      <c r="C871" t="s">
        <v>635</v>
      </c>
      <c r="D871" s="2">
        <v>10101</v>
      </c>
      <c r="E871" s="2">
        <v>26991</v>
      </c>
      <c r="F871" s="3">
        <v>4.5</v>
      </c>
      <c r="G871" s="3">
        <v>5151</v>
      </c>
      <c r="H871" s="3">
        <v>76.599999999999994</v>
      </c>
      <c r="I871" s="3">
        <v>13.3</v>
      </c>
      <c r="J871" s="3">
        <v>9.9</v>
      </c>
      <c r="K871" s="3">
        <v>0.2</v>
      </c>
      <c r="L871" s="3">
        <v>4</v>
      </c>
      <c r="M871" t="str">
        <f>IF(acs2015_county_data[[#This Row],[PublicWork]]&gt;='Описательные характеристики'!$F$5,"да","нет")</f>
        <v>нет</v>
      </c>
      <c r="N871" t="str">
        <f>IF(acs2015_county_data[[#This Row],[Unemployment]]&gt;='Описательные характеристики'!$I$5,"да","нет")</f>
        <v>нет</v>
      </c>
    </row>
    <row r="872" spans="1:14" x14ac:dyDescent="0.35">
      <c r="A872">
        <v>19163</v>
      </c>
      <c r="B872" t="s">
        <v>598</v>
      </c>
      <c r="C872" t="s">
        <v>169</v>
      </c>
      <c r="D872" s="2">
        <v>169994</v>
      </c>
      <c r="E872" s="2">
        <v>29391</v>
      </c>
      <c r="F872" s="3">
        <v>3.7</v>
      </c>
      <c r="G872" s="3">
        <v>83140</v>
      </c>
      <c r="H872" s="3">
        <v>82.6</v>
      </c>
      <c r="I872" s="3">
        <v>12.5</v>
      </c>
      <c r="J872" s="3">
        <v>4.8</v>
      </c>
      <c r="K872" s="3">
        <v>0.2</v>
      </c>
      <c r="L872" s="3">
        <v>5.4</v>
      </c>
      <c r="M872" t="str">
        <f>IF(acs2015_county_data[[#This Row],[PublicWork]]&gt;='Описательные характеристики'!$F$5,"да","нет")</f>
        <v>нет</v>
      </c>
      <c r="N872" t="str">
        <f>IF(acs2015_county_data[[#This Row],[Unemployment]]&gt;='Описательные характеристики'!$I$5,"да","нет")</f>
        <v>нет</v>
      </c>
    </row>
    <row r="873" spans="1:14" x14ac:dyDescent="0.35">
      <c r="A873">
        <v>19165</v>
      </c>
      <c r="B873" t="s">
        <v>598</v>
      </c>
      <c r="C873" t="s">
        <v>70</v>
      </c>
      <c r="D873" s="2">
        <v>11992</v>
      </c>
      <c r="E873" s="2">
        <v>27695</v>
      </c>
      <c r="F873" s="3">
        <v>6.5</v>
      </c>
      <c r="G873" s="3">
        <v>6153</v>
      </c>
      <c r="H873" s="3">
        <v>73.7</v>
      </c>
      <c r="I873" s="3">
        <v>13.4</v>
      </c>
      <c r="J873" s="3">
        <v>12.5</v>
      </c>
      <c r="K873" s="3">
        <v>0.5</v>
      </c>
      <c r="L873" s="3">
        <v>2.9</v>
      </c>
      <c r="M873" t="str">
        <f>IF(acs2015_county_data[[#This Row],[PublicWork]]&gt;='Описательные характеристики'!$F$5,"да","нет")</f>
        <v>нет</v>
      </c>
      <c r="N873" t="str">
        <f>IF(acs2015_county_data[[#This Row],[Unemployment]]&gt;='Описательные характеристики'!$I$5,"да","нет")</f>
        <v>нет</v>
      </c>
    </row>
    <row r="874" spans="1:14" x14ac:dyDescent="0.35">
      <c r="A874">
        <v>19167</v>
      </c>
      <c r="B874" t="s">
        <v>598</v>
      </c>
      <c r="C874" t="s">
        <v>636</v>
      </c>
      <c r="D874" s="2">
        <v>34509</v>
      </c>
      <c r="E874" s="2">
        <v>26029</v>
      </c>
      <c r="F874" s="3">
        <v>10.6</v>
      </c>
      <c r="G874" s="3">
        <v>18867</v>
      </c>
      <c r="H874" s="3">
        <v>82.1</v>
      </c>
      <c r="I874" s="3">
        <v>9.3000000000000007</v>
      </c>
      <c r="J874" s="3">
        <v>8.3000000000000007</v>
      </c>
      <c r="K874" s="3">
        <v>0.3</v>
      </c>
      <c r="L874" s="3">
        <v>1.8</v>
      </c>
      <c r="M874" t="str">
        <f>IF(acs2015_county_data[[#This Row],[PublicWork]]&gt;='Описательные характеристики'!$F$5,"да","нет")</f>
        <v>нет</v>
      </c>
      <c r="N874" t="str">
        <f>IF(acs2015_county_data[[#This Row],[Unemployment]]&gt;='Описательные характеристики'!$I$5,"да","нет")</f>
        <v>нет</v>
      </c>
    </row>
    <row r="875" spans="1:14" x14ac:dyDescent="0.35">
      <c r="A875">
        <v>19169</v>
      </c>
      <c r="B875" t="s">
        <v>598</v>
      </c>
      <c r="C875" t="s">
        <v>637</v>
      </c>
      <c r="D875" s="2">
        <v>93586</v>
      </c>
      <c r="E875" s="2">
        <v>25589</v>
      </c>
      <c r="F875" s="3">
        <v>3.8</v>
      </c>
      <c r="G875" s="3">
        <v>50519</v>
      </c>
      <c r="H875" s="3">
        <v>66.3</v>
      </c>
      <c r="I875" s="3">
        <v>29.3</v>
      </c>
      <c r="J875" s="3">
        <v>4.3</v>
      </c>
      <c r="K875" s="3">
        <v>0</v>
      </c>
      <c r="L875" s="3">
        <v>5.5</v>
      </c>
      <c r="M875" t="str">
        <f>IF(acs2015_county_data[[#This Row],[PublicWork]]&gt;='Описательные характеристики'!$F$5,"да","нет")</f>
        <v>да</v>
      </c>
      <c r="N875" t="str">
        <f>IF(acs2015_county_data[[#This Row],[Unemployment]]&gt;='Описательные характеристики'!$I$5,"да","нет")</f>
        <v>нет</v>
      </c>
    </row>
    <row r="876" spans="1:14" x14ac:dyDescent="0.35">
      <c r="A876">
        <v>19171</v>
      </c>
      <c r="B876" t="s">
        <v>598</v>
      </c>
      <c r="C876" t="s">
        <v>638</v>
      </c>
      <c r="D876" s="2">
        <v>17479</v>
      </c>
      <c r="E876" s="2">
        <v>26432</v>
      </c>
      <c r="F876" s="3">
        <v>4</v>
      </c>
      <c r="G876" s="3">
        <v>8283</v>
      </c>
      <c r="H876" s="3">
        <v>75.599999999999994</v>
      </c>
      <c r="I876" s="3">
        <v>14.4</v>
      </c>
      <c r="J876" s="3">
        <v>9.6</v>
      </c>
      <c r="K876" s="3">
        <v>0.4</v>
      </c>
      <c r="L876" s="3">
        <v>5.6</v>
      </c>
      <c r="M876" t="str">
        <f>IF(acs2015_county_data[[#This Row],[PublicWork]]&gt;='Описательные характеристики'!$F$5,"да","нет")</f>
        <v>нет</v>
      </c>
      <c r="N876" t="str">
        <f>IF(acs2015_county_data[[#This Row],[Unemployment]]&gt;='Описательные характеристики'!$I$5,"да","нет")</f>
        <v>нет</v>
      </c>
    </row>
    <row r="877" spans="1:14" x14ac:dyDescent="0.35">
      <c r="A877">
        <v>19173</v>
      </c>
      <c r="B877" t="s">
        <v>598</v>
      </c>
      <c r="C877" t="s">
        <v>350</v>
      </c>
      <c r="D877" s="2">
        <v>6213</v>
      </c>
      <c r="E877" s="2">
        <v>23821</v>
      </c>
      <c r="F877" s="3">
        <v>4.5</v>
      </c>
      <c r="G877" s="3">
        <v>3061</v>
      </c>
      <c r="H877" s="3">
        <v>71</v>
      </c>
      <c r="I877" s="3">
        <v>16.2</v>
      </c>
      <c r="J877" s="3">
        <v>12.4</v>
      </c>
      <c r="K877" s="3">
        <v>0.3</v>
      </c>
      <c r="L877" s="3">
        <v>4.4000000000000004</v>
      </c>
      <c r="M877" t="str">
        <f>IF(acs2015_county_data[[#This Row],[PublicWork]]&gt;='Описательные характеристики'!$F$5,"да","нет")</f>
        <v>да</v>
      </c>
      <c r="N877" t="str">
        <f>IF(acs2015_county_data[[#This Row],[Unemployment]]&gt;='Описательные характеристики'!$I$5,"да","нет")</f>
        <v>нет</v>
      </c>
    </row>
    <row r="878" spans="1:14" x14ac:dyDescent="0.35">
      <c r="A878">
        <v>19175</v>
      </c>
      <c r="B878" t="s">
        <v>598</v>
      </c>
      <c r="C878" t="s">
        <v>175</v>
      </c>
      <c r="D878" s="2">
        <v>12575</v>
      </c>
      <c r="E878" s="2">
        <v>24022</v>
      </c>
      <c r="F878" s="3">
        <v>5.8</v>
      </c>
      <c r="G878" s="3">
        <v>6385</v>
      </c>
      <c r="H878" s="3">
        <v>76.900000000000006</v>
      </c>
      <c r="I878" s="3">
        <v>13</v>
      </c>
      <c r="J878" s="3">
        <v>9.8000000000000007</v>
      </c>
      <c r="K878" s="3">
        <v>0.3</v>
      </c>
      <c r="L878" s="3">
        <v>5.4</v>
      </c>
      <c r="M878" t="str">
        <f>IF(acs2015_county_data[[#This Row],[PublicWork]]&gt;='Описательные характеристики'!$F$5,"да","нет")</f>
        <v>нет</v>
      </c>
      <c r="N878" t="str">
        <f>IF(acs2015_county_data[[#This Row],[Unemployment]]&gt;='Описательные характеристики'!$I$5,"да","нет")</f>
        <v>нет</v>
      </c>
    </row>
    <row r="879" spans="1:14" x14ac:dyDescent="0.35">
      <c r="A879">
        <v>19177</v>
      </c>
      <c r="B879" t="s">
        <v>598</v>
      </c>
      <c r="C879" t="s">
        <v>176</v>
      </c>
      <c r="D879" s="2">
        <v>7432</v>
      </c>
      <c r="E879" s="2">
        <v>23268</v>
      </c>
      <c r="F879" s="3">
        <v>4.5999999999999996</v>
      </c>
      <c r="G879" s="3">
        <v>3305</v>
      </c>
      <c r="H879" s="3">
        <v>75.8</v>
      </c>
      <c r="I879" s="3">
        <v>13.6</v>
      </c>
      <c r="J879" s="3">
        <v>9.6</v>
      </c>
      <c r="K879" s="3">
        <v>1</v>
      </c>
      <c r="L879" s="3">
        <v>6.6</v>
      </c>
      <c r="M879" t="str">
        <f>IF(acs2015_county_data[[#This Row],[PublicWork]]&gt;='Описательные характеристики'!$F$5,"да","нет")</f>
        <v>нет</v>
      </c>
      <c r="N879" t="str">
        <f>IF(acs2015_county_data[[#This Row],[Unemployment]]&gt;='Описательные характеристики'!$I$5,"да","нет")</f>
        <v>нет</v>
      </c>
    </row>
    <row r="880" spans="1:14" x14ac:dyDescent="0.35">
      <c r="A880">
        <v>19179</v>
      </c>
      <c r="B880" t="s">
        <v>598</v>
      </c>
      <c r="C880" t="s">
        <v>639</v>
      </c>
      <c r="D880" s="2">
        <v>35315</v>
      </c>
      <c r="E880" s="2">
        <v>22716</v>
      </c>
      <c r="F880" s="3">
        <v>2.9</v>
      </c>
      <c r="G880" s="3">
        <v>16128</v>
      </c>
      <c r="H880" s="3">
        <v>82.3</v>
      </c>
      <c r="I880" s="3">
        <v>11.5</v>
      </c>
      <c r="J880" s="3">
        <v>6</v>
      </c>
      <c r="K880" s="3">
        <v>0.2</v>
      </c>
      <c r="L880" s="3">
        <v>8</v>
      </c>
      <c r="M880" t="str">
        <f>IF(acs2015_county_data[[#This Row],[PublicWork]]&gt;='Описательные характеристики'!$F$5,"да","нет")</f>
        <v>нет</v>
      </c>
      <c r="N880" t="str">
        <f>IF(acs2015_county_data[[#This Row],[Unemployment]]&gt;='Описательные характеристики'!$I$5,"да","нет")</f>
        <v>да</v>
      </c>
    </row>
    <row r="881" spans="1:14" x14ac:dyDescent="0.35">
      <c r="A881">
        <v>19181</v>
      </c>
      <c r="B881" t="s">
        <v>598</v>
      </c>
      <c r="C881" t="s">
        <v>456</v>
      </c>
      <c r="D881" s="2">
        <v>47542</v>
      </c>
      <c r="E881" s="2">
        <v>30086</v>
      </c>
      <c r="F881" s="3">
        <v>5.4</v>
      </c>
      <c r="G881" s="3">
        <v>25008</v>
      </c>
      <c r="H881" s="3">
        <v>80.7</v>
      </c>
      <c r="I881" s="3">
        <v>13.3</v>
      </c>
      <c r="J881" s="3">
        <v>5.8</v>
      </c>
      <c r="K881" s="3">
        <v>0.1</v>
      </c>
      <c r="L881" s="3">
        <v>4.8</v>
      </c>
      <c r="M881" t="str">
        <f>IF(acs2015_county_data[[#This Row],[PublicWork]]&gt;='Описательные характеристики'!$F$5,"да","нет")</f>
        <v>нет</v>
      </c>
      <c r="N881" t="str">
        <f>IF(acs2015_county_data[[#This Row],[Unemployment]]&gt;='Описательные характеристики'!$I$5,"да","нет")</f>
        <v>нет</v>
      </c>
    </row>
    <row r="882" spans="1:14" x14ac:dyDescent="0.35">
      <c r="A882">
        <v>19183</v>
      </c>
      <c r="B882" t="s">
        <v>598</v>
      </c>
      <c r="C882" t="s">
        <v>75</v>
      </c>
      <c r="D882" s="2">
        <v>22017</v>
      </c>
      <c r="E882" s="2">
        <v>27228</v>
      </c>
      <c r="F882" s="3">
        <v>4</v>
      </c>
      <c r="G882" s="3">
        <v>11358</v>
      </c>
      <c r="H882" s="3">
        <v>70.7</v>
      </c>
      <c r="I882" s="3">
        <v>19.2</v>
      </c>
      <c r="J882" s="3">
        <v>9.9</v>
      </c>
      <c r="K882" s="3">
        <v>0.2</v>
      </c>
      <c r="L882" s="3">
        <v>4.2</v>
      </c>
      <c r="M882" t="str">
        <f>IF(acs2015_county_data[[#This Row],[PublicWork]]&gt;='Описательные характеристики'!$F$5,"да","нет")</f>
        <v>да</v>
      </c>
      <c r="N882" t="str">
        <f>IF(acs2015_county_data[[#This Row],[Unemployment]]&gt;='Описательные характеристики'!$I$5,"да","нет")</f>
        <v>нет</v>
      </c>
    </row>
    <row r="883" spans="1:14" x14ac:dyDescent="0.35">
      <c r="A883">
        <v>19185</v>
      </c>
      <c r="B883" t="s">
        <v>598</v>
      </c>
      <c r="C883" t="s">
        <v>457</v>
      </c>
      <c r="D883" s="2">
        <v>6384</v>
      </c>
      <c r="E883" s="2">
        <v>23009</v>
      </c>
      <c r="F883" s="3">
        <v>6.9</v>
      </c>
      <c r="G883" s="3">
        <v>2800</v>
      </c>
      <c r="H883" s="3">
        <v>69.8</v>
      </c>
      <c r="I883" s="3">
        <v>13.2</v>
      </c>
      <c r="J883" s="3">
        <v>15.6</v>
      </c>
      <c r="K883" s="3">
        <v>1.5</v>
      </c>
      <c r="L883" s="3">
        <v>4.3</v>
      </c>
      <c r="M883" t="str">
        <f>IF(acs2015_county_data[[#This Row],[PublicWork]]&gt;='Описательные характеристики'!$F$5,"да","нет")</f>
        <v>нет</v>
      </c>
      <c r="N883" t="str">
        <f>IF(acs2015_county_data[[#This Row],[Unemployment]]&gt;='Описательные характеристики'!$I$5,"да","нет")</f>
        <v>нет</v>
      </c>
    </row>
    <row r="884" spans="1:14" x14ac:dyDescent="0.35">
      <c r="A884">
        <v>19187</v>
      </c>
      <c r="B884" t="s">
        <v>598</v>
      </c>
      <c r="C884" t="s">
        <v>458</v>
      </c>
      <c r="D884" s="2">
        <v>37295</v>
      </c>
      <c r="E884" s="2">
        <v>23718</v>
      </c>
      <c r="F884" s="3">
        <v>4.7</v>
      </c>
      <c r="G884" s="3">
        <v>16774</v>
      </c>
      <c r="H884" s="3">
        <v>78</v>
      </c>
      <c r="I884" s="3">
        <v>13.4</v>
      </c>
      <c r="J884" s="3">
        <v>8.4</v>
      </c>
      <c r="K884" s="3">
        <v>0.2</v>
      </c>
      <c r="L884" s="3">
        <v>8.4</v>
      </c>
      <c r="M884" t="str">
        <f>IF(acs2015_county_data[[#This Row],[PublicWork]]&gt;='Описательные характеристики'!$F$5,"да","нет")</f>
        <v>нет</v>
      </c>
      <c r="N884" t="str">
        <f>IF(acs2015_county_data[[#This Row],[Unemployment]]&gt;='Описательные характеристики'!$I$5,"да","нет")</f>
        <v>да</v>
      </c>
    </row>
    <row r="885" spans="1:14" x14ac:dyDescent="0.35">
      <c r="A885">
        <v>19189</v>
      </c>
      <c r="B885" t="s">
        <v>598</v>
      </c>
      <c r="C885" t="s">
        <v>556</v>
      </c>
      <c r="D885" s="2">
        <v>10614</v>
      </c>
      <c r="E885" s="2">
        <v>25021</v>
      </c>
      <c r="F885" s="3">
        <v>4.0999999999999996</v>
      </c>
      <c r="G885" s="3">
        <v>5214</v>
      </c>
      <c r="H885" s="3">
        <v>84.3</v>
      </c>
      <c r="I885" s="3">
        <v>7.9</v>
      </c>
      <c r="J885" s="3">
        <v>7.5</v>
      </c>
      <c r="K885" s="3">
        <v>0.3</v>
      </c>
      <c r="L885" s="3">
        <v>6.2</v>
      </c>
      <c r="M885" t="str">
        <f>IF(acs2015_county_data[[#This Row],[PublicWork]]&gt;='Описательные характеристики'!$F$5,"да","нет")</f>
        <v>нет</v>
      </c>
      <c r="N885" t="str">
        <f>IF(acs2015_county_data[[#This Row],[Unemployment]]&gt;='Описательные характеристики'!$I$5,"да","нет")</f>
        <v>нет</v>
      </c>
    </row>
    <row r="886" spans="1:14" x14ac:dyDescent="0.35">
      <c r="A886">
        <v>19191</v>
      </c>
      <c r="B886" t="s">
        <v>598</v>
      </c>
      <c r="C886" t="s">
        <v>640</v>
      </c>
      <c r="D886" s="2">
        <v>20884</v>
      </c>
      <c r="E886" s="2">
        <v>26211</v>
      </c>
      <c r="F886" s="3">
        <v>8.4</v>
      </c>
      <c r="G886" s="3">
        <v>12230</v>
      </c>
      <c r="H886" s="3">
        <v>79.900000000000006</v>
      </c>
      <c r="I886" s="3">
        <v>10.3</v>
      </c>
      <c r="J886" s="3">
        <v>9.5</v>
      </c>
      <c r="K886" s="3">
        <v>0.2</v>
      </c>
      <c r="L886" s="3">
        <v>3</v>
      </c>
      <c r="M886" t="str">
        <f>IF(acs2015_county_data[[#This Row],[PublicWork]]&gt;='Описательные характеристики'!$F$5,"да","нет")</f>
        <v>нет</v>
      </c>
      <c r="N886" t="str">
        <f>IF(acs2015_county_data[[#This Row],[Unemployment]]&gt;='Описательные характеристики'!$I$5,"да","нет")</f>
        <v>нет</v>
      </c>
    </row>
    <row r="887" spans="1:14" x14ac:dyDescent="0.35">
      <c r="A887">
        <v>19193</v>
      </c>
      <c r="B887" t="s">
        <v>598</v>
      </c>
      <c r="C887" t="s">
        <v>641</v>
      </c>
      <c r="D887" s="2">
        <v>102530</v>
      </c>
      <c r="E887" s="2">
        <v>23630</v>
      </c>
      <c r="F887" s="3">
        <v>3.7</v>
      </c>
      <c r="G887" s="3">
        <v>51599</v>
      </c>
      <c r="H887" s="3">
        <v>84.9</v>
      </c>
      <c r="I887" s="3">
        <v>10.4</v>
      </c>
      <c r="J887" s="3">
        <v>4.5999999999999996</v>
      </c>
      <c r="K887" s="3">
        <v>0.1</v>
      </c>
      <c r="L887" s="3">
        <v>5.2</v>
      </c>
      <c r="M887" t="str">
        <f>IF(acs2015_county_data[[#This Row],[PublicWork]]&gt;='Описательные характеристики'!$F$5,"да","нет")</f>
        <v>нет</v>
      </c>
      <c r="N887" t="str">
        <f>IF(acs2015_county_data[[#This Row],[Unemployment]]&gt;='Описательные характеристики'!$I$5,"да","нет")</f>
        <v>нет</v>
      </c>
    </row>
    <row r="888" spans="1:14" x14ac:dyDescent="0.35">
      <c r="A888">
        <v>19195</v>
      </c>
      <c r="B888" t="s">
        <v>598</v>
      </c>
      <c r="C888" t="s">
        <v>463</v>
      </c>
      <c r="D888" s="2">
        <v>7563</v>
      </c>
      <c r="E888" s="2">
        <v>24734</v>
      </c>
      <c r="F888" s="3">
        <v>5.4</v>
      </c>
      <c r="G888" s="3">
        <v>3800</v>
      </c>
      <c r="H888" s="3">
        <v>79</v>
      </c>
      <c r="I888" s="3">
        <v>12.2</v>
      </c>
      <c r="J888" s="3">
        <v>8.8000000000000007</v>
      </c>
      <c r="K888" s="3">
        <v>0</v>
      </c>
      <c r="L888" s="3">
        <v>4.7</v>
      </c>
      <c r="M888" t="str">
        <f>IF(acs2015_county_data[[#This Row],[PublicWork]]&gt;='Описательные характеристики'!$F$5,"да","нет")</f>
        <v>нет</v>
      </c>
      <c r="N888" t="str">
        <f>IF(acs2015_county_data[[#This Row],[Unemployment]]&gt;='Описательные характеристики'!$I$5,"да","нет")</f>
        <v>нет</v>
      </c>
    </row>
    <row r="889" spans="1:14" x14ac:dyDescent="0.35">
      <c r="A889">
        <v>19197</v>
      </c>
      <c r="B889" t="s">
        <v>598</v>
      </c>
      <c r="C889" t="s">
        <v>642</v>
      </c>
      <c r="D889" s="2">
        <v>12936</v>
      </c>
      <c r="E889" s="2">
        <v>26316</v>
      </c>
      <c r="F889" s="3">
        <v>3.7</v>
      </c>
      <c r="G889" s="3">
        <v>5996</v>
      </c>
      <c r="H889" s="3">
        <v>76.900000000000006</v>
      </c>
      <c r="I889" s="3">
        <v>14.6</v>
      </c>
      <c r="J889" s="3">
        <v>8.5</v>
      </c>
      <c r="K889" s="3">
        <v>0</v>
      </c>
      <c r="L889" s="3">
        <v>5.7</v>
      </c>
      <c r="M889" t="str">
        <f>IF(acs2015_county_data[[#This Row],[PublicWork]]&gt;='Описательные характеристики'!$F$5,"да","нет")</f>
        <v>нет</v>
      </c>
      <c r="N889" t="str">
        <f>IF(acs2015_county_data[[#This Row],[Unemployment]]&gt;='Описательные характеристики'!$I$5,"да","нет")</f>
        <v>нет</v>
      </c>
    </row>
    <row r="890" spans="1:14" x14ac:dyDescent="0.35">
      <c r="A890">
        <v>20001</v>
      </c>
      <c r="B890" t="s">
        <v>643</v>
      </c>
      <c r="C890" t="s">
        <v>559</v>
      </c>
      <c r="D890" s="2">
        <v>13081</v>
      </c>
      <c r="E890" s="2">
        <v>20671</v>
      </c>
      <c r="F890" s="3">
        <v>3.2</v>
      </c>
      <c r="G890" s="3">
        <v>5863</v>
      </c>
      <c r="H890" s="3">
        <v>72.8</v>
      </c>
      <c r="I890" s="3">
        <v>17.8</v>
      </c>
      <c r="J890" s="3">
        <v>9.1</v>
      </c>
      <c r="K890" s="3">
        <v>0.2</v>
      </c>
      <c r="L890" s="3">
        <v>7</v>
      </c>
      <c r="M890" t="str">
        <f>IF(acs2015_county_data[[#This Row],[PublicWork]]&gt;='Описательные характеристики'!$F$5,"да","нет")</f>
        <v>да</v>
      </c>
      <c r="N890" t="str">
        <f>IF(acs2015_county_data[[#This Row],[Unemployment]]&gt;='Описательные характеристики'!$I$5,"да","нет")</f>
        <v>нет</v>
      </c>
    </row>
    <row r="891" spans="1:14" x14ac:dyDescent="0.35">
      <c r="A891">
        <v>20003</v>
      </c>
      <c r="B891" t="s">
        <v>643</v>
      </c>
      <c r="C891" t="s">
        <v>644</v>
      </c>
      <c r="D891" s="2">
        <v>7896</v>
      </c>
      <c r="E891" s="2">
        <v>21226</v>
      </c>
      <c r="F891" s="3">
        <v>4.4000000000000004</v>
      </c>
      <c r="G891" s="3">
        <v>3593</v>
      </c>
      <c r="H891" s="3">
        <v>68</v>
      </c>
      <c r="I891" s="3">
        <v>13.1</v>
      </c>
      <c r="J891" s="3">
        <v>18.7</v>
      </c>
      <c r="K891" s="3">
        <v>0.3</v>
      </c>
      <c r="L891" s="3">
        <v>5.9</v>
      </c>
      <c r="M891" t="str">
        <f>IF(acs2015_county_data[[#This Row],[PublicWork]]&gt;='Описательные характеристики'!$F$5,"да","нет")</f>
        <v>нет</v>
      </c>
      <c r="N891" t="str">
        <f>IF(acs2015_county_data[[#This Row],[Unemployment]]&gt;='Описательные характеристики'!$I$5,"да","нет")</f>
        <v>нет</v>
      </c>
    </row>
    <row r="892" spans="1:14" x14ac:dyDescent="0.35">
      <c r="A892">
        <v>20005</v>
      </c>
      <c r="B892" t="s">
        <v>643</v>
      </c>
      <c r="C892" t="s">
        <v>645</v>
      </c>
      <c r="D892" s="2">
        <v>16633</v>
      </c>
      <c r="E892" s="2">
        <v>21677</v>
      </c>
      <c r="F892" s="3">
        <v>6.9</v>
      </c>
      <c r="G892" s="3">
        <v>7519</v>
      </c>
      <c r="H892" s="3">
        <v>80.099999999999994</v>
      </c>
      <c r="I892" s="3">
        <v>13.5</v>
      </c>
      <c r="J892" s="3">
        <v>6</v>
      </c>
      <c r="K892" s="3">
        <v>0.4</v>
      </c>
      <c r="L892" s="3">
        <v>7.3</v>
      </c>
      <c r="M892" t="str">
        <f>IF(acs2015_county_data[[#This Row],[PublicWork]]&gt;='Описательные характеристики'!$F$5,"да","нет")</f>
        <v>нет</v>
      </c>
      <c r="N892" t="str">
        <f>IF(acs2015_county_data[[#This Row],[Unemployment]]&gt;='Описательные характеристики'!$I$5,"да","нет")</f>
        <v>нет</v>
      </c>
    </row>
    <row r="893" spans="1:14" x14ac:dyDescent="0.35">
      <c r="A893">
        <v>20007</v>
      </c>
      <c r="B893" t="s">
        <v>643</v>
      </c>
      <c r="C893" t="s">
        <v>646</v>
      </c>
      <c r="D893" s="2">
        <v>4770</v>
      </c>
      <c r="E893" s="2">
        <v>28174</v>
      </c>
      <c r="F893" s="3">
        <v>5.6</v>
      </c>
      <c r="G893" s="3">
        <v>2350</v>
      </c>
      <c r="H893" s="3">
        <v>70.3</v>
      </c>
      <c r="I893" s="3">
        <v>17.3</v>
      </c>
      <c r="J893" s="3">
        <v>12</v>
      </c>
      <c r="K893" s="3">
        <v>0.5</v>
      </c>
      <c r="L893" s="3">
        <v>3.1</v>
      </c>
      <c r="M893" t="str">
        <f>IF(acs2015_county_data[[#This Row],[PublicWork]]&gt;='Описательные характеристики'!$F$5,"да","нет")</f>
        <v>да</v>
      </c>
      <c r="N893" t="str">
        <f>IF(acs2015_county_data[[#This Row],[Unemployment]]&gt;='Описательные характеристики'!$I$5,"да","нет")</f>
        <v>нет</v>
      </c>
    </row>
    <row r="894" spans="1:14" x14ac:dyDescent="0.35">
      <c r="A894">
        <v>20009</v>
      </c>
      <c r="B894" t="s">
        <v>643</v>
      </c>
      <c r="C894" t="s">
        <v>647</v>
      </c>
      <c r="D894" s="2">
        <v>27399</v>
      </c>
      <c r="E894" s="2">
        <v>24338</v>
      </c>
      <c r="F894" s="3">
        <v>3.1</v>
      </c>
      <c r="G894" s="3">
        <v>13200</v>
      </c>
      <c r="H894" s="3">
        <v>76</v>
      </c>
      <c r="I894" s="3">
        <v>16</v>
      </c>
      <c r="J894" s="3">
        <v>7.7</v>
      </c>
      <c r="K894" s="3">
        <v>0.2</v>
      </c>
      <c r="L894" s="3">
        <v>6.8</v>
      </c>
      <c r="M894" t="str">
        <f>IF(acs2015_county_data[[#This Row],[PublicWork]]&gt;='Описательные характеристики'!$F$5,"да","нет")</f>
        <v>нет</v>
      </c>
      <c r="N894" t="str">
        <f>IF(acs2015_county_data[[#This Row],[Unemployment]]&gt;='Описательные характеристики'!$I$5,"да","нет")</f>
        <v>нет</v>
      </c>
    </row>
    <row r="895" spans="1:14" x14ac:dyDescent="0.35">
      <c r="A895">
        <v>20011</v>
      </c>
      <c r="B895" t="s">
        <v>643</v>
      </c>
      <c r="C895" t="s">
        <v>648</v>
      </c>
      <c r="D895" s="2">
        <v>14812</v>
      </c>
      <c r="E895" s="2">
        <v>20783</v>
      </c>
      <c r="F895" s="3">
        <v>5.4</v>
      </c>
      <c r="G895" s="3">
        <v>6541</v>
      </c>
      <c r="H895" s="3">
        <v>75.8</v>
      </c>
      <c r="I895" s="3">
        <v>18.3</v>
      </c>
      <c r="J895" s="3">
        <v>5.8</v>
      </c>
      <c r="K895" s="3">
        <v>0.1</v>
      </c>
      <c r="L895" s="3">
        <v>3.3</v>
      </c>
      <c r="M895" t="str">
        <f>IF(acs2015_county_data[[#This Row],[PublicWork]]&gt;='Описательные характеристики'!$F$5,"да","нет")</f>
        <v>да</v>
      </c>
      <c r="N895" t="str">
        <f>IF(acs2015_county_data[[#This Row],[Unemployment]]&gt;='Описательные характеристики'!$I$5,"да","нет")</f>
        <v>нет</v>
      </c>
    </row>
    <row r="896" spans="1:14" x14ac:dyDescent="0.35">
      <c r="A896">
        <v>20013</v>
      </c>
      <c r="B896" t="s">
        <v>643</v>
      </c>
      <c r="C896" t="s">
        <v>506</v>
      </c>
      <c r="D896" s="2">
        <v>9880</v>
      </c>
      <c r="E896" s="2">
        <v>22600</v>
      </c>
      <c r="F896" s="3">
        <v>7</v>
      </c>
      <c r="G896" s="3">
        <v>4606</v>
      </c>
      <c r="H896" s="3">
        <v>71.3</v>
      </c>
      <c r="I896" s="3">
        <v>16.7</v>
      </c>
      <c r="J896" s="3">
        <v>11.9</v>
      </c>
      <c r="K896" s="3">
        <v>0.2</v>
      </c>
      <c r="L896" s="3">
        <v>4.5</v>
      </c>
      <c r="M896" t="str">
        <f>IF(acs2015_county_data[[#This Row],[PublicWork]]&gt;='Описательные характеристики'!$F$5,"да","нет")</f>
        <v>да</v>
      </c>
      <c r="N896" t="str">
        <f>IF(acs2015_county_data[[#This Row],[Unemployment]]&gt;='Описательные характеристики'!$I$5,"да","нет")</f>
        <v>нет</v>
      </c>
    </row>
    <row r="897" spans="1:14" x14ac:dyDescent="0.35">
      <c r="A897">
        <v>20015</v>
      </c>
      <c r="B897" t="s">
        <v>643</v>
      </c>
      <c r="C897" t="s">
        <v>21</v>
      </c>
      <c r="D897" s="2">
        <v>66092</v>
      </c>
      <c r="E897" s="2">
        <v>27647</v>
      </c>
      <c r="F897" s="3">
        <v>3.6</v>
      </c>
      <c r="G897" s="3">
        <v>31277</v>
      </c>
      <c r="H897" s="3">
        <v>77.7</v>
      </c>
      <c r="I897" s="3">
        <v>17.399999999999999</v>
      </c>
      <c r="J897" s="3">
        <v>4.7</v>
      </c>
      <c r="K897" s="3">
        <v>0.2</v>
      </c>
      <c r="L897" s="3">
        <v>5.6</v>
      </c>
      <c r="M897" t="str">
        <f>IF(acs2015_county_data[[#This Row],[PublicWork]]&gt;='Описательные характеристики'!$F$5,"да","нет")</f>
        <v>да</v>
      </c>
      <c r="N897" t="str">
        <f>IF(acs2015_county_data[[#This Row],[Unemployment]]&gt;='Описательные характеристики'!$I$5,"да","нет")</f>
        <v>нет</v>
      </c>
    </row>
    <row r="898" spans="1:14" x14ac:dyDescent="0.35">
      <c r="A898">
        <v>20017</v>
      </c>
      <c r="B898" t="s">
        <v>643</v>
      </c>
      <c r="C898" t="s">
        <v>649</v>
      </c>
      <c r="D898" s="2">
        <v>2722</v>
      </c>
      <c r="E898" s="2">
        <v>23459</v>
      </c>
      <c r="F898" s="3">
        <v>6.3</v>
      </c>
      <c r="G898" s="3">
        <v>1187</v>
      </c>
      <c r="H898" s="3">
        <v>73.3</v>
      </c>
      <c r="I898" s="3">
        <v>18.600000000000001</v>
      </c>
      <c r="J898" s="3">
        <v>8</v>
      </c>
      <c r="K898" s="3">
        <v>0.1</v>
      </c>
      <c r="L898" s="3">
        <v>2.9</v>
      </c>
      <c r="M898" t="str">
        <f>IF(acs2015_county_data[[#This Row],[PublicWork]]&gt;='Описательные характеристики'!$F$5,"да","нет")</f>
        <v>да</v>
      </c>
      <c r="N898" t="str">
        <f>IF(acs2015_county_data[[#This Row],[Unemployment]]&gt;='Описательные характеристики'!$I$5,"да","нет")</f>
        <v>нет</v>
      </c>
    </row>
    <row r="899" spans="1:14" x14ac:dyDescent="0.35">
      <c r="A899">
        <v>20019</v>
      </c>
      <c r="B899" t="s">
        <v>643</v>
      </c>
      <c r="C899" t="s">
        <v>650</v>
      </c>
      <c r="D899" s="2">
        <v>3520</v>
      </c>
      <c r="E899" s="2">
        <v>23584</v>
      </c>
      <c r="F899" s="3">
        <v>4.2</v>
      </c>
      <c r="G899" s="3">
        <v>1510</v>
      </c>
      <c r="H899" s="3">
        <v>69.900000000000006</v>
      </c>
      <c r="I899" s="3">
        <v>18.600000000000001</v>
      </c>
      <c r="J899" s="3">
        <v>11.1</v>
      </c>
      <c r="K899" s="3">
        <v>0.3</v>
      </c>
      <c r="L899" s="3">
        <v>5.0999999999999996</v>
      </c>
      <c r="M899" t="str">
        <f>IF(acs2015_county_data[[#This Row],[PublicWork]]&gt;='Описательные характеристики'!$F$5,"да","нет")</f>
        <v>да</v>
      </c>
      <c r="N899" t="str">
        <f>IF(acs2015_county_data[[#This Row],[Unemployment]]&gt;='Описательные характеристики'!$I$5,"да","нет")</f>
        <v>нет</v>
      </c>
    </row>
    <row r="900" spans="1:14" x14ac:dyDescent="0.35">
      <c r="A900">
        <v>20021</v>
      </c>
      <c r="B900" t="s">
        <v>643</v>
      </c>
      <c r="C900" t="s">
        <v>24</v>
      </c>
      <c r="D900" s="2">
        <v>20952</v>
      </c>
      <c r="E900" s="2">
        <v>19809</v>
      </c>
      <c r="F900" s="3">
        <v>2.4</v>
      </c>
      <c r="G900" s="3">
        <v>9378</v>
      </c>
      <c r="H900" s="3">
        <v>73.5</v>
      </c>
      <c r="I900" s="3">
        <v>17.899999999999999</v>
      </c>
      <c r="J900" s="3">
        <v>8.6</v>
      </c>
      <c r="K900" s="3">
        <v>0.1</v>
      </c>
      <c r="L900" s="3">
        <v>5.8</v>
      </c>
      <c r="M900" t="str">
        <f>IF(acs2015_county_data[[#This Row],[PublicWork]]&gt;='Описательные характеристики'!$F$5,"да","нет")</f>
        <v>да</v>
      </c>
      <c r="N900" t="str">
        <f>IF(acs2015_county_data[[#This Row],[Unemployment]]&gt;='Описательные характеристики'!$I$5,"да","нет")</f>
        <v>нет</v>
      </c>
    </row>
    <row r="901" spans="1:14" x14ac:dyDescent="0.35">
      <c r="A901">
        <v>20023</v>
      </c>
      <c r="B901" t="s">
        <v>643</v>
      </c>
      <c r="C901" t="s">
        <v>246</v>
      </c>
      <c r="D901" s="2">
        <v>2682</v>
      </c>
      <c r="E901" s="2">
        <v>26626</v>
      </c>
      <c r="F901" s="3">
        <v>7</v>
      </c>
      <c r="G901" s="3">
        <v>1321</v>
      </c>
      <c r="H901" s="3">
        <v>60</v>
      </c>
      <c r="I901" s="3">
        <v>23.8</v>
      </c>
      <c r="J901" s="3">
        <v>15.1</v>
      </c>
      <c r="K901" s="3">
        <v>1.1000000000000001</v>
      </c>
      <c r="L901" s="3">
        <v>1.9</v>
      </c>
      <c r="M901" t="str">
        <f>IF(acs2015_county_data[[#This Row],[PublicWork]]&gt;='Описательные характеристики'!$F$5,"да","нет")</f>
        <v>да</v>
      </c>
      <c r="N901" t="str">
        <f>IF(acs2015_county_data[[#This Row],[Unemployment]]&gt;='Описательные характеристики'!$I$5,"да","нет")</f>
        <v>нет</v>
      </c>
    </row>
    <row r="902" spans="1:14" x14ac:dyDescent="0.35">
      <c r="A902">
        <v>20025</v>
      </c>
      <c r="B902" t="s">
        <v>643</v>
      </c>
      <c r="C902" t="s">
        <v>131</v>
      </c>
      <c r="D902" s="2">
        <v>2145</v>
      </c>
      <c r="E902" s="2">
        <v>25106</v>
      </c>
      <c r="F902" s="3">
        <v>4.2</v>
      </c>
      <c r="G902" s="3">
        <v>1040</v>
      </c>
      <c r="H902" s="3">
        <v>60.7</v>
      </c>
      <c r="I902" s="3">
        <v>23.7</v>
      </c>
      <c r="J902" s="3">
        <v>15.6</v>
      </c>
      <c r="K902" s="3">
        <v>0.1</v>
      </c>
      <c r="L902" s="3">
        <v>1.4</v>
      </c>
      <c r="M902" t="str">
        <f>IF(acs2015_county_data[[#This Row],[PublicWork]]&gt;='Описательные характеристики'!$F$5,"да","нет")</f>
        <v>да</v>
      </c>
      <c r="N902" t="str">
        <f>IF(acs2015_county_data[[#This Row],[Unemployment]]&gt;='Описательные характеристики'!$I$5,"да","нет")</f>
        <v>нет</v>
      </c>
    </row>
    <row r="903" spans="1:14" x14ac:dyDescent="0.35">
      <c r="A903">
        <v>20027</v>
      </c>
      <c r="B903" t="s">
        <v>643</v>
      </c>
      <c r="C903" t="s">
        <v>28</v>
      </c>
      <c r="D903" s="2">
        <v>8421</v>
      </c>
      <c r="E903" s="2">
        <v>26807</v>
      </c>
      <c r="F903" s="3">
        <v>6.5</v>
      </c>
      <c r="G903" s="3">
        <v>4169</v>
      </c>
      <c r="H903" s="3">
        <v>66.400000000000006</v>
      </c>
      <c r="I903" s="3">
        <v>21.9</v>
      </c>
      <c r="J903" s="3">
        <v>11.3</v>
      </c>
      <c r="K903" s="3">
        <v>0.4</v>
      </c>
      <c r="L903" s="3">
        <v>1.9</v>
      </c>
      <c r="M903" t="str">
        <f>IF(acs2015_county_data[[#This Row],[PublicWork]]&gt;='Описательные характеристики'!$F$5,"да","нет")</f>
        <v>да</v>
      </c>
      <c r="N903" t="str">
        <f>IF(acs2015_county_data[[#This Row],[Unemployment]]&gt;='Описательные характеристики'!$I$5,"да","нет")</f>
        <v>нет</v>
      </c>
    </row>
    <row r="904" spans="1:14" x14ac:dyDescent="0.35">
      <c r="A904">
        <v>20029</v>
      </c>
      <c r="B904" t="s">
        <v>643</v>
      </c>
      <c r="C904" t="s">
        <v>651</v>
      </c>
      <c r="D904" s="2">
        <v>9339</v>
      </c>
      <c r="E904" s="2">
        <v>22441</v>
      </c>
      <c r="F904" s="3">
        <v>5.4</v>
      </c>
      <c r="G904" s="3">
        <v>4514</v>
      </c>
      <c r="H904" s="3">
        <v>75.5</v>
      </c>
      <c r="I904" s="3">
        <v>15.3</v>
      </c>
      <c r="J904" s="3">
        <v>9</v>
      </c>
      <c r="K904" s="3">
        <v>0.3</v>
      </c>
      <c r="L904" s="3">
        <v>6.8</v>
      </c>
      <c r="M904" t="str">
        <f>IF(acs2015_county_data[[#This Row],[PublicWork]]&gt;='Описательные характеристики'!$F$5,"да","нет")</f>
        <v>нет</v>
      </c>
      <c r="N904" t="str">
        <f>IF(acs2015_county_data[[#This Row],[Unemployment]]&gt;='Описательные характеристики'!$I$5,"да","нет")</f>
        <v>нет</v>
      </c>
    </row>
    <row r="905" spans="1:14" x14ac:dyDescent="0.35">
      <c r="A905">
        <v>20031</v>
      </c>
      <c r="B905" t="s">
        <v>643</v>
      </c>
      <c r="C905" t="s">
        <v>652</v>
      </c>
      <c r="D905" s="2">
        <v>8458</v>
      </c>
      <c r="E905" s="2">
        <v>29382</v>
      </c>
      <c r="F905" s="3">
        <v>3.7</v>
      </c>
      <c r="G905" s="3">
        <v>4207</v>
      </c>
      <c r="H905" s="3">
        <v>72</v>
      </c>
      <c r="I905" s="3">
        <v>19.3</v>
      </c>
      <c r="J905" s="3">
        <v>8.6</v>
      </c>
      <c r="K905" s="3">
        <v>0</v>
      </c>
      <c r="L905" s="3">
        <v>5.0999999999999996</v>
      </c>
      <c r="M905" t="str">
        <f>IF(acs2015_county_data[[#This Row],[PublicWork]]&gt;='Описательные характеристики'!$F$5,"да","нет")</f>
        <v>да</v>
      </c>
      <c r="N905" t="str">
        <f>IF(acs2015_county_data[[#This Row],[Unemployment]]&gt;='Описательные характеристики'!$I$5,"да","нет")</f>
        <v>нет</v>
      </c>
    </row>
    <row r="906" spans="1:14" x14ac:dyDescent="0.35">
      <c r="A906">
        <v>20033</v>
      </c>
      <c r="B906" t="s">
        <v>643</v>
      </c>
      <c r="C906" t="s">
        <v>653</v>
      </c>
      <c r="D906" s="2">
        <v>2010</v>
      </c>
      <c r="E906" s="2">
        <v>23661</v>
      </c>
      <c r="F906" s="3">
        <v>5.8</v>
      </c>
      <c r="G906" s="3">
        <v>995</v>
      </c>
      <c r="H906" s="3">
        <v>62.7</v>
      </c>
      <c r="I906" s="3">
        <v>20.399999999999999</v>
      </c>
      <c r="J906" s="3">
        <v>16.399999999999999</v>
      </c>
      <c r="K906" s="3">
        <v>0.5</v>
      </c>
      <c r="L906" s="3">
        <v>5.4</v>
      </c>
      <c r="M906" t="str">
        <f>IF(acs2015_county_data[[#This Row],[PublicWork]]&gt;='Описательные характеристики'!$F$5,"да","нет")</f>
        <v>да</v>
      </c>
      <c r="N906" t="str">
        <f>IF(acs2015_county_data[[#This Row],[Unemployment]]&gt;='Описательные характеристики'!$I$5,"да","нет")</f>
        <v>нет</v>
      </c>
    </row>
    <row r="907" spans="1:14" x14ac:dyDescent="0.35">
      <c r="A907">
        <v>20035</v>
      </c>
      <c r="B907" t="s">
        <v>643</v>
      </c>
      <c r="C907" t="s">
        <v>654</v>
      </c>
      <c r="D907" s="2">
        <v>36079</v>
      </c>
      <c r="E907" s="2">
        <v>21950</v>
      </c>
      <c r="F907" s="3">
        <v>4.3</v>
      </c>
      <c r="G907" s="3">
        <v>15686</v>
      </c>
      <c r="H907" s="3">
        <v>77.8</v>
      </c>
      <c r="I907" s="3">
        <v>16</v>
      </c>
      <c r="J907" s="3">
        <v>6</v>
      </c>
      <c r="K907" s="3">
        <v>0.2</v>
      </c>
      <c r="L907" s="3">
        <v>7</v>
      </c>
      <c r="M907" t="str">
        <f>IF(acs2015_county_data[[#This Row],[PublicWork]]&gt;='Описательные характеристики'!$F$5,"да","нет")</f>
        <v>нет</v>
      </c>
      <c r="N907" t="str">
        <f>IF(acs2015_county_data[[#This Row],[Unemployment]]&gt;='Описательные характеристики'!$I$5,"да","нет")</f>
        <v>нет</v>
      </c>
    </row>
    <row r="908" spans="1:14" x14ac:dyDescent="0.35">
      <c r="A908">
        <v>20037</v>
      </c>
      <c r="B908" t="s">
        <v>643</v>
      </c>
      <c r="C908" t="s">
        <v>136</v>
      </c>
      <c r="D908" s="2">
        <v>39304</v>
      </c>
      <c r="E908" s="2">
        <v>20346</v>
      </c>
      <c r="F908" s="3">
        <v>2.7</v>
      </c>
      <c r="G908" s="3">
        <v>18643</v>
      </c>
      <c r="H908" s="3">
        <v>75.599999999999994</v>
      </c>
      <c r="I908" s="3">
        <v>18.399999999999999</v>
      </c>
      <c r="J908" s="3">
        <v>5.6</v>
      </c>
      <c r="K908" s="3">
        <v>0.4</v>
      </c>
      <c r="L908" s="3">
        <v>5.6</v>
      </c>
      <c r="M908" t="str">
        <f>IF(acs2015_county_data[[#This Row],[PublicWork]]&gt;='Описательные характеристики'!$F$5,"да","нет")</f>
        <v>да</v>
      </c>
      <c r="N908" t="str">
        <f>IF(acs2015_county_data[[#This Row],[Unemployment]]&gt;='Описательные характеристики'!$I$5,"да","нет")</f>
        <v>нет</v>
      </c>
    </row>
    <row r="909" spans="1:14" x14ac:dyDescent="0.35">
      <c r="A909">
        <v>20039</v>
      </c>
      <c r="B909" t="s">
        <v>643</v>
      </c>
      <c r="C909" t="s">
        <v>386</v>
      </c>
      <c r="D909" s="2">
        <v>2905</v>
      </c>
      <c r="E909" s="2">
        <v>29891</v>
      </c>
      <c r="F909" s="3">
        <v>6.2</v>
      </c>
      <c r="G909" s="3">
        <v>1389</v>
      </c>
      <c r="H909" s="3">
        <v>64.900000000000006</v>
      </c>
      <c r="I909" s="3">
        <v>22.3</v>
      </c>
      <c r="J909" s="3">
        <v>12.2</v>
      </c>
      <c r="K909" s="3">
        <v>0.6</v>
      </c>
      <c r="L909" s="3">
        <v>3.8</v>
      </c>
      <c r="M909" t="str">
        <f>IF(acs2015_county_data[[#This Row],[PublicWork]]&gt;='Описательные характеристики'!$F$5,"да","нет")</f>
        <v>да</v>
      </c>
      <c r="N909" t="str">
        <f>IF(acs2015_county_data[[#This Row],[Unemployment]]&gt;='Описательные характеристики'!$I$5,"да","нет")</f>
        <v>нет</v>
      </c>
    </row>
    <row r="910" spans="1:14" x14ac:dyDescent="0.35">
      <c r="A910">
        <v>20041</v>
      </c>
      <c r="B910" t="s">
        <v>643</v>
      </c>
      <c r="C910" t="s">
        <v>612</v>
      </c>
      <c r="D910" s="2">
        <v>19516</v>
      </c>
      <c r="E910" s="2">
        <v>24430</v>
      </c>
      <c r="F910" s="3">
        <v>3.3</v>
      </c>
      <c r="G910" s="3">
        <v>8898</v>
      </c>
      <c r="H910" s="3">
        <v>72.8</v>
      </c>
      <c r="I910" s="3">
        <v>18.3</v>
      </c>
      <c r="J910" s="3">
        <v>8.6</v>
      </c>
      <c r="K910" s="3">
        <v>0.4</v>
      </c>
      <c r="L910" s="3">
        <v>6.7</v>
      </c>
      <c r="M910" t="str">
        <f>IF(acs2015_county_data[[#This Row],[PublicWork]]&gt;='Описательные характеристики'!$F$5,"да","нет")</f>
        <v>да</v>
      </c>
      <c r="N910" t="str">
        <f>IF(acs2015_county_data[[#This Row],[Unemployment]]&gt;='Описательные характеристики'!$I$5,"да","нет")</f>
        <v>нет</v>
      </c>
    </row>
    <row r="911" spans="1:14" x14ac:dyDescent="0.35">
      <c r="A911">
        <v>20043</v>
      </c>
      <c r="B911" t="s">
        <v>643</v>
      </c>
      <c r="C911" t="s">
        <v>1995</v>
      </c>
      <c r="D911" s="2">
        <v>7859</v>
      </c>
      <c r="E911" s="2">
        <v>23471</v>
      </c>
      <c r="F911" s="3">
        <v>5.7</v>
      </c>
      <c r="G911" s="3">
        <v>3790</v>
      </c>
      <c r="H911" s="3">
        <v>73.099999999999994</v>
      </c>
      <c r="I911" s="3">
        <v>18.100000000000001</v>
      </c>
      <c r="J911" s="3">
        <v>7.6</v>
      </c>
      <c r="K911" s="3">
        <v>1.2</v>
      </c>
      <c r="L911" s="3">
        <v>5.8</v>
      </c>
      <c r="M911" t="str">
        <f>IF(acs2015_county_data[[#This Row],[PublicWork]]&gt;='Описательные характеристики'!$F$5,"да","нет")</f>
        <v>да</v>
      </c>
      <c r="N911" t="str">
        <f>IF(acs2015_county_data[[#This Row],[Unemployment]]&gt;='Описательные характеристики'!$I$5,"да","нет")</f>
        <v>нет</v>
      </c>
    </row>
    <row r="912" spans="1:14" x14ac:dyDescent="0.35">
      <c r="A912">
        <v>20045</v>
      </c>
      <c r="B912" t="s">
        <v>643</v>
      </c>
      <c r="C912" t="s">
        <v>254</v>
      </c>
      <c r="D912" s="2">
        <v>114967</v>
      </c>
      <c r="E912" s="2">
        <v>27611</v>
      </c>
      <c r="F912" s="3">
        <v>4.2</v>
      </c>
      <c r="G912" s="3">
        <v>61881</v>
      </c>
      <c r="H912" s="3">
        <v>71.8</v>
      </c>
      <c r="I912" s="3">
        <v>23.4</v>
      </c>
      <c r="J912" s="3">
        <v>4.7</v>
      </c>
      <c r="K912" s="3">
        <v>0.1</v>
      </c>
      <c r="L912" s="3">
        <v>6</v>
      </c>
      <c r="M912" t="str">
        <f>IF(acs2015_county_data[[#This Row],[PublicWork]]&gt;='Описательные характеристики'!$F$5,"да","нет")</f>
        <v>да</v>
      </c>
      <c r="N912" t="str">
        <f>IF(acs2015_county_data[[#This Row],[Unemployment]]&gt;='Описательные характеристики'!$I$5,"да","нет")</f>
        <v>нет</v>
      </c>
    </row>
    <row r="913" spans="1:14" x14ac:dyDescent="0.35">
      <c r="A913">
        <v>20047</v>
      </c>
      <c r="B913" t="s">
        <v>643</v>
      </c>
      <c r="C913" t="s">
        <v>517</v>
      </c>
      <c r="D913" s="2">
        <v>2991</v>
      </c>
      <c r="E913" s="2">
        <v>25584</v>
      </c>
      <c r="F913" s="3">
        <v>4.2</v>
      </c>
      <c r="G913" s="3">
        <v>1451</v>
      </c>
      <c r="H913" s="3">
        <v>69.599999999999994</v>
      </c>
      <c r="I913" s="3">
        <v>19.8</v>
      </c>
      <c r="J913" s="3">
        <v>10</v>
      </c>
      <c r="K913" s="3">
        <v>0.6</v>
      </c>
      <c r="L913" s="3">
        <v>2</v>
      </c>
      <c r="M913" t="str">
        <f>IF(acs2015_county_data[[#This Row],[PublicWork]]&gt;='Описательные характеристики'!$F$5,"да","нет")</f>
        <v>да</v>
      </c>
      <c r="N913" t="str">
        <f>IF(acs2015_county_data[[#This Row],[Unemployment]]&gt;='Описательные характеристики'!$I$5,"да","нет")</f>
        <v>нет</v>
      </c>
    </row>
    <row r="914" spans="1:14" x14ac:dyDescent="0.35">
      <c r="A914">
        <v>20049</v>
      </c>
      <c r="B914" t="s">
        <v>643</v>
      </c>
      <c r="C914" t="s">
        <v>655</v>
      </c>
      <c r="D914" s="2">
        <v>2683</v>
      </c>
      <c r="E914" s="2">
        <v>21764</v>
      </c>
      <c r="F914" s="3">
        <v>8.9</v>
      </c>
      <c r="G914" s="3">
        <v>1121</v>
      </c>
      <c r="H914" s="3">
        <v>59.2</v>
      </c>
      <c r="I914" s="3">
        <v>26.6</v>
      </c>
      <c r="J914" s="3">
        <v>13.6</v>
      </c>
      <c r="K914" s="3">
        <v>0.5</v>
      </c>
      <c r="L914" s="3">
        <v>5.3</v>
      </c>
      <c r="M914" t="str">
        <f>IF(acs2015_county_data[[#This Row],[PublicWork]]&gt;='Описательные характеристики'!$F$5,"да","нет")</f>
        <v>да</v>
      </c>
      <c r="N914" t="str">
        <f>IF(acs2015_county_data[[#This Row],[Unemployment]]&gt;='Описательные характеристики'!$I$5,"да","нет")</f>
        <v>нет</v>
      </c>
    </row>
    <row r="915" spans="1:14" x14ac:dyDescent="0.35">
      <c r="A915">
        <v>20051</v>
      </c>
      <c r="B915" t="s">
        <v>643</v>
      </c>
      <c r="C915" t="s">
        <v>656</v>
      </c>
      <c r="D915" s="2">
        <v>28993</v>
      </c>
      <c r="E915" s="2">
        <v>26098</v>
      </c>
      <c r="F915" s="3">
        <v>2.7</v>
      </c>
      <c r="G915" s="3">
        <v>16045</v>
      </c>
      <c r="H915" s="3">
        <v>74.8</v>
      </c>
      <c r="I915" s="3">
        <v>18</v>
      </c>
      <c r="J915" s="3">
        <v>7</v>
      </c>
      <c r="K915" s="3">
        <v>0.2</v>
      </c>
      <c r="L915" s="3">
        <v>4.5</v>
      </c>
      <c r="M915" t="str">
        <f>IF(acs2015_county_data[[#This Row],[PublicWork]]&gt;='Описательные характеристики'!$F$5,"да","нет")</f>
        <v>да</v>
      </c>
      <c r="N915" t="str">
        <f>IF(acs2015_county_data[[#This Row],[Unemployment]]&gt;='Описательные характеристики'!$I$5,"да","нет")</f>
        <v>нет</v>
      </c>
    </row>
    <row r="916" spans="1:14" x14ac:dyDescent="0.35">
      <c r="A916">
        <v>20053</v>
      </c>
      <c r="B916" t="s">
        <v>643</v>
      </c>
      <c r="C916" t="s">
        <v>657</v>
      </c>
      <c r="D916" s="2">
        <v>6410</v>
      </c>
      <c r="E916" s="2">
        <v>24102</v>
      </c>
      <c r="F916" s="3">
        <v>4.3</v>
      </c>
      <c r="G916" s="3">
        <v>2787</v>
      </c>
      <c r="H916" s="3">
        <v>69.599999999999994</v>
      </c>
      <c r="I916" s="3">
        <v>20.9</v>
      </c>
      <c r="J916" s="3">
        <v>9.5</v>
      </c>
      <c r="K916" s="3">
        <v>0</v>
      </c>
      <c r="L916" s="3">
        <v>4.3</v>
      </c>
      <c r="M916" t="str">
        <f>IF(acs2015_county_data[[#This Row],[PublicWork]]&gt;='Описательные характеристики'!$F$5,"да","нет")</f>
        <v>да</v>
      </c>
      <c r="N916" t="str">
        <f>IF(acs2015_county_data[[#This Row],[Unemployment]]&gt;='Описательные характеристики'!$I$5,"да","нет")</f>
        <v>нет</v>
      </c>
    </row>
    <row r="917" spans="1:14" x14ac:dyDescent="0.35">
      <c r="A917">
        <v>20055</v>
      </c>
      <c r="B917" t="s">
        <v>643</v>
      </c>
      <c r="C917" t="s">
        <v>658</v>
      </c>
      <c r="D917" s="2">
        <v>37133</v>
      </c>
      <c r="E917" s="2">
        <v>22145</v>
      </c>
      <c r="F917" s="3">
        <v>2.7</v>
      </c>
      <c r="G917" s="3">
        <v>18612</v>
      </c>
      <c r="H917" s="3">
        <v>78.3</v>
      </c>
      <c r="I917" s="3">
        <v>15.4</v>
      </c>
      <c r="J917" s="3">
        <v>6</v>
      </c>
      <c r="K917" s="3">
        <v>0.3</v>
      </c>
      <c r="L917" s="3">
        <v>4.5999999999999996</v>
      </c>
      <c r="M917" t="str">
        <f>IF(acs2015_county_data[[#This Row],[PublicWork]]&gt;='Описательные характеристики'!$F$5,"да","нет")</f>
        <v>нет</v>
      </c>
      <c r="N917" t="str">
        <f>IF(acs2015_county_data[[#This Row],[Unemployment]]&gt;='Описательные характеристики'!$I$5,"да","нет")</f>
        <v>нет</v>
      </c>
    </row>
    <row r="918" spans="1:14" x14ac:dyDescent="0.35">
      <c r="A918">
        <v>20057</v>
      </c>
      <c r="B918" t="s">
        <v>643</v>
      </c>
      <c r="C918" t="s">
        <v>518</v>
      </c>
      <c r="D918" s="2">
        <v>34714</v>
      </c>
      <c r="E918" s="2">
        <v>20619</v>
      </c>
      <c r="F918" s="3">
        <v>1.8</v>
      </c>
      <c r="G918" s="3">
        <v>16237</v>
      </c>
      <c r="H918" s="3">
        <v>81.599999999999994</v>
      </c>
      <c r="I918" s="3">
        <v>12.6</v>
      </c>
      <c r="J918" s="3">
        <v>5.4</v>
      </c>
      <c r="K918" s="3">
        <v>0.4</v>
      </c>
      <c r="L918" s="3">
        <v>6.4</v>
      </c>
      <c r="M918" t="str">
        <f>IF(acs2015_county_data[[#This Row],[PublicWork]]&gt;='Описательные характеристики'!$F$5,"да","нет")</f>
        <v>нет</v>
      </c>
      <c r="N918" t="str">
        <f>IF(acs2015_county_data[[#This Row],[Unemployment]]&gt;='Описательные характеристики'!$I$5,"да","нет")</f>
        <v>нет</v>
      </c>
    </row>
    <row r="919" spans="1:14" x14ac:dyDescent="0.35">
      <c r="A919">
        <v>20059</v>
      </c>
      <c r="B919" t="s">
        <v>643</v>
      </c>
      <c r="C919" t="s">
        <v>43</v>
      </c>
      <c r="D919" s="2">
        <v>25753</v>
      </c>
      <c r="E919" s="2">
        <v>24567</v>
      </c>
      <c r="F919" s="3">
        <v>4.3</v>
      </c>
      <c r="G919" s="3">
        <v>12701</v>
      </c>
      <c r="H919" s="3">
        <v>76.400000000000006</v>
      </c>
      <c r="I919" s="3">
        <v>17.5</v>
      </c>
      <c r="J919" s="3">
        <v>6</v>
      </c>
      <c r="K919" s="3">
        <v>0.2</v>
      </c>
      <c r="L919" s="3">
        <v>6.9</v>
      </c>
      <c r="M919" t="str">
        <f>IF(acs2015_county_data[[#This Row],[PublicWork]]&gt;='Описательные характеристики'!$F$5,"да","нет")</f>
        <v>да</v>
      </c>
      <c r="N919" t="str">
        <f>IF(acs2015_county_data[[#This Row],[Unemployment]]&gt;='Описательные характеристики'!$I$5,"да","нет")</f>
        <v>нет</v>
      </c>
    </row>
    <row r="920" spans="1:14" x14ac:dyDescent="0.35">
      <c r="A920">
        <v>20061</v>
      </c>
      <c r="B920" t="s">
        <v>643</v>
      </c>
      <c r="C920" t="s">
        <v>659</v>
      </c>
      <c r="D920" s="2">
        <v>36787</v>
      </c>
      <c r="E920" s="2">
        <v>21450</v>
      </c>
      <c r="F920" s="3">
        <v>3.1</v>
      </c>
      <c r="G920" s="3">
        <v>12884</v>
      </c>
      <c r="H920" s="3">
        <v>60</v>
      </c>
      <c r="I920" s="3">
        <v>35.1</v>
      </c>
      <c r="J920" s="3">
        <v>4.5</v>
      </c>
      <c r="K920" s="3">
        <v>0.4</v>
      </c>
      <c r="L920" s="3">
        <v>9.1999999999999993</v>
      </c>
      <c r="M920" t="str">
        <f>IF(acs2015_county_data[[#This Row],[PublicWork]]&gt;='Описательные характеристики'!$F$5,"да","нет")</f>
        <v>да</v>
      </c>
      <c r="N920" t="str">
        <f>IF(acs2015_county_data[[#This Row],[Unemployment]]&gt;='Описательные характеристики'!$I$5,"да","нет")</f>
        <v>да</v>
      </c>
    </row>
    <row r="921" spans="1:14" x14ac:dyDescent="0.35">
      <c r="A921">
        <v>20063</v>
      </c>
      <c r="B921" t="s">
        <v>643</v>
      </c>
      <c r="C921" t="s">
        <v>660</v>
      </c>
      <c r="D921" s="2">
        <v>2735</v>
      </c>
      <c r="E921" s="2">
        <v>25484</v>
      </c>
      <c r="F921" s="3">
        <v>10.6</v>
      </c>
      <c r="G921" s="3">
        <v>1367</v>
      </c>
      <c r="H921" s="3">
        <v>63.3</v>
      </c>
      <c r="I921" s="3">
        <v>18.7</v>
      </c>
      <c r="J921" s="3">
        <v>17.8</v>
      </c>
      <c r="K921" s="3">
        <v>0.2</v>
      </c>
      <c r="L921" s="3">
        <v>1.9</v>
      </c>
      <c r="M921" t="str">
        <f>IF(acs2015_county_data[[#This Row],[PublicWork]]&gt;='Описательные характеристики'!$F$5,"да","нет")</f>
        <v>да</v>
      </c>
      <c r="N921" t="str">
        <f>IF(acs2015_county_data[[#This Row],[Unemployment]]&gt;='Описательные характеристики'!$I$5,"да","нет")</f>
        <v>нет</v>
      </c>
    </row>
    <row r="922" spans="1:14" x14ac:dyDescent="0.35">
      <c r="A922">
        <v>20065</v>
      </c>
      <c r="B922" t="s">
        <v>643</v>
      </c>
      <c r="C922" t="s">
        <v>113</v>
      </c>
      <c r="D922" s="2">
        <v>2593</v>
      </c>
      <c r="E922" s="2">
        <v>28233</v>
      </c>
      <c r="F922" s="3">
        <v>7.8</v>
      </c>
      <c r="G922" s="3">
        <v>1282</v>
      </c>
      <c r="H922" s="3">
        <v>62.2</v>
      </c>
      <c r="I922" s="3">
        <v>22.4</v>
      </c>
      <c r="J922" s="3">
        <v>14.9</v>
      </c>
      <c r="K922" s="3">
        <v>0.5</v>
      </c>
      <c r="L922" s="3">
        <v>2.4</v>
      </c>
      <c r="M922" t="str">
        <f>IF(acs2015_county_data[[#This Row],[PublicWork]]&gt;='Описательные характеристики'!$F$5,"да","нет")</f>
        <v>да</v>
      </c>
      <c r="N922" t="str">
        <f>IF(acs2015_county_data[[#This Row],[Unemployment]]&gt;='Описательные характеристики'!$I$5,"да","нет")</f>
        <v>нет</v>
      </c>
    </row>
    <row r="923" spans="1:14" x14ac:dyDescent="0.35">
      <c r="A923">
        <v>20067</v>
      </c>
      <c r="B923" t="s">
        <v>643</v>
      </c>
      <c r="C923" t="s">
        <v>144</v>
      </c>
      <c r="D923" s="2">
        <v>7816</v>
      </c>
      <c r="E923" s="2">
        <v>25195</v>
      </c>
      <c r="F923" s="3">
        <v>5.0999999999999996</v>
      </c>
      <c r="G923" s="3">
        <v>3618</v>
      </c>
      <c r="H923" s="3">
        <v>71.599999999999994</v>
      </c>
      <c r="I923" s="3">
        <v>17.5</v>
      </c>
      <c r="J923" s="3">
        <v>10</v>
      </c>
      <c r="K923" s="3">
        <v>0.9</v>
      </c>
      <c r="L923" s="3">
        <v>7.3</v>
      </c>
      <c r="M923" t="str">
        <f>IF(acs2015_county_data[[#This Row],[PublicWork]]&gt;='Описательные характеристики'!$F$5,"да","нет")</f>
        <v>да</v>
      </c>
      <c r="N923" t="str">
        <f>IF(acs2015_county_data[[#This Row],[Unemployment]]&gt;='Описательные характеристики'!$I$5,"да","нет")</f>
        <v>нет</v>
      </c>
    </row>
    <row r="924" spans="1:14" x14ac:dyDescent="0.35">
      <c r="A924">
        <v>20069</v>
      </c>
      <c r="B924" t="s">
        <v>643</v>
      </c>
      <c r="C924" t="s">
        <v>661</v>
      </c>
      <c r="D924" s="2">
        <v>6065</v>
      </c>
      <c r="E924" s="2">
        <v>26131</v>
      </c>
      <c r="F924" s="3">
        <v>5.4</v>
      </c>
      <c r="G924" s="3">
        <v>3183</v>
      </c>
      <c r="H924" s="3">
        <v>71.2</v>
      </c>
      <c r="I924" s="3">
        <v>13.6</v>
      </c>
      <c r="J924" s="3">
        <v>14.3</v>
      </c>
      <c r="K924" s="3">
        <v>0.9</v>
      </c>
      <c r="L924" s="3">
        <v>2.9</v>
      </c>
      <c r="M924" t="str">
        <f>IF(acs2015_county_data[[#This Row],[PublicWork]]&gt;='Описательные характеристики'!$F$5,"да","нет")</f>
        <v>нет</v>
      </c>
      <c r="N924" t="str">
        <f>IF(acs2015_county_data[[#This Row],[Unemployment]]&gt;='Описательные характеристики'!$I$5,"да","нет")</f>
        <v>нет</v>
      </c>
    </row>
    <row r="925" spans="1:14" x14ac:dyDescent="0.35">
      <c r="A925">
        <v>20071</v>
      </c>
      <c r="B925" t="s">
        <v>643</v>
      </c>
      <c r="C925" t="s">
        <v>662</v>
      </c>
      <c r="D925" s="2">
        <v>1224</v>
      </c>
      <c r="E925" s="2">
        <v>25994</v>
      </c>
      <c r="F925" s="3">
        <v>8.6</v>
      </c>
      <c r="G925" s="3">
        <v>592</v>
      </c>
      <c r="H925" s="3">
        <v>64.2</v>
      </c>
      <c r="I925" s="3">
        <v>19.100000000000001</v>
      </c>
      <c r="J925" s="3">
        <v>16.600000000000001</v>
      </c>
      <c r="K925" s="3">
        <v>0.2</v>
      </c>
      <c r="L925" s="3">
        <v>2.1</v>
      </c>
      <c r="M925" t="str">
        <f>IF(acs2015_county_data[[#This Row],[PublicWork]]&gt;='Описательные характеристики'!$F$5,"да","нет")</f>
        <v>да</v>
      </c>
      <c r="N925" t="str">
        <f>IF(acs2015_county_data[[#This Row],[Unemployment]]&gt;='Описательные характеристики'!$I$5,"да","нет")</f>
        <v>нет</v>
      </c>
    </row>
    <row r="926" spans="1:14" x14ac:dyDescent="0.35">
      <c r="A926">
        <v>20073</v>
      </c>
      <c r="B926" t="s">
        <v>643</v>
      </c>
      <c r="C926" t="s">
        <v>663</v>
      </c>
      <c r="D926" s="2">
        <v>6393</v>
      </c>
      <c r="E926" s="2">
        <v>23335</v>
      </c>
      <c r="F926" s="3">
        <v>4.7</v>
      </c>
      <c r="G926" s="3">
        <v>2876</v>
      </c>
      <c r="H926" s="3">
        <v>68.7</v>
      </c>
      <c r="I926" s="3">
        <v>19.600000000000001</v>
      </c>
      <c r="J926" s="3">
        <v>11.5</v>
      </c>
      <c r="K926" s="3">
        <v>0.2</v>
      </c>
      <c r="L926" s="3">
        <v>3.5</v>
      </c>
      <c r="M926" t="str">
        <f>IF(acs2015_county_data[[#This Row],[PublicWork]]&gt;='Описательные характеристики'!$F$5,"да","нет")</f>
        <v>да</v>
      </c>
      <c r="N926" t="str">
        <f>IF(acs2015_county_data[[#This Row],[Unemployment]]&gt;='Описательные характеристики'!$I$5,"да","нет")</f>
        <v>нет</v>
      </c>
    </row>
    <row r="927" spans="1:14" x14ac:dyDescent="0.35">
      <c r="A927">
        <v>20075</v>
      </c>
      <c r="B927" t="s">
        <v>643</v>
      </c>
      <c r="C927" t="s">
        <v>323</v>
      </c>
      <c r="D927" s="2">
        <v>2586</v>
      </c>
      <c r="E927" s="2">
        <v>22250</v>
      </c>
      <c r="F927" s="3">
        <v>8.3000000000000007</v>
      </c>
      <c r="G927" s="3">
        <v>1322</v>
      </c>
      <c r="H927" s="3">
        <v>64.8</v>
      </c>
      <c r="I927" s="3">
        <v>16.600000000000001</v>
      </c>
      <c r="J927" s="3">
        <v>17.899999999999999</v>
      </c>
      <c r="K927" s="3">
        <v>0.7</v>
      </c>
      <c r="L927" s="3">
        <v>2.2999999999999998</v>
      </c>
      <c r="M927" t="str">
        <f>IF(acs2015_county_data[[#This Row],[PublicWork]]&gt;='Описательные характеристики'!$F$5,"да","нет")</f>
        <v>да</v>
      </c>
      <c r="N927" t="str">
        <f>IF(acs2015_county_data[[#This Row],[Unemployment]]&gt;='Описательные характеристики'!$I$5,"да","нет")</f>
        <v>нет</v>
      </c>
    </row>
    <row r="928" spans="1:14" x14ac:dyDescent="0.35">
      <c r="A928">
        <v>20077</v>
      </c>
      <c r="B928" t="s">
        <v>643</v>
      </c>
      <c r="C928" t="s">
        <v>664</v>
      </c>
      <c r="D928" s="2">
        <v>5861</v>
      </c>
      <c r="E928" s="2">
        <v>24640</v>
      </c>
      <c r="F928" s="3">
        <v>2.4</v>
      </c>
      <c r="G928" s="3">
        <v>2750</v>
      </c>
      <c r="H928" s="3">
        <v>70.400000000000006</v>
      </c>
      <c r="I928" s="3">
        <v>19.100000000000001</v>
      </c>
      <c r="J928" s="3">
        <v>10</v>
      </c>
      <c r="K928" s="3">
        <v>0.6</v>
      </c>
      <c r="L928" s="3">
        <v>3.7</v>
      </c>
      <c r="M928" t="str">
        <f>IF(acs2015_county_data[[#This Row],[PublicWork]]&gt;='Описательные характеристики'!$F$5,"да","нет")</f>
        <v>да</v>
      </c>
      <c r="N928" t="str">
        <f>IF(acs2015_county_data[[#This Row],[Unemployment]]&gt;='Описательные характеристики'!$I$5,"да","нет")</f>
        <v>нет</v>
      </c>
    </row>
    <row r="929" spans="1:14" x14ac:dyDescent="0.35">
      <c r="A929">
        <v>20079</v>
      </c>
      <c r="B929" t="s">
        <v>643</v>
      </c>
      <c r="C929" t="s">
        <v>665</v>
      </c>
      <c r="D929" s="2">
        <v>34835</v>
      </c>
      <c r="E929" s="2">
        <v>24453</v>
      </c>
      <c r="F929" s="3">
        <v>4</v>
      </c>
      <c r="G929" s="3">
        <v>16472</v>
      </c>
      <c r="H929" s="3">
        <v>81.3</v>
      </c>
      <c r="I929" s="3">
        <v>13.3</v>
      </c>
      <c r="J929" s="3">
        <v>5.0999999999999996</v>
      </c>
      <c r="K929" s="3">
        <v>0.2</v>
      </c>
      <c r="L929" s="3">
        <v>4.4000000000000004</v>
      </c>
      <c r="M929" t="str">
        <f>IF(acs2015_county_data[[#This Row],[PublicWork]]&gt;='Описательные характеристики'!$F$5,"да","нет")</f>
        <v>нет</v>
      </c>
      <c r="N929" t="str">
        <f>IF(acs2015_county_data[[#This Row],[Unemployment]]&gt;='Описательные характеристики'!$I$5,"да","нет")</f>
        <v>нет</v>
      </c>
    </row>
    <row r="930" spans="1:14" x14ac:dyDescent="0.35">
      <c r="A930">
        <v>20081</v>
      </c>
      <c r="B930" t="s">
        <v>643</v>
      </c>
      <c r="C930" t="s">
        <v>666</v>
      </c>
      <c r="D930" s="2">
        <v>4130</v>
      </c>
      <c r="E930" s="2">
        <v>24362</v>
      </c>
      <c r="F930" s="3">
        <v>7</v>
      </c>
      <c r="G930" s="3">
        <v>2078</v>
      </c>
      <c r="H930" s="3">
        <v>68.5</v>
      </c>
      <c r="I930" s="3">
        <v>18.7</v>
      </c>
      <c r="J930" s="3">
        <v>12.1</v>
      </c>
      <c r="K930" s="3">
        <v>0.7</v>
      </c>
      <c r="L930" s="3">
        <v>3.9</v>
      </c>
      <c r="M930" t="str">
        <f>IF(acs2015_county_data[[#This Row],[PublicWork]]&gt;='Описательные характеристики'!$F$5,"да","нет")</f>
        <v>да</v>
      </c>
      <c r="N930" t="str">
        <f>IF(acs2015_county_data[[#This Row],[Unemployment]]&gt;='Описательные характеристики'!$I$5,"да","нет")</f>
        <v>нет</v>
      </c>
    </row>
    <row r="931" spans="1:14" x14ac:dyDescent="0.35">
      <c r="A931">
        <v>20083</v>
      </c>
      <c r="B931" t="s">
        <v>643</v>
      </c>
      <c r="C931" t="s">
        <v>667</v>
      </c>
      <c r="D931" s="2">
        <v>1939</v>
      </c>
      <c r="E931" s="2">
        <v>31547</v>
      </c>
      <c r="F931" s="3">
        <v>5.6</v>
      </c>
      <c r="G931" s="3">
        <v>1005</v>
      </c>
      <c r="H931" s="3">
        <v>57.6</v>
      </c>
      <c r="I931" s="3">
        <v>21.8</v>
      </c>
      <c r="J931" s="3">
        <v>19</v>
      </c>
      <c r="K931" s="3">
        <v>1.6</v>
      </c>
      <c r="L931" s="3">
        <v>2.5</v>
      </c>
      <c r="M931" t="str">
        <f>IF(acs2015_county_data[[#This Row],[PublicWork]]&gt;='Описательные характеристики'!$F$5,"да","нет")</f>
        <v>да</v>
      </c>
      <c r="N931" t="str">
        <f>IF(acs2015_county_data[[#This Row],[Unemployment]]&gt;='Описательные характеристики'!$I$5,"да","нет")</f>
        <v>нет</v>
      </c>
    </row>
    <row r="932" spans="1:14" x14ac:dyDescent="0.35">
      <c r="A932">
        <v>20085</v>
      </c>
      <c r="B932" t="s">
        <v>643</v>
      </c>
      <c r="C932" t="s">
        <v>49</v>
      </c>
      <c r="D932" s="2">
        <v>13400</v>
      </c>
      <c r="E932" s="2">
        <v>25038</v>
      </c>
      <c r="F932" s="3">
        <v>4.4000000000000004</v>
      </c>
      <c r="G932" s="3">
        <v>6496</v>
      </c>
      <c r="H932" s="3">
        <v>67.8</v>
      </c>
      <c r="I932" s="3">
        <v>23.9</v>
      </c>
      <c r="J932" s="3">
        <v>7.5</v>
      </c>
      <c r="K932" s="3">
        <v>0.8</v>
      </c>
      <c r="L932" s="3">
        <v>4.4000000000000004</v>
      </c>
      <c r="M932" t="str">
        <f>IF(acs2015_county_data[[#This Row],[PublicWork]]&gt;='Описательные характеристики'!$F$5,"да","нет")</f>
        <v>да</v>
      </c>
      <c r="N932" t="str">
        <f>IF(acs2015_county_data[[#This Row],[Unemployment]]&gt;='Описательные характеристики'!$I$5,"да","нет")</f>
        <v>нет</v>
      </c>
    </row>
    <row r="933" spans="1:14" x14ac:dyDescent="0.35">
      <c r="A933">
        <v>20087</v>
      </c>
      <c r="B933" t="s">
        <v>643</v>
      </c>
      <c r="C933" t="s">
        <v>50</v>
      </c>
      <c r="D933" s="2">
        <v>18898</v>
      </c>
      <c r="E933" s="2">
        <v>26227</v>
      </c>
      <c r="F933" s="3">
        <v>2.4</v>
      </c>
      <c r="G933" s="3">
        <v>9264</v>
      </c>
      <c r="H933" s="3">
        <v>71.400000000000006</v>
      </c>
      <c r="I933" s="3">
        <v>22.3</v>
      </c>
      <c r="J933" s="3">
        <v>6.2</v>
      </c>
      <c r="K933" s="3">
        <v>0</v>
      </c>
      <c r="L933" s="3">
        <v>6.9</v>
      </c>
      <c r="M933" t="str">
        <f>IF(acs2015_county_data[[#This Row],[PublicWork]]&gt;='Описательные характеристики'!$F$5,"да","нет")</f>
        <v>да</v>
      </c>
      <c r="N933" t="str">
        <f>IF(acs2015_county_data[[#This Row],[Unemployment]]&gt;='Описательные характеристики'!$I$5,"да","нет")</f>
        <v>нет</v>
      </c>
    </row>
    <row r="934" spans="1:14" x14ac:dyDescent="0.35">
      <c r="A934">
        <v>20089</v>
      </c>
      <c r="B934" t="s">
        <v>643</v>
      </c>
      <c r="C934" t="s">
        <v>668</v>
      </c>
      <c r="D934" s="2">
        <v>3038</v>
      </c>
      <c r="E934" s="2">
        <v>23002</v>
      </c>
      <c r="F934" s="3">
        <v>7.7</v>
      </c>
      <c r="G934" s="3">
        <v>1468</v>
      </c>
      <c r="H934" s="3">
        <v>60.9</v>
      </c>
      <c r="I934" s="3">
        <v>19</v>
      </c>
      <c r="J934" s="3">
        <v>19.8</v>
      </c>
      <c r="K934" s="3">
        <v>0.3</v>
      </c>
      <c r="L934" s="3">
        <v>2.5</v>
      </c>
      <c r="M934" t="str">
        <f>IF(acs2015_county_data[[#This Row],[PublicWork]]&gt;='Описательные характеристики'!$F$5,"да","нет")</f>
        <v>да</v>
      </c>
      <c r="N934" t="str">
        <f>IF(acs2015_county_data[[#This Row],[Unemployment]]&gt;='Описательные характеристики'!$I$5,"да","нет")</f>
        <v>нет</v>
      </c>
    </row>
    <row r="935" spans="1:14" x14ac:dyDescent="0.35">
      <c r="A935">
        <v>20091</v>
      </c>
      <c r="B935" t="s">
        <v>643</v>
      </c>
      <c r="C935" t="s">
        <v>150</v>
      </c>
      <c r="D935" s="2">
        <v>566814</v>
      </c>
      <c r="E935" s="2">
        <v>40331</v>
      </c>
      <c r="F935" s="3">
        <v>5.4</v>
      </c>
      <c r="G935" s="3">
        <v>302532</v>
      </c>
      <c r="H935" s="3">
        <v>83.8</v>
      </c>
      <c r="I935" s="3">
        <v>10.9</v>
      </c>
      <c r="J935" s="3">
        <v>5.2</v>
      </c>
      <c r="K935" s="3">
        <v>0.1</v>
      </c>
      <c r="L935" s="3">
        <v>4.5</v>
      </c>
      <c r="M935" t="str">
        <f>IF(acs2015_county_data[[#This Row],[PublicWork]]&gt;='Описательные характеристики'!$F$5,"да","нет")</f>
        <v>нет</v>
      </c>
      <c r="N935" t="str">
        <f>IF(acs2015_county_data[[#This Row],[Unemployment]]&gt;='Описательные характеристики'!$I$5,"да","нет")</f>
        <v>нет</v>
      </c>
    </row>
    <row r="936" spans="1:14" x14ac:dyDescent="0.35">
      <c r="A936">
        <v>20093</v>
      </c>
      <c r="B936" t="s">
        <v>643</v>
      </c>
      <c r="C936" t="s">
        <v>669</v>
      </c>
      <c r="D936" s="2">
        <v>3952</v>
      </c>
      <c r="E936" s="2">
        <v>23884</v>
      </c>
      <c r="F936" s="3">
        <v>4.7</v>
      </c>
      <c r="G936" s="3">
        <v>1930</v>
      </c>
      <c r="H936" s="3">
        <v>65.3</v>
      </c>
      <c r="I936" s="3">
        <v>24.2</v>
      </c>
      <c r="J936" s="3">
        <v>10</v>
      </c>
      <c r="K936" s="3">
        <v>0.5</v>
      </c>
      <c r="L936" s="3">
        <v>1.8</v>
      </c>
      <c r="M936" t="str">
        <f>IF(acs2015_county_data[[#This Row],[PublicWork]]&gt;='Описательные характеристики'!$F$5,"да","нет")</f>
        <v>да</v>
      </c>
      <c r="N936" t="str">
        <f>IF(acs2015_county_data[[#This Row],[Unemployment]]&gt;='Описательные характеристики'!$I$5,"да","нет")</f>
        <v>нет</v>
      </c>
    </row>
    <row r="937" spans="1:14" x14ac:dyDescent="0.35">
      <c r="A937">
        <v>20095</v>
      </c>
      <c r="B937" t="s">
        <v>643</v>
      </c>
      <c r="C937" t="s">
        <v>670</v>
      </c>
      <c r="D937" s="2">
        <v>7790</v>
      </c>
      <c r="E937" s="2">
        <v>24998</v>
      </c>
      <c r="F937" s="3">
        <v>6.7</v>
      </c>
      <c r="G937" s="3">
        <v>3509</v>
      </c>
      <c r="H937" s="3">
        <v>69.7</v>
      </c>
      <c r="I937" s="3">
        <v>14.6</v>
      </c>
      <c r="J937" s="3">
        <v>15.6</v>
      </c>
      <c r="K937" s="3">
        <v>0.1</v>
      </c>
      <c r="L937" s="3">
        <v>5.7</v>
      </c>
      <c r="M937" t="str">
        <f>IF(acs2015_county_data[[#This Row],[PublicWork]]&gt;='Описательные характеристики'!$F$5,"да","нет")</f>
        <v>нет</v>
      </c>
      <c r="N937" t="str">
        <f>IF(acs2015_county_data[[#This Row],[Unemployment]]&gt;='Описательные характеристики'!$I$5,"да","нет")</f>
        <v>нет</v>
      </c>
    </row>
    <row r="938" spans="1:14" x14ac:dyDescent="0.35">
      <c r="A938">
        <v>20097</v>
      </c>
      <c r="B938" t="s">
        <v>643</v>
      </c>
      <c r="C938" t="s">
        <v>265</v>
      </c>
      <c r="D938" s="2">
        <v>2536</v>
      </c>
      <c r="E938" s="2">
        <v>24116</v>
      </c>
      <c r="F938" s="3">
        <v>7</v>
      </c>
      <c r="G938" s="3">
        <v>1315</v>
      </c>
      <c r="H938" s="3">
        <v>67.7</v>
      </c>
      <c r="I938" s="3">
        <v>19.2</v>
      </c>
      <c r="J938" s="3">
        <v>13.1</v>
      </c>
      <c r="K938" s="3">
        <v>0</v>
      </c>
      <c r="L938" s="3">
        <v>4</v>
      </c>
      <c r="M938" t="str">
        <f>IF(acs2015_county_data[[#This Row],[PublicWork]]&gt;='Описательные характеристики'!$F$5,"да","нет")</f>
        <v>да</v>
      </c>
      <c r="N938" t="str">
        <f>IF(acs2015_county_data[[#This Row],[Unemployment]]&gt;='Описательные характеристики'!$I$5,"да","нет")</f>
        <v>нет</v>
      </c>
    </row>
    <row r="939" spans="1:14" x14ac:dyDescent="0.35">
      <c r="A939">
        <v>20099</v>
      </c>
      <c r="B939" t="s">
        <v>643</v>
      </c>
      <c r="C939" t="s">
        <v>671</v>
      </c>
      <c r="D939" s="2">
        <v>21048</v>
      </c>
      <c r="E939" s="2">
        <v>21006</v>
      </c>
      <c r="F939" s="3">
        <v>2.6</v>
      </c>
      <c r="G939" s="3">
        <v>9572</v>
      </c>
      <c r="H939" s="3">
        <v>73.900000000000006</v>
      </c>
      <c r="I939" s="3">
        <v>19</v>
      </c>
      <c r="J939" s="3">
        <v>6.9</v>
      </c>
      <c r="K939" s="3">
        <v>0.2</v>
      </c>
      <c r="L939" s="3">
        <v>5.3</v>
      </c>
      <c r="M939" t="str">
        <f>IF(acs2015_county_data[[#This Row],[PublicWork]]&gt;='Описательные характеристики'!$F$5,"да","нет")</f>
        <v>да</v>
      </c>
      <c r="N939" t="str">
        <f>IF(acs2015_county_data[[#This Row],[Unemployment]]&gt;='Описательные характеристики'!$I$5,"да","нет")</f>
        <v>нет</v>
      </c>
    </row>
    <row r="940" spans="1:14" x14ac:dyDescent="0.35">
      <c r="A940">
        <v>20101</v>
      </c>
      <c r="B940" t="s">
        <v>643</v>
      </c>
      <c r="C940" t="s">
        <v>672</v>
      </c>
      <c r="D940" s="2">
        <v>1674</v>
      </c>
      <c r="E940" s="2">
        <v>31458</v>
      </c>
      <c r="F940" s="3">
        <v>4.3</v>
      </c>
      <c r="G940" s="3">
        <v>926</v>
      </c>
      <c r="H940" s="3">
        <v>56.4</v>
      </c>
      <c r="I940" s="3">
        <v>26.7</v>
      </c>
      <c r="J940" s="3">
        <v>16.7</v>
      </c>
      <c r="K940" s="3">
        <v>0.2</v>
      </c>
      <c r="L940" s="3">
        <v>2.4</v>
      </c>
      <c r="M940" t="str">
        <f>IF(acs2015_county_data[[#This Row],[PublicWork]]&gt;='Описательные характеристики'!$F$5,"да","нет")</f>
        <v>да</v>
      </c>
      <c r="N940" t="str">
        <f>IF(acs2015_county_data[[#This Row],[Unemployment]]&gt;='Описательные характеристики'!$I$5,"да","нет")</f>
        <v>нет</v>
      </c>
    </row>
    <row r="941" spans="1:14" x14ac:dyDescent="0.35">
      <c r="A941">
        <v>20103</v>
      </c>
      <c r="B941" t="s">
        <v>643</v>
      </c>
      <c r="C941" t="s">
        <v>673</v>
      </c>
      <c r="D941" s="2">
        <v>78227</v>
      </c>
      <c r="E941" s="2">
        <v>27138</v>
      </c>
      <c r="F941" s="3">
        <v>2.6</v>
      </c>
      <c r="G941" s="3">
        <v>33513</v>
      </c>
      <c r="H941" s="3">
        <v>69.7</v>
      </c>
      <c r="I941" s="3">
        <v>25.6</v>
      </c>
      <c r="J941" s="3">
        <v>4.7</v>
      </c>
      <c r="K941" s="3">
        <v>0</v>
      </c>
      <c r="L941" s="3">
        <v>5.9</v>
      </c>
      <c r="M941" t="str">
        <f>IF(acs2015_county_data[[#This Row],[PublicWork]]&gt;='Описательные характеристики'!$F$5,"да","нет")</f>
        <v>да</v>
      </c>
      <c r="N941" t="str">
        <f>IF(acs2015_county_data[[#This Row],[Unemployment]]&gt;='Описательные характеристики'!$I$5,"да","нет")</f>
        <v>нет</v>
      </c>
    </row>
    <row r="942" spans="1:14" x14ac:dyDescent="0.35">
      <c r="A942">
        <v>20105</v>
      </c>
      <c r="B942" t="s">
        <v>643</v>
      </c>
      <c r="C942" t="s">
        <v>152</v>
      </c>
      <c r="D942" s="2">
        <v>3154</v>
      </c>
      <c r="E942" s="2">
        <v>24953</v>
      </c>
      <c r="F942" s="3">
        <v>5.3</v>
      </c>
      <c r="G942" s="3">
        <v>1497</v>
      </c>
      <c r="H942" s="3">
        <v>64.900000000000006</v>
      </c>
      <c r="I942" s="3">
        <v>23</v>
      </c>
      <c r="J942" s="3">
        <v>12.2</v>
      </c>
      <c r="K942" s="3">
        <v>0</v>
      </c>
      <c r="L942" s="3">
        <v>6.5</v>
      </c>
      <c r="M942" t="str">
        <f>IF(acs2015_county_data[[#This Row],[PublicWork]]&gt;='Описательные характеристики'!$F$5,"да","нет")</f>
        <v>да</v>
      </c>
      <c r="N942" t="str">
        <f>IF(acs2015_county_data[[#This Row],[Unemployment]]&gt;='Описательные характеристики'!$I$5,"да","нет")</f>
        <v>нет</v>
      </c>
    </row>
    <row r="943" spans="1:14" x14ac:dyDescent="0.35">
      <c r="A943">
        <v>20107</v>
      </c>
      <c r="B943" t="s">
        <v>643</v>
      </c>
      <c r="C943" t="s">
        <v>619</v>
      </c>
      <c r="D943" s="2">
        <v>9528</v>
      </c>
      <c r="E943" s="2">
        <v>26519</v>
      </c>
      <c r="F943" s="3">
        <v>5.3</v>
      </c>
      <c r="G943" s="3">
        <v>3987</v>
      </c>
      <c r="H943" s="3">
        <v>72.5</v>
      </c>
      <c r="I943" s="3">
        <v>18.3</v>
      </c>
      <c r="J943" s="3">
        <v>9</v>
      </c>
      <c r="K943" s="3">
        <v>0.2</v>
      </c>
      <c r="L943" s="3">
        <v>8.3000000000000007</v>
      </c>
      <c r="M943" t="str">
        <f>IF(acs2015_county_data[[#This Row],[PublicWork]]&gt;='Описательные характеристики'!$F$5,"да","нет")</f>
        <v>да</v>
      </c>
      <c r="N943" t="str">
        <f>IF(acs2015_county_data[[#This Row],[Unemployment]]&gt;='Описательные характеристики'!$I$5,"да","нет")</f>
        <v>да</v>
      </c>
    </row>
    <row r="944" spans="1:14" x14ac:dyDescent="0.35">
      <c r="A944">
        <v>20109</v>
      </c>
      <c r="B944" t="s">
        <v>643</v>
      </c>
      <c r="C944" t="s">
        <v>154</v>
      </c>
      <c r="D944" s="2">
        <v>2793</v>
      </c>
      <c r="E944" s="2">
        <v>28974</v>
      </c>
      <c r="F944" s="3">
        <v>8.3000000000000007</v>
      </c>
      <c r="G944" s="3">
        <v>1399</v>
      </c>
      <c r="H944" s="3">
        <v>59.8</v>
      </c>
      <c r="I944" s="3">
        <v>23</v>
      </c>
      <c r="J944" s="3">
        <v>16.899999999999999</v>
      </c>
      <c r="K944" s="3">
        <v>0.3</v>
      </c>
      <c r="L944" s="3">
        <v>3.9</v>
      </c>
      <c r="M944" t="str">
        <f>IF(acs2015_county_data[[#This Row],[PublicWork]]&gt;='Описательные характеристики'!$F$5,"да","нет")</f>
        <v>да</v>
      </c>
      <c r="N944" t="str">
        <f>IF(acs2015_county_data[[#This Row],[Unemployment]]&gt;='Описательные характеристики'!$I$5,"да","нет")</f>
        <v>нет</v>
      </c>
    </row>
    <row r="945" spans="1:14" x14ac:dyDescent="0.35">
      <c r="A945">
        <v>20111</v>
      </c>
      <c r="B945" t="s">
        <v>643</v>
      </c>
      <c r="C945" t="s">
        <v>622</v>
      </c>
      <c r="D945" s="2">
        <v>33462</v>
      </c>
      <c r="E945" s="2">
        <v>20943</v>
      </c>
      <c r="F945" s="3">
        <v>2.8</v>
      </c>
      <c r="G945" s="3">
        <v>16784</v>
      </c>
      <c r="H945" s="3">
        <v>75</v>
      </c>
      <c r="I945" s="3">
        <v>19.8</v>
      </c>
      <c r="J945" s="3">
        <v>5.2</v>
      </c>
      <c r="K945" s="3">
        <v>0.1</v>
      </c>
      <c r="L945" s="3">
        <v>7.2</v>
      </c>
      <c r="M945" t="str">
        <f>IF(acs2015_county_data[[#This Row],[PublicWork]]&gt;='Описательные характеристики'!$F$5,"да","нет")</f>
        <v>да</v>
      </c>
      <c r="N945" t="str">
        <f>IF(acs2015_county_data[[#This Row],[Unemployment]]&gt;='Описательные характеристики'!$I$5,"да","нет")</f>
        <v>нет</v>
      </c>
    </row>
    <row r="946" spans="1:14" x14ac:dyDescent="0.35">
      <c r="A946">
        <v>20113</v>
      </c>
      <c r="B946" t="s">
        <v>643</v>
      </c>
      <c r="C946" t="s">
        <v>674</v>
      </c>
      <c r="D946" s="2">
        <v>29252</v>
      </c>
      <c r="E946" s="2">
        <v>28396</v>
      </c>
      <c r="F946" s="3">
        <v>3.4</v>
      </c>
      <c r="G946" s="3">
        <v>15406</v>
      </c>
      <c r="H946" s="3">
        <v>77.5</v>
      </c>
      <c r="I946" s="3">
        <v>12.2</v>
      </c>
      <c r="J946" s="3">
        <v>9.9</v>
      </c>
      <c r="K946" s="3">
        <v>0.4</v>
      </c>
      <c r="L946" s="3">
        <v>3.1</v>
      </c>
      <c r="M946" t="str">
        <f>IF(acs2015_county_data[[#This Row],[PublicWork]]&gt;='Описательные характеристики'!$F$5,"да","нет")</f>
        <v>нет</v>
      </c>
      <c r="N946" t="str">
        <f>IF(acs2015_county_data[[#This Row],[Unemployment]]&gt;='Описательные характеристики'!$I$5,"да","нет")</f>
        <v>нет</v>
      </c>
    </row>
    <row r="947" spans="1:14" x14ac:dyDescent="0.35">
      <c r="A947">
        <v>20115</v>
      </c>
      <c r="B947" t="s">
        <v>643</v>
      </c>
      <c r="C947" t="s">
        <v>59</v>
      </c>
      <c r="D947" s="2">
        <v>12290</v>
      </c>
      <c r="E947" s="2">
        <v>23642</v>
      </c>
      <c r="F947" s="3">
        <v>6.4</v>
      </c>
      <c r="G947" s="3">
        <v>5820</v>
      </c>
      <c r="H947" s="3">
        <v>73.7</v>
      </c>
      <c r="I947" s="3">
        <v>15.6</v>
      </c>
      <c r="J947" s="3">
        <v>10.1</v>
      </c>
      <c r="K947" s="3">
        <v>0.6</v>
      </c>
      <c r="L947" s="3">
        <v>5</v>
      </c>
      <c r="M947" t="str">
        <f>IF(acs2015_county_data[[#This Row],[PublicWork]]&gt;='Описательные характеристики'!$F$5,"да","нет")</f>
        <v>нет</v>
      </c>
      <c r="N947" t="str">
        <f>IF(acs2015_county_data[[#This Row],[Unemployment]]&gt;='Описательные характеристики'!$I$5,"да","нет")</f>
        <v>нет</v>
      </c>
    </row>
    <row r="948" spans="1:14" x14ac:dyDescent="0.35">
      <c r="A948">
        <v>20117</v>
      </c>
      <c r="B948" t="s">
        <v>643</v>
      </c>
      <c r="C948" t="s">
        <v>60</v>
      </c>
      <c r="D948" s="2">
        <v>10005</v>
      </c>
      <c r="E948" s="2">
        <v>26313</v>
      </c>
      <c r="F948" s="3">
        <v>4.5</v>
      </c>
      <c r="G948" s="3">
        <v>4933</v>
      </c>
      <c r="H948" s="3">
        <v>75.099999999999994</v>
      </c>
      <c r="I948" s="3">
        <v>13.8</v>
      </c>
      <c r="J948" s="3">
        <v>10.8</v>
      </c>
      <c r="K948" s="3">
        <v>0.3</v>
      </c>
      <c r="L948" s="3">
        <v>3</v>
      </c>
      <c r="M948" t="str">
        <f>IF(acs2015_county_data[[#This Row],[PublicWork]]&gt;='Описательные характеристики'!$F$5,"да","нет")</f>
        <v>нет</v>
      </c>
      <c r="N948" t="str">
        <f>IF(acs2015_county_data[[#This Row],[Unemployment]]&gt;='Описательные характеристики'!$I$5,"да","нет")</f>
        <v>нет</v>
      </c>
    </row>
    <row r="949" spans="1:14" x14ac:dyDescent="0.35">
      <c r="A949">
        <v>20119</v>
      </c>
      <c r="B949" t="s">
        <v>643</v>
      </c>
      <c r="C949" t="s">
        <v>675</v>
      </c>
      <c r="D949" s="2">
        <v>4383</v>
      </c>
      <c r="E949" s="2">
        <v>23446</v>
      </c>
      <c r="F949" s="3">
        <v>6.6</v>
      </c>
      <c r="G949" s="3">
        <v>2137</v>
      </c>
      <c r="H949" s="3">
        <v>61.2</v>
      </c>
      <c r="I949" s="3">
        <v>28.4</v>
      </c>
      <c r="J949" s="3">
        <v>10.3</v>
      </c>
      <c r="K949" s="3">
        <v>0.2</v>
      </c>
      <c r="L949" s="3">
        <v>2.8</v>
      </c>
      <c r="M949" t="str">
        <f>IF(acs2015_county_data[[#This Row],[PublicWork]]&gt;='Описательные характеристики'!$F$5,"да","нет")</f>
        <v>да</v>
      </c>
      <c r="N949" t="str">
        <f>IF(acs2015_county_data[[#This Row],[Unemployment]]&gt;='Описательные характеристики'!$I$5,"да","нет")</f>
        <v>нет</v>
      </c>
    </row>
    <row r="950" spans="1:14" x14ac:dyDescent="0.35">
      <c r="A950">
        <v>20121</v>
      </c>
      <c r="B950" t="s">
        <v>643</v>
      </c>
      <c r="C950" t="s">
        <v>576</v>
      </c>
      <c r="D950" s="2">
        <v>32688</v>
      </c>
      <c r="E950" s="2">
        <v>29413</v>
      </c>
      <c r="F950" s="3">
        <v>5.0999999999999996</v>
      </c>
      <c r="G950" s="3">
        <v>16030</v>
      </c>
      <c r="H950" s="3">
        <v>80.3</v>
      </c>
      <c r="I950" s="3">
        <v>13.7</v>
      </c>
      <c r="J950" s="3">
        <v>5.9</v>
      </c>
      <c r="K950" s="3">
        <v>0.1</v>
      </c>
      <c r="L950" s="3">
        <v>5.6</v>
      </c>
      <c r="M950" t="str">
        <f>IF(acs2015_county_data[[#This Row],[PublicWork]]&gt;='Описательные характеристики'!$F$5,"да","нет")</f>
        <v>нет</v>
      </c>
      <c r="N950" t="str">
        <f>IF(acs2015_county_data[[#This Row],[Unemployment]]&gt;='Описательные характеристики'!$I$5,"да","нет")</f>
        <v>нет</v>
      </c>
    </row>
    <row r="951" spans="1:14" x14ac:dyDescent="0.35">
      <c r="A951">
        <v>20123</v>
      </c>
      <c r="B951" t="s">
        <v>643</v>
      </c>
      <c r="C951" t="s">
        <v>423</v>
      </c>
      <c r="D951" s="2">
        <v>6296</v>
      </c>
      <c r="E951" s="2">
        <v>27555</v>
      </c>
      <c r="F951" s="3">
        <v>3.6</v>
      </c>
      <c r="G951" s="3">
        <v>3086</v>
      </c>
      <c r="H951" s="3">
        <v>73</v>
      </c>
      <c r="I951" s="3">
        <v>15.5</v>
      </c>
      <c r="J951" s="3">
        <v>11.1</v>
      </c>
      <c r="K951" s="3">
        <v>0.4</v>
      </c>
      <c r="L951" s="3">
        <v>2.6</v>
      </c>
      <c r="M951" t="str">
        <f>IF(acs2015_county_data[[#This Row],[PublicWork]]&gt;='Описательные характеристики'!$F$5,"да","нет")</f>
        <v>нет</v>
      </c>
      <c r="N951" t="str">
        <f>IF(acs2015_county_data[[#This Row],[Unemployment]]&gt;='Описательные характеристики'!$I$5,"да","нет")</f>
        <v>нет</v>
      </c>
    </row>
    <row r="952" spans="1:14" x14ac:dyDescent="0.35">
      <c r="A952">
        <v>20125</v>
      </c>
      <c r="B952" t="s">
        <v>643</v>
      </c>
      <c r="C952" t="s">
        <v>158</v>
      </c>
      <c r="D952" s="2">
        <v>34184</v>
      </c>
      <c r="E952" s="2">
        <v>20864</v>
      </c>
      <c r="F952" s="3">
        <v>1.8</v>
      </c>
      <c r="G952" s="3">
        <v>14514</v>
      </c>
      <c r="H952" s="3">
        <v>77.900000000000006</v>
      </c>
      <c r="I952" s="3">
        <v>15</v>
      </c>
      <c r="J952" s="3">
        <v>6.8</v>
      </c>
      <c r="K952" s="3">
        <v>0.3</v>
      </c>
      <c r="L952" s="3">
        <v>8.6999999999999993</v>
      </c>
      <c r="M952" t="str">
        <f>IF(acs2015_county_data[[#This Row],[PublicWork]]&gt;='Описательные характеристики'!$F$5,"да","нет")</f>
        <v>нет</v>
      </c>
      <c r="N952" t="str">
        <f>IF(acs2015_county_data[[#This Row],[Unemployment]]&gt;='Описательные характеристики'!$I$5,"да","нет")</f>
        <v>да</v>
      </c>
    </row>
    <row r="953" spans="1:14" x14ac:dyDescent="0.35">
      <c r="A953">
        <v>20127</v>
      </c>
      <c r="B953" t="s">
        <v>643</v>
      </c>
      <c r="C953" t="s">
        <v>676</v>
      </c>
      <c r="D953" s="2">
        <v>5750</v>
      </c>
      <c r="E953" s="2">
        <v>23928</v>
      </c>
      <c r="F953" s="3">
        <v>7.4</v>
      </c>
      <c r="G953" s="3">
        <v>2819</v>
      </c>
      <c r="H953" s="3">
        <v>66.5</v>
      </c>
      <c r="I953" s="3">
        <v>19.3</v>
      </c>
      <c r="J953" s="3">
        <v>13.7</v>
      </c>
      <c r="K953" s="3">
        <v>0.5</v>
      </c>
      <c r="L953" s="3">
        <v>3.2</v>
      </c>
      <c r="M953" t="str">
        <f>IF(acs2015_county_data[[#This Row],[PublicWork]]&gt;='Описательные характеристики'!$F$5,"да","нет")</f>
        <v>да</v>
      </c>
      <c r="N953" t="str">
        <f>IF(acs2015_county_data[[#This Row],[Unemployment]]&gt;='Описательные характеристики'!$I$5,"да","нет")</f>
        <v>нет</v>
      </c>
    </row>
    <row r="954" spans="1:14" x14ac:dyDescent="0.35">
      <c r="A954">
        <v>20129</v>
      </c>
      <c r="B954" t="s">
        <v>643</v>
      </c>
      <c r="C954" t="s">
        <v>677</v>
      </c>
      <c r="D954" s="2">
        <v>3106</v>
      </c>
      <c r="E954" s="2">
        <v>22297</v>
      </c>
      <c r="F954" s="3">
        <v>4.5</v>
      </c>
      <c r="G954" s="3">
        <v>1408</v>
      </c>
      <c r="H954" s="3">
        <v>66.3</v>
      </c>
      <c r="I954" s="3">
        <v>21.7</v>
      </c>
      <c r="J954" s="3">
        <v>12</v>
      </c>
      <c r="K954" s="3">
        <v>0</v>
      </c>
      <c r="L954" s="3">
        <v>5.8</v>
      </c>
      <c r="M954" t="str">
        <f>IF(acs2015_county_data[[#This Row],[PublicWork]]&gt;='Описательные характеристики'!$F$5,"да","нет")</f>
        <v>да</v>
      </c>
      <c r="N954" t="str">
        <f>IF(acs2015_county_data[[#This Row],[Unemployment]]&gt;='Описательные характеристики'!$I$5,"да","нет")</f>
        <v>нет</v>
      </c>
    </row>
    <row r="955" spans="1:14" x14ac:dyDescent="0.35">
      <c r="A955">
        <v>20131</v>
      </c>
      <c r="B955" t="s">
        <v>643</v>
      </c>
      <c r="C955" t="s">
        <v>678</v>
      </c>
      <c r="D955" s="2">
        <v>10159</v>
      </c>
      <c r="E955" s="2">
        <v>26041</v>
      </c>
      <c r="F955" s="3">
        <v>5.0999999999999996</v>
      </c>
      <c r="G955" s="3">
        <v>5302</v>
      </c>
      <c r="H955" s="3">
        <v>77</v>
      </c>
      <c r="I955" s="3">
        <v>13.1</v>
      </c>
      <c r="J955" s="3">
        <v>9.4</v>
      </c>
      <c r="K955" s="3">
        <v>0.5</v>
      </c>
      <c r="L955" s="3">
        <v>1.7</v>
      </c>
      <c r="M955" t="str">
        <f>IF(acs2015_county_data[[#This Row],[PublicWork]]&gt;='Описательные характеристики'!$F$5,"да","нет")</f>
        <v>нет</v>
      </c>
      <c r="N955" t="str">
        <f>IF(acs2015_county_data[[#This Row],[Unemployment]]&gt;='Описательные характеристики'!$I$5,"да","нет")</f>
        <v>нет</v>
      </c>
    </row>
    <row r="956" spans="1:14" x14ac:dyDescent="0.35">
      <c r="A956">
        <v>20133</v>
      </c>
      <c r="B956" t="s">
        <v>643</v>
      </c>
      <c r="C956" t="s">
        <v>679</v>
      </c>
      <c r="D956" s="2">
        <v>16423</v>
      </c>
      <c r="E956" s="2">
        <v>22354</v>
      </c>
      <c r="F956" s="3">
        <v>2.8</v>
      </c>
      <c r="G956" s="3">
        <v>7816</v>
      </c>
      <c r="H956" s="3">
        <v>70.900000000000006</v>
      </c>
      <c r="I956" s="3">
        <v>20.5</v>
      </c>
      <c r="J956" s="3">
        <v>8.4</v>
      </c>
      <c r="K956" s="3">
        <v>0.2</v>
      </c>
      <c r="L956" s="3">
        <v>4.7</v>
      </c>
      <c r="M956" t="str">
        <f>IF(acs2015_county_data[[#This Row],[PublicWork]]&gt;='Описательные характеристики'!$F$5,"да","нет")</f>
        <v>да</v>
      </c>
      <c r="N956" t="str">
        <f>IF(acs2015_county_data[[#This Row],[Unemployment]]&gt;='Описательные характеристики'!$I$5,"да","нет")</f>
        <v>нет</v>
      </c>
    </row>
    <row r="957" spans="1:14" x14ac:dyDescent="0.35">
      <c r="A957">
        <v>20135</v>
      </c>
      <c r="B957" t="s">
        <v>643</v>
      </c>
      <c r="C957" t="s">
        <v>680</v>
      </c>
      <c r="D957" s="2">
        <v>3077</v>
      </c>
      <c r="E957" s="2">
        <v>29968</v>
      </c>
      <c r="F957" s="3">
        <v>7</v>
      </c>
      <c r="G957" s="3">
        <v>1524</v>
      </c>
      <c r="H957" s="3">
        <v>60.2</v>
      </c>
      <c r="I957" s="3">
        <v>22.1</v>
      </c>
      <c r="J957" s="3">
        <v>17.5</v>
      </c>
      <c r="K957" s="3">
        <v>0.2</v>
      </c>
      <c r="L957" s="3">
        <v>2.7</v>
      </c>
      <c r="M957" t="str">
        <f>IF(acs2015_county_data[[#This Row],[PublicWork]]&gt;='Описательные характеристики'!$F$5,"да","нет")</f>
        <v>да</v>
      </c>
      <c r="N957" t="str">
        <f>IF(acs2015_county_data[[#This Row],[Unemployment]]&gt;='Описательные характеристики'!$I$5,"да","нет")</f>
        <v>нет</v>
      </c>
    </row>
    <row r="958" spans="1:14" x14ac:dyDescent="0.35">
      <c r="A958">
        <v>20137</v>
      </c>
      <c r="B958" t="s">
        <v>643</v>
      </c>
      <c r="C958" t="s">
        <v>681</v>
      </c>
      <c r="D958" s="2">
        <v>5590</v>
      </c>
      <c r="E958" s="2">
        <v>23702</v>
      </c>
      <c r="F958" s="3">
        <v>4.8</v>
      </c>
      <c r="G958" s="3">
        <v>2650</v>
      </c>
      <c r="H958" s="3">
        <v>66.099999999999994</v>
      </c>
      <c r="I958" s="3">
        <v>21.8</v>
      </c>
      <c r="J958" s="3">
        <v>12</v>
      </c>
      <c r="K958" s="3">
        <v>0.1</v>
      </c>
      <c r="L958" s="3">
        <v>1.7</v>
      </c>
      <c r="M958" t="str">
        <f>IF(acs2015_county_data[[#This Row],[PublicWork]]&gt;='Описательные характеристики'!$F$5,"да","нет")</f>
        <v>да</v>
      </c>
      <c r="N958" t="str">
        <f>IF(acs2015_county_data[[#This Row],[Unemployment]]&gt;='Описательные характеристики'!$I$5,"да","нет")</f>
        <v>нет</v>
      </c>
    </row>
    <row r="959" spans="1:14" x14ac:dyDescent="0.35">
      <c r="A959">
        <v>20139</v>
      </c>
      <c r="B959" t="s">
        <v>643</v>
      </c>
      <c r="C959" t="s">
        <v>682</v>
      </c>
      <c r="D959" s="2">
        <v>16080</v>
      </c>
      <c r="E959" s="2">
        <v>24243</v>
      </c>
      <c r="F959" s="3">
        <v>3.4</v>
      </c>
      <c r="G959" s="3">
        <v>7264</v>
      </c>
      <c r="H959" s="3">
        <v>72.599999999999994</v>
      </c>
      <c r="I959" s="3">
        <v>19.8</v>
      </c>
      <c r="J959" s="3">
        <v>7.5</v>
      </c>
      <c r="K959" s="3">
        <v>0.1</v>
      </c>
      <c r="L959" s="3">
        <v>8.1999999999999993</v>
      </c>
      <c r="M959" t="str">
        <f>IF(acs2015_county_data[[#This Row],[PublicWork]]&gt;='Описательные характеристики'!$F$5,"да","нет")</f>
        <v>да</v>
      </c>
      <c r="N959" t="str">
        <f>IF(acs2015_county_data[[#This Row],[Unemployment]]&gt;='Описательные характеристики'!$I$5,"да","нет")</f>
        <v>да</v>
      </c>
    </row>
    <row r="960" spans="1:14" x14ac:dyDescent="0.35">
      <c r="A960">
        <v>20141</v>
      </c>
      <c r="B960" t="s">
        <v>643</v>
      </c>
      <c r="C960" t="s">
        <v>683</v>
      </c>
      <c r="D960" s="2">
        <v>3782</v>
      </c>
      <c r="E960" s="2">
        <v>27132</v>
      </c>
      <c r="F960" s="3">
        <v>5.4</v>
      </c>
      <c r="G960" s="3">
        <v>1884</v>
      </c>
      <c r="H960" s="3">
        <v>63.4</v>
      </c>
      <c r="I960" s="3">
        <v>20.100000000000001</v>
      </c>
      <c r="J960" s="3">
        <v>14.6</v>
      </c>
      <c r="K960" s="3">
        <v>1.9</v>
      </c>
      <c r="L960" s="3">
        <v>4</v>
      </c>
      <c r="M960" t="str">
        <f>IF(acs2015_county_data[[#This Row],[PublicWork]]&gt;='Описательные характеристики'!$F$5,"да","нет")</f>
        <v>да</v>
      </c>
      <c r="N960" t="str">
        <f>IF(acs2015_county_data[[#This Row],[Unemployment]]&gt;='Описательные характеристики'!$I$5,"да","нет")</f>
        <v>нет</v>
      </c>
    </row>
    <row r="961" spans="1:14" x14ac:dyDescent="0.35">
      <c r="A961">
        <v>20143</v>
      </c>
      <c r="B961" t="s">
        <v>643</v>
      </c>
      <c r="C961" t="s">
        <v>684</v>
      </c>
      <c r="D961" s="2">
        <v>6048</v>
      </c>
      <c r="E961" s="2">
        <v>26260</v>
      </c>
      <c r="F961" s="3">
        <v>7.4</v>
      </c>
      <c r="G961" s="3">
        <v>3008</v>
      </c>
      <c r="H961" s="3">
        <v>73.2</v>
      </c>
      <c r="I961" s="3">
        <v>12.5</v>
      </c>
      <c r="J961" s="3">
        <v>14</v>
      </c>
      <c r="K961" s="3">
        <v>0.3</v>
      </c>
      <c r="L961" s="3">
        <v>5.3</v>
      </c>
      <c r="M961" t="str">
        <f>IF(acs2015_county_data[[#This Row],[PublicWork]]&gt;='Описательные характеристики'!$F$5,"да","нет")</f>
        <v>нет</v>
      </c>
      <c r="N961" t="str">
        <f>IF(acs2015_county_data[[#This Row],[Unemployment]]&gt;='Описательные характеристики'!$I$5,"да","нет")</f>
        <v>нет</v>
      </c>
    </row>
    <row r="962" spans="1:14" x14ac:dyDescent="0.35">
      <c r="A962">
        <v>20145</v>
      </c>
      <c r="B962" t="s">
        <v>643</v>
      </c>
      <c r="C962" t="s">
        <v>685</v>
      </c>
      <c r="D962" s="2">
        <v>6911</v>
      </c>
      <c r="E962" s="2">
        <v>24125</v>
      </c>
      <c r="F962" s="3">
        <v>3</v>
      </c>
      <c r="G962" s="3">
        <v>3012</v>
      </c>
      <c r="H962" s="3">
        <v>60.5</v>
      </c>
      <c r="I962" s="3">
        <v>27.6</v>
      </c>
      <c r="J962" s="3">
        <v>11.4</v>
      </c>
      <c r="K962" s="3">
        <v>0.5</v>
      </c>
      <c r="L962" s="3">
        <v>1.9</v>
      </c>
      <c r="M962" t="str">
        <f>IF(acs2015_county_data[[#This Row],[PublicWork]]&gt;='Описательные характеристики'!$F$5,"да","нет")</f>
        <v>да</v>
      </c>
      <c r="N962" t="str">
        <f>IF(acs2015_county_data[[#This Row],[Unemployment]]&gt;='Описательные характеристики'!$I$5,"да","нет")</f>
        <v>нет</v>
      </c>
    </row>
    <row r="963" spans="1:14" x14ac:dyDescent="0.35">
      <c r="A963">
        <v>20147</v>
      </c>
      <c r="B963" t="s">
        <v>643</v>
      </c>
      <c r="C963" t="s">
        <v>162</v>
      </c>
      <c r="D963" s="2">
        <v>5501</v>
      </c>
      <c r="E963" s="2">
        <v>25072</v>
      </c>
      <c r="F963" s="3">
        <v>7.1</v>
      </c>
      <c r="G963" s="3">
        <v>2746</v>
      </c>
      <c r="H963" s="3">
        <v>68.8</v>
      </c>
      <c r="I963" s="3">
        <v>19.600000000000001</v>
      </c>
      <c r="J963" s="3">
        <v>11.6</v>
      </c>
      <c r="K963" s="3">
        <v>0</v>
      </c>
      <c r="L963" s="3">
        <v>4.3</v>
      </c>
      <c r="M963" t="str">
        <f>IF(acs2015_county_data[[#This Row],[PublicWork]]&gt;='Описательные характеристики'!$F$5,"да","нет")</f>
        <v>да</v>
      </c>
      <c r="N963" t="str">
        <f>IF(acs2015_county_data[[#This Row],[Unemployment]]&gt;='Описательные характеристики'!$I$5,"да","нет")</f>
        <v>нет</v>
      </c>
    </row>
    <row r="964" spans="1:14" x14ac:dyDescent="0.35">
      <c r="A964">
        <v>20149</v>
      </c>
      <c r="B964" t="s">
        <v>643</v>
      </c>
      <c r="C964" t="s">
        <v>686</v>
      </c>
      <c r="D964" s="2">
        <v>22625</v>
      </c>
      <c r="E964" s="2">
        <v>25964</v>
      </c>
      <c r="F964" s="3">
        <v>3.5</v>
      </c>
      <c r="G964" s="3">
        <v>10795</v>
      </c>
      <c r="H964" s="3">
        <v>69</v>
      </c>
      <c r="I964" s="3">
        <v>22.8</v>
      </c>
      <c r="J964" s="3">
        <v>7.8</v>
      </c>
      <c r="K964" s="3">
        <v>0.4</v>
      </c>
      <c r="L964" s="3">
        <v>3.7</v>
      </c>
      <c r="M964" t="str">
        <f>IF(acs2015_county_data[[#This Row],[PublicWork]]&gt;='Описательные характеристики'!$F$5,"да","нет")</f>
        <v>да</v>
      </c>
      <c r="N964" t="str">
        <f>IF(acs2015_county_data[[#This Row],[Unemployment]]&gt;='Описательные характеристики'!$I$5,"да","нет")</f>
        <v>нет</v>
      </c>
    </row>
    <row r="965" spans="1:14" x14ac:dyDescent="0.35">
      <c r="A965">
        <v>20151</v>
      </c>
      <c r="B965" t="s">
        <v>643</v>
      </c>
      <c r="C965" t="s">
        <v>687</v>
      </c>
      <c r="D965" s="2">
        <v>9739</v>
      </c>
      <c r="E965" s="2">
        <v>27078</v>
      </c>
      <c r="F965" s="3">
        <v>2.5</v>
      </c>
      <c r="G965" s="3">
        <v>4618</v>
      </c>
      <c r="H965" s="3">
        <v>71.900000000000006</v>
      </c>
      <c r="I965" s="3">
        <v>17.2</v>
      </c>
      <c r="J965" s="3">
        <v>9.6</v>
      </c>
      <c r="K965" s="3">
        <v>1.3</v>
      </c>
      <c r="L965" s="3">
        <v>5.6</v>
      </c>
      <c r="M965" t="str">
        <f>IF(acs2015_county_data[[#This Row],[PublicWork]]&gt;='Описательные характеристики'!$F$5,"да","нет")</f>
        <v>да</v>
      </c>
      <c r="N965" t="str">
        <f>IF(acs2015_county_data[[#This Row],[Unemployment]]&gt;='Описательные характеристики'!$I$5,"да","нет")</f>
        <v>нет</v>
      </c>
    </row>
    <row r="966" spans="1:14" x14ac:dyDescent="0.35">
      <c r="A966">
        <v>20153</v>
      </c>
      <c r="B966" t="s">
        <v>643</v>
      </c>
      <c r="C966" t="s">
        <v>688</v>
      </c>
      <c r="D966" s="2">
        <v>2545</v>
      </c>
      <c r="E966" s="2">
        <v>27559</v>
      </c>
      <c r="F966" s="3">
        <v>12.2</v>
      </c>
      <c r="G966" s="3">
        <v>1247</v>
      </c>
      <c r="H966" s="3">
        <v>62.9</v>
      </c>
      <c r="I966" s="3">
        <v>15.7</v>
      </c>
      <c r="J966" s="3">
        <v>20.6</v>
      </c>
      <c r="K966" s="3">
        <v>0.8</v>
      </c>
      <c r="L966" s="3">
        <v>2.2999999999999998</v>
      </c>
      <c r="M966" t="str">
        <f>IF(acs2015_county_data[[#This Row],[PublicWork]]&gt;='Описательные характеристики'!$F$5,"да","нет")</f>
        <v>нет</v>
      </c>
      <c r="N966" t="str">
        <f>IF(acs2015_county_data[[#This Row],[Unemployment]]&gt;='Описательные характеристики'!$I$5,"да","нет")</f>
        <v>нет</v>
      </c>
    </row>
    <row r="967" spans="1:14" x14ac:dyDescent="0.35">
      <c r="A967">
        <v>20155</v>
      </c>
      <c r="B967" t="s">
        <v>643</v>
      </c>
      <c r="C967" t="s">
        <v>689</v>
      </c>
      <c r="D967" s="2">
        <v>64058</v>
      </c>
      <c r="E967" s="2">
        <v>23578</v>
      </c>
      <c r="F967" s="3">
        <v>4</v>
      </c>
      <c r="G967" s="3">
        <v>29564</v>
      </c>
      <c r="H967" s="3">
        <v>78.7</v>
      </c>
      <c r="I967" s="3">
        <v>15.3</v>
      </c>
      <c r="J967" s="3">
        <v>5.8</v>
      </c>
      <c r="K967" s="3">
        <v>0.3</v>
      </c>
      <c r="L967" s="3">
        <v>5.7</v>
      </c>
      <c r="M967" t="str">
        <f>IF(acs2015_county_data[[#This Row],[PublicWork]]&gt;='Описательные характеристики'!$F$5,"да","нет")</f>
        <v>нет</v>
      </c>
      <c r="N967" t="str">
        <f>IF(acs2015_county_data[[#This Row],[Unemployment]]&gt;='Описательные характеристики'!$I$5,"да","нет")</f>
        <v>нет</v>
      </c>
    </row>
    <row r="968" spans="1:14" x14ac:dyDescent="0.35">
      <c r="A968">
        <v>20157</v>
      </c>
      <c r="B968" t="s">
        <v>643</v>
      </c>
      <c r="C968" t="s">
        <v>690</v>
      </c>
      <c r="D968" s="2">
        <v>4806</v>
      </c>
      <c r="E968" s="2">
        <v>25317</v>
      </c>
      <c r="F968" s="3">
        <v>7.3</v>
      </c>
      <c r="G968" s="3">
        <v>2455</v>
      </c>
      <c r="H968" s="3">
        <v>69.5</v>
      </c>
      <c r="I968" s="3">
        <v>16</v>
      </c>
      <c r="J968" s="3">
        <v>14.1</v>
      </c>
      <c r="K968" s="3">
        <v>0.4</v>
      </c>
      <c r="L968" s="3">
        <v>3.8</v>
      </c>
      <c r="M968" t="str">
        <f>IF(acs2015_county_data[[#This Row],[PublicWork]]&gt;='Описательные характеристики'!$F$5,"да","нет")</f>
        <v>нет</v>
      </c>
      <c r="N968" t="str">
        <f>IF(acs2015_county_data[[#This Row],[Unemployment]]&gt;='Описательные характеристики'!$I$5,"да","нет")</f>
        <v>нет</v>
      </c>
    </row>
    <row r="969" spans="1:14" x14ac:dyDescent="0.35">
      <c r="A969">
        <v>20159</v>
      </c>
      <c r="B969" t="s">
        <v>643</v>
      </c>
      <c r="C969" t="s">
        <v>691</v>
      </c>
      <c r="D969" s="2">
        <v>10014</v>
      </c>
      <c r="E969" s="2">
        <v>23687</v>
      </c>
      <c r="F969" s="3">
        <v>2.8</v>
      </c>
      <c r="G969" s="3">
        <v>4905</v>
      </c>
      <c r="H969" s="3">
        <v>75.099999999999994</v>
      </c>
      <c r="I969" s="3">
        <v>17.2</v>
      </c>
      <c r="J969" s="3">
        <v>7.4</v>
      </c>
      <c r="K969" s="3">
        <v>0.3</v>
      </c>
      <c r="L969" s="3">
        <v>5.5</v>
      </c>
      <c r="M969" t="str">
        <f>IF(acs2015_county_data[[#This Row],[PublicWork]]&gt;='Описательные характеристики'!$F$5,"да","нет")</f>
        <v>да</v>
      </c>
      <c r="N969" t="str">
        <f>IF(acs2015_county_data[[#This Row],[Unemployment]]&gt;='Описательные характеристики'!$I$5,"да","нет")</f>
        <v>нет</v>
      </c>
    </row>
    <row r="970" spans="1:14" x14ac:dyDescent="0.35">
      <c r="A970">
        <v>20161</v>
      </c>
      <c r="B970" t="s">
        <v>643</v>
      </c>
      <c r="C970" t="s">
        <v>692</v>
      </c>
      <c r="D970" s="2">
        <v>75022</v>
      </c>
      <c r="E970" s="2">
        <v>23992</v>
      </c>
      <c r="F970" s="3">
        <v>8.3000000000000007</v>
      </c>
      <c r="G970" s="3">
        <v>34186</v>
      </c>
      <c r="H970" s="3">
        <v>65.099999999999994</v>
      </c>
      <c r="I970" s="3">
        <v>30.5</v>
      </c>
      <c r="J970" s="3">
        <v>4.3</v>
      </c>
      <c r="K970" s="3">
        <v>0.1</v>
      </c>
      <c r="L970" s="3">
        <v>5.8</v>
      </c>
      <c r="M970" t="str">
        <f>IF(acs2015_county_data[[#This Row],[PublicWork]]&gt;='Описательные характеристики'!$F$5,"да","нет")</f>
        <v>да</v>
      </c>
      <c r="N970" t="str">
        <f>IF(acs2015_county_data[[#This Row],[Unemployment]]&gt;='Описательные характеристики'!$I$5,"да","нет")</f>
        <v>нет</v>
      </c>
    </row>
    <row r="971" spans="1:14" x14ac:dyDescent="0.35">
      <c r="A971">
        <v>20163</v>
      </c>
      <c r="B971" t="s">
        <v>643</v>
      </c>
      <c r="C971" t="s">
        <v>693</v>
      </c>
      <c r="D971" s="2">
        <v>5186</v>
      </c>
      <c r="E971" s="2">
        <v>23891</v>
      </c>
      <c r="F971" s="3">
        <v>4.5999999999999996</v>
      </c>
      <c r="G971" s="3">
        <v>2626</v>
      </c>
      <c r="H971" s="3">
        <v>66.599999999999994</v>
      </c>
      <c r="I971" s="3">
        <v>20.9</v>
      </c>
      <c r="J971" s="3">
        <v>12.1</v>
      </c>
      <c r="K971" s="3">
        <v>0.3</v>
      </c>
      <c r="L971" s="3">
        <v>4.0999999999999996</v>
      </c>
      <c r="M971" t="str">
        <f>IF(acs2015_county_data[[#This Row],[PublicWork]]&gt;='Описательные характеристики'!$F$5,"да","нет")</f>
        <v>да</v>
      </c>
      <c r="N971" t="str">
        <f>IF(acs2015_county_data[[#This Row],[Unemployment]]&gt;='Описательные характеристики'!$I$5,"да","нет")</f>
        <v>нет</v>
      </c>
    </row>
    <row r="972" spans="1:14" x14ac:dyDescent="0.35">
      <c r="A972">
        <v>20165</v>
      </c>
      <c r="B972" t="s">
        <v>643</v>
      </c>
      <c r="C972" t="s">
        <v>584</v>
      </c>
      <c r="D972" s="2">
        <v>3184</v>
      </c>
      <c r="E972" s="2">
        <v>24843</v>
      </c>
      <c r="F972" s="3">
        <v>7.4</v>
      </c>
      <c r="G972" s="3">
        <v>1577</v>
      </c>
      <c r="H972" s="3">
        <v>59</v>
      </c>
      <c r="I972" s="3">
        <v>23</v>
      </c>
      <c r="J972" s="3">
        <v>17.5</v>
      </c>
      <c r="K972" s="3">
        <v>0.4</v>
      </c>
      <c r="L972" s="3">
        <v>5.6</v>
      </c>
      <c r="M972" t="str">
        <f>IF(acs2015_county_data[[#This Row],[PublicWork]]&gt;='Описательные характеристики'!$F$5,"да","нет")</f>
        <v>да</v>
      </c>
      <c r="N972" t="str">
        <f>IF(acs2015_county_data[[#This Row],[Unemployment]]&gt;='Описательные характеристики'!$I$5,"да","нет")</f>
        <v>нет</v>
      </c>
    </row>
    <row r="973" spans="1:14" x14ac:dyDescent="0.35">
      <c r="A973">
        <v>20167</v>
      </c>
      <c r="B973" t="s">
        <v>643</v>
      </c>
      <c r="C973" t="s">
        <v>68</v>
      </c>
      <c r="D973" s="2">
        <v>6988</v>
      </c>
      <c r="E973" s="2">
        <v>26128</v>
      </c>
      <c r="F973" s="3">
        <v>5.8</v>
      </c>
      <c r="G973" s="3">
        <v>3463</v>
      </c>
      <c r="H973" s="3">
        <v>75.2</v>
      </c>
      <c r="I973" s="3">
        <v>14.7</v>
      </c>
      <c r="J973" s="3">
        <v>8.4</v>
      </c>
      <c r="K973" s="3">
        <v>1.7</v>
      </c>
      <c r="L973" s="3">
        <v>6.9</v>
      </c>
      <c r="M973" t="str">
        <f>IF(acs2015_county_data[[#This Row],[PublicWork]]&gt;='Описательные характеристики'!$F$5,"да","нет")</f>
        <v>нет</v>
      </c>
      <c r="N973" t="str">
        <f>IF(acs2015_county_data[[#This Row],[Unemployment]]&gt;='Описательные характеристики'!$I$5,"да","нет")</f>
        <v>нет</v>
      </c>
    </row>
    <row r="974" spans="1:14" x14ac:dyDescent="0.35">
      <c r="A974">
        <v>20169</v>
      </c>
      <c r="B974" t="s">
        <v>643</v>
      </c>
      <c r="C974" t="s">
        <v>168</v>
      </c>
      <c r="D974" s="2">
        <v>55735</v>
      </c>
      <c r="E974" s="2">
        <v>25641</v>
      </c>
      <c r="F974" s="3">
        <v>3.2</v>
      </c>
      <c r="G974" s="3">
        <v>28311</v>
      </c>
      <c r="H974" s="3">
        <v>83</v>
      </c>
      <c r="I974" s="3">
        <v>10.5</v>
      </c>
      <c r="J974" s="3">
        <v>6.3</v>
      </c>
      <c r="K974" s="3">
        <v>0.3</v>
      </c>
      <c r="L974" s="3">
        <v>5</v>
      </c>
      <c r="M974" t="str">
        <f>IF(acs2015_county_data[[#This Row],[PublicWork]]&gt;='Описательные характеристики'!$F$5,"да","нет")</f>
        <v>нет</v>
      </c>
      <c r="N974" t="str">
        <f>IF(acs2015_county_data[[#This Row],[Unemployment]]&gt;='Описательные характеристики'!$I$5,"да","нет")</f>
        <v>нет</v>
      </c>
    </row>
    <row r="975" spans="1:14" x14ac:dyDescent="0.35">
      <c r="A975">
        <v>20171</v>
      </c>
      <c r="B975" t="s">
        <v>643</v>
      </c>
      <c r="C975" t="s">
        <v>169</v>
      </c>
      <c r="D975" s="2">
        <v>4928</v>
      </c>
      <c r="E975" s="2">
        <v>30179</v>
      </c>
      <c r="F975" s="3">
        <v>2.4</v>
      </c>
      <c r="G975" s="3">
        <v>2613</v>
      </c>
      <c r="H975" s="3">
        <v>66.5</v>
      </c>
      <c r="I975" s="3">
        <v>16.5</v>
      </c>
      <c r="J975" s="3">
        <v>17</v>
      </c>
      <c r="K975" s="3">
        <v>0</v>
      </c>
      <c r="L975" s="3">
        <v>5.8</v>
      </c>
      <c r="M975" t="str">
        <f>IF(acs2015_county_data[[#This Row],[PublicWork]]&gt;='Описательные характеристики'!$F$5,"да","нет")</f>
        <v>да</v>
      </c>
      <c r="N975" t="str">
        <f>IF(acs2015_county_data[[#This Row],[Unemployment]]&gt;='Описательные характеристики'!$I$5,"да","нет")</f>
        <v>нет</v>
      </c>
    </row>
    <row r="976" spans="1:14" x14ac:dyDescent="0.35">
      <c r="A976">
        <v>20173</v>
      </c>
      <c r="B976" t="s">
        <v>643</v>
      </c>
      <c r="C976" t="s">
        <v>287</v>
      </c>
      <c r="D976" s="2">
        <v>506529</v>
      </c>
      <c r="E976" s="2">
        <v>26016</v>
      </c>
      <c r="F976" s="3">
        <v>3.1</v>
      </c>
      <c r="G976" s="3">
        <v>239060</v>
      </c>
      <c r="H976" s="3">
        <v>82.8</v>
      </c>
      <c r="I976" s="3">
        <v>12.5</v>
      </c>
      <c r="J976" s="3">
        <v>4.5999999999999996</v>
      </c>
      <c r="K976" s="3">
        <v>0.1</v>
      </c>
      <c r="L976" s="3">
        <v>6.9</v>
      </c>
      <c r="M976" t="str">
        <f>IF(acs2015_county_data[[#This Row],[PublicWork]]&gt;='Описательные характеристики'!$F$5,"да","нет")</f>
        <v>нет</v>
      </c>
      <c r="N976" t="str">
        <f>IF(acs2015_county_data[[#This Row],[Unemployment]]&gt;='Описательные характеристики'!$I$5,"да","нет")</f>
        <v>нет</v>
      </c>
    </row>
    <row r="977" spans="1:14" x14ac:dyDescent="0.35">
      <c r="A977">
        <v>20175</v>
      </c>
      <c r="B977" t="s">
        <v>643</v>
      </c>
      <c r="C977" t="s">
        <v>694</v>
      </c>
      <c r="D977" s="2">
        <v>23274</v>
      </c>
      <c r="E977" s="2">
        <v>20442</v>
      </c>
      <c r="F977" s="3">
        <v>3.5</v>
      </c>
      <c r="G977" s="3">
        <v>11031</v>
      </c>
      <c r="H977" s="3">
        <v>79</v>
      </c>
      <c r="I977" s="3">
        <v>15.3</v>
      </c>
      <c r="J977" s="3">
        <v>5.7</v>
      </c>
      <c r="K977" s="3">
        <v>0</v>
      </c>
      <c r="L977" s="3">
        <v>9</v>
      </c>
      <c r="M977" t="str">
        <f>IF(acs2015_county_data[[#This Row],[PublicWork]]&gt;='Описательные характеристики'!$F$5,"да","нет")</f>
        <v>нет</v>
      </c>
      <c r="N977" t="str">
        <f>IF(acs2015_county_data[[#This Row],[Unemployment]]&gt;='Описательные характеристики'!$I$5,"да","нет")</f>
        <v>да</v>
      </c>
    </row>
    <row r="978" spans="1:14" x14ac:dyDescent="0.35">
      <c r="A978">
        <v>20177</v>
      </c>
      <c r="B978" t="s">
        <v>643</v>
      </c>
      <c r="C978" t="s">
        <v>695</v>
      </c>
      <c r="D978" s="2">
        <v>178792</v>
      </c>
      <c r="E978" s="2">
        <v>26691</v>
      </c>
      <c r="F978" s="3">
        <v>2.9</v>
      </c>
      <c r="G978" s="3">
        <v>84199</v>
      </c>
      <c r="H978" s="3">
        <v>75.3</v>
      </c>
      <c r="I978" s="3">
        <v>20</v>
      </c>
      <c r="J978" s="3">
        <v>4.5999999999999996</v>
      </c>
      <c r="K978" s="3">
        <v>0.1</v>
      </c>
      <c r="L978" s="3">
        <v>6.8</v>
      </c>
      <c r="M978" t="str">
        <f>IF(acs2015_county_data[[#This Row],[PublicWork]]&gt;='Описательные характеристики'!$F$5,"да","нет")</f>
        <v>да</v>
      </c>
      <c r="N978" t="str">
        <f>IF(acs2015_county_data[[#This Row],[Unemployment]]&gt;='Описательные характеристики'!$I$5,"да","нет")</f>
        <v>нет</v>
      </c>
    </row>
    <row r="979" spans="1:14" x14ac:dyDescent="0.35">
      <c r="A979">
        <v>20179</v>
      </c>
      <c r="B979" t="s">
        <v>643</v>
      </c>
      <c r="C979" t="s">
        <v>696</v>
      </c>
      <c r="D979" s="2">
        <v>2531</v>
      </c>
      <c r="E979" s="2">
        <v>28733</v>
      </c>
      <c r="F979" s="3">
        <v>5.4</v>
      </c>
      <c r="G979" s="3">
        <v>1286</v>
      </c>
      <c r="H979" s="3">
        <v>63.1</v>
      </c>
      <c r="I979" s="3">
        <v>18.100000000000001</v>
      </c>
      <c r="J979" s="3">
        <v>18.600000000000001</v>
      </c>
      <c r="K979" s="3">
        <v>0.2</v>
      </c>
      <c r="L979" s="3">
        <v>1.2</v>
      </c>
      <c r="M979" t="str">
        <f>IF(acs2015_county_data[[#This Row],[PublicWork]]&gt;='Описательные характеристики'!$F$5,"да","нет")</f>
        <v>да</v>
      </c>
      <c r="N979" t="str">
        <f>IF(acs2015_county_data[[#This Row],[Unemployment]]&gt;='Описательные характеристики'!$I$5,"да","нет")</f>
        <v>нет</v>
      </c>
    </row>
    <row r="980" spans="1:14" x14ac:dyDescent="0.35">
      <c r="A980">
        <v>20181</v>
      </c>
      <c r="B980" t="s">
        <v>643</v>
      </c>
      <c r="C980" t="s">
        <v>697</v>
      </c>
      <c r="D980" s="2">
        <v>6054</v>
      </c>
      <c r="E980" s="2">
        <v>21786</v>
      </c>
      <c r="F980" s="3">
        <v>6.1</v>
      </c>
      <c r="G980" s="3">
        <v>2992</v>
      </c>
      <c r="H980" s="3">
        <v>70.099999999999994</v>
      </c>
      <c r="I980" s="3">
        <v>22.4</v>
      </c>
      <c r="J980" s="3">
        <v>7.5</v>
      </c>
      <c r="K980" s="3">
        <v>0</v>
      </c>
      <c r="L980" s="3">
        <v>4</v>
      </c>
      <c r="M980" t="str">
        <f>IF(acs2015_county_data[[#This Row],[PublicWork]]&gt;='Описательные характеристики'!$F$5,"да","нет")</f>
        <v>да</v>
      </c>
      <c r="N980" t="str">
        <f>IF(acs2015_county_data[[#This Row],[Unemployment]]&gt;='Описательные характеристики'!$I$5,"да","нет")</f>
        <v>нет</v>
      </c>
    </row>
    <row r="981" spans="1:14" x14ac:dyDescent="0.35">
      <c r="A981">
        <v>20183</v>
      </c>
      <c r="B981" t="s">
        <v>643</v>
      </c>
      <c r="C981" t="s">
        <v>698</v>
      </c>
      <c r="D981" s="2">
        <v>3740</v>
      </c>
      <c r="E981" s="2">
        <v>27315</v>
      </c>
      <c r="F981" s="3">
        <v>7.6</v>
      </c>
      <c r="G981" s="3">
        <v>1836</v>
      </c>
      <c r="H981" s="3">
        <v>63.9</v>
      </c>
      <c r="I981" s="3">
        <v>19.8</v>
      </c>
      <c r="J981" s="3">
        <v>15.5</v>
      </c>
      <c r="K981" s="3">
        <v>0.8</v>
      </c>
      <c r="L981" s="3">
        <v>3.2</v>
      </c>
      <c r="M981" t="str">
        <f>IF(acs2015_county_data[[#This Row],[PublicWork]]&gt;='Описательные характеристики'!$F$5,"да","нет")</f>
        <v>да</v>
      </c>
      <c r="N981" t="str">
        <f>IF(acs2015_county_data[[#This Row],[Unemployment]]&gt;='Описательные характеристики'!$I$5,"да","нет")</f>
        <v>нет</v>
      </c>
    </row>
    <row r="982" spans="1:14" x14ac:dyDescent="0.35">
      <c r="A982">
        <v>20185</v>
      </c>
      <c r="B982" t="s">
        <v>643</v>
      </c>
      <c r="C982" t="s">
        <v>699</v>
      </c>
      <c r="D982" s="2">
        <v>4320</v>
      </c>
      <c r="E982" s="2">
        <v>25476</v>
      </c>
      <c r="F982" s="3">
        <v>6.9</v>
      </c>
      <c r="G982" s="3">
        <v>2108</v>
      </c>
      <c r="H982" s="3">
        <v>63.1</v>
      </c>
      <c r="I982" s="3">
        <v>22.7</v>
      </c>
      <c r="J982" s="3">
        <v>13.5</v>
      </c>
      <c r="K982" s="3">
        <v>0.7</v>
      </c>
      <c r="L982" s="3">
        <v>2.6</v>
      </c>
      <c r="M982" t="str">
        <f>IF(acs2015_county_data[[#This Row],[PublicWork]]&gt;='Описательные характеристики'!$F$5,"да","нет")</f>
        <v>да</v>
      </c>
      <c r="N982" t="str">
        <f>IF(acs2015_county_data[[#This Row],[Unemployment]]&gt;='Описательные характеристики'!$I$5,"да","нет")</f>
        <v>нет</v>
      </c>
    </row>
    <row r="983" spans="1:14" x14ac:dyDescent="0.35">
      <c r="A983">
        <v>20187</v>
      </c>
      <c r="B983" t="s">
        <v>643</v>
      </c>
      <c r="C983" t="s">
        <v>700</v>
      </c>
      <c r="D983" s="2">
        <v>2149</v>
      </c>
      <c r="E983" s="2">
        <v>22690</v>
      </c>
      <c r="F983" s="3">
        <v>6</v>
      </c>
      <c r="G983" s="3">
        <v>1116</v>
      </c>
      <c r="H983" s="3">
        <v>65.400000000000006</v>
      </c>
      <c r="I983" s="3">
        <v>21.1</v>
      </c>
      <c r="J983" s="3">
        <v>13.4</v>
      </c>
      <c r="K983" s="3">
        <v>0.2</v>
      </c>
      <c r="L983" s="3">
        <v>2.4</v>
      </c>
      <c r="M983" t="str">
        <f>IF(acs2015_county_data[[#This Row],[PublicWork]]&gt;='Описательные характеристики'!$F$5,"да","нет")</f>
        <v>да</v>
      </c>
      <c r="N983" t="str">
        <f>IF(acs2015_county_data[[#This Row],[Unemployment]]&gt;='Описательные характеристики'!$I$5,"да","нет")</f>
        <v>нет</v>
      </c>
    </row>
    <row r="984" spans="1:14" x14ac:dyDescent="0.35">
      <c r="A984">
        <v>20189</v>
      </c>
      <c r="B984" t="s">
        <v>643</v>
      </c>
      <c r="C984" t="s">
        <v>701</v>
      </c>
      <c r="D984" s="2">
        <v>5772</v>
      </c>
      <c r="E984" s="2">
        <v>24827</v>
      </c>
      <c r="F984" s="3">
        <v>7.3</v>
      </c>
      <c r="G984" s="3">
        <v>2696</v>
      </c>
      <c r="H984" s="3">
        <v>72.5</v>
      </c>
      <c r="I984" s="3">
        <v>13.2</v>
      </c>
      <c r="J984" s="3">
        <v>13.3</v>
      </c>
      <c r="K984" s="3">
        <v>1</v>
      </c>
      <c r="L984" s="3">
        <v>3</v>
      </c>
      <c r="M984" t="str">
        <f>IF(acs2015_county_data[[#This Row],[PublicWork]]&gt;='Описательные характеристики'!$F$5,"да","нет")</f>
        <v>нет</v>
      </c>
      <c r="N984" t="str">
        <f>IF(acs2015_county_data[[#This Row],[Unemployment]]&gt;='Описательные характеристики'!$I$5,"да","нет")</f>
        <v>нет</v>
      </c>
    </row>
    <row r="985" spans="1:14" x14ac:dyDescent="0.35">
      <c r="A985">
        <v>20191</v>
      </c>
      <c r="B985" t="s">
        <v>643</v>
      </c>
      <c r="C985" t="s">
        <v>702</v>
      </c>
      <c r="D985" s="2">
        <v>23638</v>
      </c>
      <c r="E985" s="2">
        <v>24214</v>
      </c>
      <c r="F985" s="3">
        <v>4.9000000000000004</v>
      </c>
      <c r="G985" s="3">
        <v>10758</v>
      </c>
      <c r="H985" s="3">
        <v>75.599999999999994</v>
      </c>
      <c r="I985" s="3">
        <v>18.100000000000001</v>
      </c>
      <c r="J985" s="3">
        <v>6.1</v>
      </c>
      <c r="K985" s="3">
        <v>0.2</v>
      </c>
      <c r="L985" s="3">
        <v>7</v>
      </c>
      <c r="M985" t="str">
        <f>IF(acs2015_county_data[[#This Row],[PublicWork]]&gt;='Описательные характеристики'!$F$5,"да","нет")</f>
        <v>да</v>
      </c>
      <c r="N985" t="str">
        <f>IF(acs2015_county_data[[#This Row],[Unemployment]]&gt;='Описательные характеристики'!$I$5,"да","нет")</f>
        <v>нет</v>
      </c>
    </row>
    <row r="986" spans="1:14" x14ac:dyDescent="0.35">
      <c r="A986">
        <v>20193</v>
      </c>
      <c r="B986" t="s">
        <v>643</v>
      </c>
      <c r="C986" t="s">
        <v>445</v>
      </c>
      <c r="D986" s="2">
        <v>7925</v>
      </c>
      <c r="E986" s="2">
        <v>26309</v>
      </c>
      <c r="F986" s="3">
        <v>5.6</v>
      </c>
      <c r="G986" s="3">
        <v>4376</v>
      </c>
      <c r="H986" s="3">
        <v>69.900000000000006</v>
      </c>
      <c r="I986" s="3">
        <v>18.5</v>
      </c>
      <c r="J986" s="3">
        <v>11.4</v>
      </c>
      <c r="K986" s="3">
        <v>0.1</v>
      </c>
      <c r="L986" s="3">
        <v>2.7</v>
      </c>
      <c r="M986" t="str">
        <f>IF(acs2015_county_data[[#This Row],[PublicWork]]&gt;='Описательные характеристики'!$F$5,"да","нет")</f>
        <v>да</v>
      </c>
      <c r="N986" t="str">
        <f>IF(acs2015_county_data[[#This Row],[Unemployment]]&gt;='Описательные характеристики'!$I$5,"да","нет")</f>
        <v>нет</v>
      </c>
    </row>
    <row r="987" spans="1:14" x14ac:dyDescent="0.35">
      <c r="A987">
        <v>20195</v>
      </c>
      <c r="B987" t="s">
        <v>643</v>
      </c>
      <c r="C987" t="s">
        <v>703</v>
      </c>
      <c r="D987" s="2">
        <v>2951</v>
      </c>
      <c r="E987" s="2">
        <v>28817</v>
      </c>
      <c r="F987" s="3">
        <v>6.7</v>
      </c>
      <c r="G987" s="3">
        <v>1684</v>
      </c>
      <c r="H987" s="3">
        <v>66.599999999999994</v>
      </c>
      <c r="I987" s="3">
        <v>20.7</v>
      </c>
      <c r="J987" s="3">
        <v>12.5</v>
      </c>
      <c r="K987" s="3">
        <v>0.2</v>
      </c>
      <c r="L987" s="3">
        <v>1</v>
      </c>
      <c r="M987" t="str">
        <f>IF(acs2015_county_data[[#This Row],[PublicWork]]&gt;='Описательные характеристики'!$F$5,"да","нет")</f>
        <v>да</v>
      </c>
      <c r="N987" t="str">
        <f>IF(acs2015_county_data[[#This Row],[Unemployment]]&gt;='Описательные характеристики'!$I$5,"да","нет")</f>
        <v>нет</v>
      </c>
    </row>
    <row r="988" spans="1:14" x14ac:dyDescent="0.35">
      <c r="A988">
        <v>20197</v>
      </c>
      <c r="B988" t="s">
        <v>643</v>
      </c>
      <c r="C988" t="s">
        <v>704</v>
      </c>
      <c r="D988" s="2">
        <v>6997</v>
      </c>
      <c r="E988" s="2">
        <v>23962</v>
      </c>
      <c r="F988" s="3">
        <v>6.6</v>
      </c>
      <c r="G988" s="3">
        <v>3295</v>
      </c>
      <c r="H988" s="3">
        <v>73.3</v>
      </c>
      <c r="I988" s="3">
        <v>20</v>
      </c>
      <c r="J988" s="3">
        <v>6.5</v>
      </c>
      <c r="K988" s="3">
        <v>0.2</v>
      </c>
      <c r="L988" s="3">
        <v>6.2</v>
      </c>
      <c r="M988" t="str">
        <f>IF(acs2015_county_data[[#This Row],[PublicWork]]&gt;='Описательные характеристики'!$F$5,"да","нет")</f>
        <v>да</v>
      </c>
      <c r="N988" t="str">
        <f>IF(acs2015_county_data[[#This Row],[Unemployment]]&gt;='Описательные характеристики'!$I$5,"да","нет")</f>
        <v>нет</v>
      </c>
    </row>
    <row r="989" spans="1:14" x14ac:dyDescent="0.35">
      <c r="A989">
        <v>20199</v>
      </c>
      <c r="B989" t="s">
        <v>643</v>
      </c>
      <c r="C989" t="s">
        <v>705</v>
      </c>
      <c r="D989" s="2">
        <v>1595</v>
      </c>
      <c r="E989" s="2">
        <v>28265</v>
      </c>
      <c r="F989" s="3">
        <v>5.4</v>
      </c>
      <c r="G989" s="3">
        <v>755</v>
      </c>
      <c r="H989" s="3">
        <v>57.9</v>
      </c>
      <c r="I989" s="3">
        <v>20.100000000000001</v>
      </c>
      <c r="J989" s="3">
        <v>21.5</v>
      </c>
      <c r="K989" s="3">
        <v>0.5</v>
      </c>
      <c r="L989" s="3">
        <v>5.4</v>
      </c>
      <c r="M989" t="str">
        <f>IF(acs2015_county_data[[#This Row],[PublicWork]]&gt;='Описательные характеристики'!$F$5,"да","нет")</f>
        <v>да</v>
      </c>
      <c r="N989" t="str">
        <f>IF(acs2015_county_data[[#This Row],[Unemployment]]&gt;='Описательные характеристики'!$I$5,"да","нет")</f>
        <v>нет</v>
      </c>
    </row>
    <row r="990" spans="1:14" x14ac:dyDescent="0.35">
      <c r="A990">
        <v>20201</v>
      </c>
      <c r="B990" t="s">
        <v>643</v>
      </c>
      <c r="C990" t="s">
        <v>75</v>
      </c>
      <c r="D990" s="2">
        <v>5686</v>
      </c>
      <c r="E990" s="2">
        <v>23440</v>
      </c>
      <c r="F990" s="3">
        <v>5.9</v>
      </c>
      <c r="G990" s="3">
        <v>2950</v>
      </c>
      <c r="H990" s="3">
        <v>72.400000000000006</v>
      </c>
      <c r="I990" s="3">
        <v>16.7</v>
      </c>
      <c r="J990" s="3">
        <v>10.4</v>
      </c>
      <c r="K990" s="3">
        <v>0.4</v>
      </c>
      <c r="L990" s="3">
        <v>3.1</v>
      </c>
      <c r="M990" t="str">
        <f>IF(acs2015_county_data[[#This Row],[PublicWork]]&gt;='Описательные характеристики'!$F$5,"да","нет")</f>
        <v>да</v>
      </c>
      <c r="N990" t="str">
        <f>IF(acs2015_county_data[[#This Row],[Unemployment]]&gt;='Описательные характеристики'!$I$5,"да","нет")</f>
        <v>нет</v>
      </c>
    </row>
    <row r="991" spans="1:14" x14ac:dyDescent="0.35">
      <c r="A991">
        <v>20203</v>
      </c>
      <c r="B991" t="s">
        <v>643</v>
      </c>
      <c r="C991" t="s">
        <v>706</v>
      </c>
      <c r="D991" s="2">
        <v>2204</v>
      </c>
      <c r="E991" s="2">
        <v>23367</v>
      </c>
      <c r="F991" s="3">
        <v>6.5</v>
      </c>
      <c r="G991" s="3">
        <v>1077</v>
      </c>
      <c r="H991" s="3">
        <v>68</v>
      </c>
      <c r="I991" s="3">
        <v>15.8</v>
      </c>
      <c r="J991" s="3">
        <v>15.9</v>
      </c>
      <c r="K991" s="3">
        <v>0.4</v>
      </c>
      <c r="L991" s="3">
        <v>3.1</v>
      </c>
      <c r="M991" t="str">
        <f>IF(acs2015_county_data[[#This Row],[PublicWork]]&gt;='Описательные характеристики'!$F$5,"да","нет")</f>
        <v>нет</v>
      </c>
      <c r="N991" t="str">
        <f>IF(acs2015_county_data[[#This Row],[Unemployment]]&gt;='Описательные характеристики'!$I$5,"да","нет")</f>
        <v>нет</v>
      </c>
    </row>
    <row r="992" spans="1:14" x14ac:dyDescent="0.35">
      <c r="A992">
        <v>20205</v>
      </c>
      <c r="B992" t="s">
        <v>643</v>
      </c>
      <c r="C992" t="s">
        <v>707</v>
      </c>
      <c r="D992" s="2">
        <v>9061</v>
      </c>
      <c r="E992" s="2">
        <v>22538</v>
      </c>
      <c r="F992" s="3">
        <v>3.9</v>
      </c>
      <c r="G992" s="3">
        <v>4052</v>
      </c>
      <c r="H992" s="3">
        <v>70.099999999999994</v>
      </c>
      <c r="I992" s="3">
        <v>18.899999999999999</v>
      </c>
      <c r="J992" s="3">
        <v>10.8</v>
      </c>
      <c r="K992" s="3">
        <v>0.2</v>
      </c>
      <c r="L992" s="3">
        <v>6.5</v>
      </c>
      <c r="M992" t="str">
        <f>IF(acs2015_county_data[[#This Row],[PublicWork]]&gt;='Описательные характеристики'!$F$5,"да","нет")</f>
        <v>да</v>
      </c>
      <c r="N992" t="str">
        <f>IF(acs2015_county_data[[#This Row],[Unemployment]]&gt;='Описательные характеристики'!$I$5,"да","нет")</f>
        <v>нет</v>
      </c>
    </row>
    <row r="993" spans="1:14" x14ac:dyDescent="0.35">
      <c r="A993">
        <v>20207</v>
      </c>
      <c r="B993" t="s">
        <v>643</v>
      </c>
      <c r="C993" t="s">
        <v>708</v>
      </c>
      <c r="D993" s="2">
        <v>3211</v>
      </c>
      <c r="E993" s="2">
        <v>21432</v>
      </c>
      <c r="F993" s="3">
        <v>5.9</v>
      </c>
      <c r="G993" s="3">
        <v>1557</v>
      </c>
      <c r="H993" s="3">
        <v>63.7</v>
      </c>
      <c r="I993" s="3">
        <v>22.5</v>
      </c>
      <c r="J993" s="3">
        <v>13.4</v>
      </c>
      <c r="K993" s="3">
        <v>0.4</v>
      </c>
      <c r="L993" s="3">
        <v>4.5999999999999996</v>
      </c>
      <c r="M993" t="str">
        <f>IF(acs2015_county_data[[#This Row],[PublicWork]]&gt;='Описательные характеристики'!$F$5,"да","нет")</f>
        <v>да</v>
      </c>
      <c r="N993" t="str">
        <f>IF(acs2015_county_data[[#This Row],[Unemployment]]&gt;='Описательные характеристики'!$I$5,"да","нет")</f>
        <v>нет</v>
      </c>
    </row>
    <row r="994" spans="1:14" x14ac:dyDescent="0.35">
      <c r="A994">
        <v>20209</v>
      </c>
      <c r="B994" t="s">
        <v>643</v>
      </c>
      <c r="C994" t="s">
        <v>709</v>
      </c>
      <c r="D994" s="2">
        <v>160806</v>
      </c>
      <c r="E994" s="2">
        <v>18912</v>
      </c>
      <c r="F994" s="3">
        <v>2.2000000000000002</v>
      </c>
      <c r="G994" s="3">
        <v>70518</v>
      </c>
      <c r="H994" s="3">
        <v>82.9</v>
      </c>
      <c r="I994" s="3">
        <v>12.9</v>
      </c>
      <c r="J994" s="3">
        <v>4</v>
      </c>
      <c r="K994" s="3">
        <v>0.2</v>
      </c>
      <c r="L994" s="3">
        <v>11.2</v>
      </c>
      <c r="M994" t="str">
        <f>IF(acs2015_county_data[[#This Row],[PublicWork]]&gt;='Описательные характеристики'!$F$5,"да","нет")</f>
        <v>нет</v>
      </c>
      <c r="N994" t="str">
        <f>IF(acs2015_county_data[[#This Row],[Unemployment]]&gt;='Описательные характеристики'!$I$5,"да","нет")</f>
        <v>да</v>
      </c>
    </row>
    <row r="995" spans="1:14" x14ac:dyDescent="0.35">
      <c r="A995">
        <v>21001</v>
      </c>
      <c r="B995" t="s">
        <v>710</v>
      </c>
      <c r="C995" t="s">
        <v>599</v>
      </c>
      <c r="D995" s="2">
        <v>18852</v>
      </c>
      <c r="E995" s="2">
        <v>18277</v>
      </c>
      <c r="F995" s="3">
        <v>2.9</v>
      </c>
      <c r="G995" s="3">
        <v>7700</v>
      </c>
      <c r="H995" s="3">
        <v>74</v>
      </c>
      <c r="I995" s="3">
        <v>14.6</v>
      </c>
      <c r="J995" s="3">
        <v>11.2</v>
      </c>
      <c r="K995" s="3">
        <v>0.1</v>
      </c>
      <c r="L995" s="3">
        <v>7.7</v>
      </c>
      <c r="M995" t="str">
        <f>IF(acs2015_county_data[[#This Row],[PublicWork]]&gt;='Описательные характеристики'!$F$5,"да","нет")</f>
        <v>нет</v>
      </c>
      <c r="N995" t="str">
        <f>IF(acs2015_county_data[[#This Row],[Unemployment]]&gt;='Описательные характеристики'!$I$5,"да","нет")</f>
        <v>да</v>
      </c>
    </row>
    <row r="996" spans="1:14" x14ac:dyDescent="0.35">
      <c r="A996">
        <v>21003</v>
      </c>
      <c r="B996" t="s">
        <v>710</v>
      </c>
      <c r="C996" t="s">
        <v>559</v>
      </c>
      <c r="D996" s="2">
        <v>20355</v>
      </c>
      <c r="E996" s="2">
        <v>20702</v>
      </c>
      <c r="F996" s="3">
        <v>5</v>
      </c>
      <c r="G996" s="3">
        <v>8576</v>
      </c>
      <c r="H996" s="3">
        <v>76.2</v>
      </c>
      <c r="I996" s="3">
        <v>13</v>
      </c>
      <c r="J996" s="3">
        <v>10.4</v>
      </c>
      <c r="K996" s="3">
        <v>0.4</v>
      </c>
      <c r="L996" s="3">
        <v>9.1999999999999993</v>
      </c>
      <c r="M996" t="str">
        <f>IF(acs2015_county_data[[#This Row],[PublicWork]]&gt;='Описательные характеристики'!$F$5,"да","нет")</f>
        <v>нет</v>
      </c>
      <c r="N996" t="str">
        <f>IF(acs2015_county_data[[#This Row],[Unemployment]]&gt;='Описательные характеристики'!$I$5,"да","нет")</f>
        <v>да</v>
      </c>
    </row>
    <row r="997" spans="1:14" x14ac:dyDescent="0.35">
      <c r="A997">
        <v>21005</v>
      </c>
      <c r="B997" t="s">
        <v>710</v>
      </c>
      <c r="C997" t="s">
        <v>644</v>
      </c>
      <c r="D997" s="2">
        <v>21761</v>
      </c>
      <c r="E997" s="2">
        <v>24353</v>
      </c>
      <c r="F997" s="3">
        <v>1.4</v>
      </c>
      <c r="G997" s="3">
        <v>10646</v>
      </c>
      <c r="H997" s="3">
        <v>66.7</v>
      </c>
      <c r="I997" s="3">
        <v>26.5</v>
      </c>
      <c r="J997" s="3">
        <v>6.8</v>
      </c>
      <c r="K997" s="3">
        <v>0.1</v>
      </c>
      <c r="L997" s="3">
        <v>6.9</v>
      </c>
      <c r="M997" t="str">
        <f>IF(acs2015_county_data[[#This Row],[PublicWork]]&gt;='Описательные характеристики'!$F$5,"да","нет")</f>
        <v>да</v>
      </c>
      <c r="N997" t="str">
        <f>IF(acs2015_county_data[[#This Row],[Unemployment]]&gt;='Описательные характеристики'!$I$5,"да","нет")</f>
        <v>нет</v>
      </c>
    </row>
    <row r="998" spans="1:14" x14ac:dyDescent="0.35">
      <c r="A998">
        <v>21007</v>
      </c>
      <c r="B998" t="s">
        <v>710</v>
      </c>
      <c r="C998" t="s">
        <v>711</v>
      </c>
      <c r="D998" s="2">
        <v>8256</v>
      </c>
      <c r="E998" s="2">
        <v>24056</v>
      </c>
      <c r="F998" s="3">
        <v>2.6</v>
      </c>
      <c r="G998" s="3">
        <v>3489</v>
      </c>
      <c r="H998" s="3">
        <v>79.900000000000006</v>
      </c>
      <c r="I998" s="3">
        <v>11.7</v>
      </c>
      <c r="J998" s="3">
        <v>8.4</v>
      </c>
      <c r="K998" s="3">
        <v>0</v>
      </c>
      <c r="L998" s="3">
        <v>6.2</v>
      </c>
      <c r="M998" t="str">
        <f>IF(acs2015_county_data[[#This Row],[PublicWork]]&gt;='Описательные характеристики'!$F$5,"да","нет")</f>
        <v>нет</v>
      </c>
      <c r="N998" t="str">
        <f>IF(acs2015_county_data[[#This Row],[Unemployment]]&gt;='Описательные характеристики'!$I$5,"да","нет")</f>
        <v>нет</v>
      </c>
    </row>
    <row r="999" spans="1:14" x14ac:dyDescent="0.35">
      <c r="A999">
        <v>21009</v>
      </c>
      <c r="B999" t="s">
        <v>710</v>
      </c>
      <c r="C999" t="s">
        <v>712</v>
      </c>
      <c r="D999" s="2">
        <v>42925</v>
      </c>
      <c r="E999" s="2">
        <v>20262</v>
      </c>
      <c r="F999" s="3">
        <v>5.0999999999999996</v>
      </c>
      <c r="G999" s="3">
        <v>18672</v>
      </c>
      <c r="H999" s="3">
        <v>76.7</v>
      </c>
      <c r="I999" s="3">
        <v>15</v>
      </c>
      <c r="J999" s="3">
        <v>8</v>
      </c>
      <c r="K999" s="3">
        <v>0.3</v>
      </c>
      <c r="L999" s="3">
        <v>7.6</v>
      </c>
      <c r="M999" t="str">
        <f>IF(acs2015_county_data[[#This Row],[PublicWork]]&gt;='Описательные характеристики'!$F$5,"да","нет")</f>
        <v>нет</v>
      </c>
      <c r="N999" t="str">
        <f>IF(acs2015_county_data[[#This Row],[Unemployment]]&gt;='Описательные характеристики'!$I$5,"да","нет")</f>
        <v>да</v>
      </c>
    </row>
    <row r="1000" spans="1:14" x14ac:dyDescent="0.35">
      <c r="A1000">
        <v>21011</v>
      </c>
      <c r="B1000" t="s">
        <v>710</v>
      </c>
      <c r="C1000" t="s">
        <v>713</v>
      </c>
      <c r="D1000" s="2">
        <v>11978</v>
      </c>
      <c r="E1000" s="2">
        <v>18719</v>
      </c>
      <c r="F1000" s="3">
        <v>4.4000000000000004</v>
      </c>
      <c r="G1000" s="3">
        <v>4045</v>
      </c>
      <c r="H1000" s="3">
        <v>68.8</v>
      </c>
      <c r="I1000" s="3">
        <v>21.1</v>
      </c>
      <c r="J1000" s="3">
        <v>9.9</v>
      </c>
      <c r="K1000" s="3">
        <v>0.2</v>
      </c>
      <c r="L1000" s="3">
        <v>14</v>
      </c>
      <c r="M1000" t="str">
        <f>IF(acs2015_county_data[[#This Row],[PublicWork]]&gt;='Описательные характеристики'!$F$5,"да","нет")</f>
        <v>да</v>
      </c>
      <c r="N1000" t="str">
        <f>IF(acs2015_county_data[[#This Row],[Unemployment]]&gt;='Описательные характеристики'!$I$5,"да","нет")</f>
        <v>да</v>
      </c>
    </row>
    <row r="1001" spans="1:14" x14ac:dyDescent="0.35">
      <c r="A1001">
        <v>21013</v>
      </c>
      <c r="B1001" t="s">
        <v>710</v>
      </c>
      <c r="C1001" t="s">
        <v>714</v>
      </c>
      <c r="D1001" s="2">
        <v>27950</v>
      </c>
      <c r="E1001" s="2">
        <v>13701</v>
      </c>
      <c r="F1001" s="3">
        <v>3.1</v>
      </c>
      <c r="G1001" s="3">
        <v>8018</v>
      </c>
      <c r="H1001" s="3">
        <v>77.5</v>
      </c>
      <c r="I1001" s="3">
        <v>16.600000000000001</v>
      </c>
      <c r="J1001" s="3">
        <v>5.7</v>
      </c>
      <c r="K1001" s="3">
        <v>0.1</v>
      </c>
      <c r="L1001" s="3">
        <v>11.6</v>
      </c>
      <c r="M1001" t="str">
        <f>IF(acs2015_county_data[[#This Row],[PublicWork]]&gt;='Описательные характеристики'!$F$5,"да","нет")</f>
        <v>да</v>
      </c>
      <c r="N1001" t="str">
        <f>IF(acs2015_county_data[[#This Row],[Unemployment]]&gt;='Описательные характеристики'!$I$5,"да","нет")</f>
        <v>да</v>
      </c>
    </row>
    <row r="1002" spans="1:14" x14ac:dyDescent="0.35">
      <c r="A1002">
        <v>21015</v>
      </c>
      <c r="B1002" t="s">
        <v>710</v>
      </c>
      <c r="C1002" t="s">
        <v>128</v>
      </c>
      <c r="D1002" s="2">
        <v>124617</v>
      </c>
      <c r="E1002" s="2">
        <v>29866</v>
      </c>
      <c r="F1002" s="3">
        <v>3.8</v>
      </c>
      <c r="G1002" s="3">
        <v>62624</v>
      </c>
      <c r="H1002" s="3">
        <v>85.2</v>
      </c>
      <c r="I1002" s="3">
        <v>11.3</v>
      </c>
      <c r="J1002" s="3">
        <v>3.5</v>
      </c>
      <c r="K1002" s="3">
        <v>0.1</v>
      </c>
      <c r="L1002" s="3">
        <v>5.6</v>
      </c>
      <c r="M1002" t="str">
        <f>IF(acs2015_county_data[[#This Row],[PublicWork]]&gt;='Описательные характеристики'!$F$5,"да","нет")</f>
        <v>нет</v>
      </c>
      <c r="N1002" t="str">
        <f>IF(acs2015_county_data[[#This Row],[Unemployment]]&gt;='Описательные характеристики'!$I$5,"да","нет")</f>
        <v>нет</v>
      </c>
    </row>
    <row r="1003" spans="1:14" x14ac:dyDescent="0.35">
      <c r="A1003">
        <v>21017</v>
      </c>
      <c r="B1003" t="s">
        <v>710</v>
      </c>
      <c r="C1003" t="s">
        <v>648</v>
      </c>
      <c r="D1003" s="2">
        <v>20013</v>
      </c>
      <c r="E1003" s="2">
        <v>23620</v>
      </c>
      <c r="F1003" s="3">
        <v>7.6</v>
      </c>
      <c r="G1003" s="3">
        <v>8984</v>
      </c>
      <c r="H1003" s="3">
        <v>78.599999999999994</v>
      </c>
      <c r="I1003" s="3">
        <v>13.7</v>
      </c>
      <c r="J1003" s="3">
        <v>7.5</v>
      </c>
      <c r="K1003" s="3">
        <v>0.3</v>
      </c>
      <c r="L1003" s="3">
        <v>9.9</v>
      </c>
      <c r="M1003" t="str">
        <f>IF(acs2015_county_data[[#This Row],[PublicWork]]&gt;='Описательные характеристики'!$F$5,"да","нет")</f>
        <v>нет</v>
      </c>
      <c r="N1003" t="str">
        <f>IF(acs2015_county_data[[#This Row],[Unemployment]]&gt;='Описательные характеристики'!$I$5,"да","нет")</f>
        <v>да</v>
      </c>
    </row>
    <row r="1004" spans="1:14" x14ac:dyDescent="0.35">
      <c r="A1004">
        <v>21019</v>
      </c>
      <c r="B1004" t="s">
        <v>710</v>
      </c>
      <c r="C1004" t="s">
        <v>715</v>
      </c>
      <c r="D1004" s="2">
        <v>48917</v>
      </c>
      <c r="E1004" s="2">
        <v>25745</v>
      </c>
      <c r="F1004" s="3">
        <v>1.6</v>
      </c>
      <c r="G1004" s="3">
        <v>18376</v>
      </c>
      <c r="H1004" s="3">
        <v>80.3</v>
      </c>
      <c r="I1004" s="3">
        <v>14.5</v>
      </c>
      <c r="J1004" s="3">
        <v>5</v>
      </c>
      <c r="K1004" s="3">
        <v>0.3</v>
      </c>
      <c r="L1004" s="3">
        <v>10.5</v>
      </c>
      <c r="M1004" t="str">
        <f>IF(acs2015_county_data[[#This Row],[PublicWork]]&gt;='Описательные характеристики'!$F$5,"да","нет")</f>
        <v>нет</v>
      </c>
      <c r="N1004" t="str">
        <f>IF(acs2015_county_data[[#This Row],[Unemployment]]&gt;='Описательные характеристики'!$I$5,"да","нет")</f>
        <v>да</v>
      </c>
    </row>
    <row r="1005" spans="1:14" x14ac:dyDescent="0.35">
      <c r="A1005">
        <v>21021</v>
      </c>
      <c r="B1005" t="s">
        <v>710</v>
      </c>
      <c r="C1005" t="s">
        <v>716</v>
      </c>
      <c r="D1005" s="2">
        <v>29388</v>
      </c>
      <c r="E1005" s="2">
        <v>22368</v>
      </c>
      <c r="F1005" s="3">
        <v>4.4000000000000004</v>
      </c>
      <c r="G1005" s="3">
        <v>12218</v>
      </c>
      <c r="H1005" s="3">
        <v>75.8</v>
      </c>
      <c r="I1005" s="3">
        <v>16.3</v>
      </c>
      <c r="J1005" s="3">
        <v>7.8</v>
      </c>
      <c r="K1005" s="3">
        <v>0.2</v>
      </c>
      <c r="L1005" s="3">
        <v>7.1</v>
      </c>
      <c r="M1005" t="str">
        <f>IF(acs2015_county_data[[#This Row],[PublicWork]]&gt;='Описательные характеристики'!$F$5,"да","нет")</f>
        <v>да</v>
      </c>
      <c r="N1005" t="str">
        <f>IF(acs2015_county_data[[#This Row],[Unemployment]]&gt;='Описательные характеристики'!$I$5,"да","нет")</f>
        <v>нет</v>
      </c>
    </row>
    <row r="1006" spans="1:14" x14ac:dyDescent="0.35">
      <c r="A1006">
        <v>21023</v>
      </c>
      <c r="B1006" t="s">
        <v>710</v>
      </c>
      <c r="C1006" t="s">
        <v>717</v>
      </c>
      <c r="D1006" s="2">
        <v>8425</v>
      </c>
      <c r="E1006" s="2">
        <v>21054</v>
      </c>
      <c r="F1006" s="3">
        <v>4.5999999999999996</v>
      </c>
      <c r="G1006" s="3">
        <v>3486</v>
      </c>
      <c r="H1006" s="3">
        <v>77.900000000000006</v>
      </c>
      <c r="I1006" s="3">
        <v>15.3</v>
      </c>
      <c r="J1006" s="3">
        <v>6.9</v>
      </c>
      <c r="K1006" s="3">
        <v>0</v>
      </c>
      <c r="L1006" s="3">
        <v>8.3000000000000007</v>
      </c>
      <c r="M1006" t="str">
        <f>IF(acs2015_county_data[[#This Row],[PublicWork]]&gt;='Описательные характеристики'!$F$5,"да","нет")</f>
        <v>нет</v>
      </c>
      <c r="N1006" t="str">
        <f>IF(acs2015_county_data[[#This Row],[Unemployment]]&gt;='Описательные характеристики'!$I$5,"да","нет")</f>
        <v>да</v>
      </c>
    </row>
    <row r="1007" spans="1:14" x14ac:dyDescent="0.35">
      <c r="A1007">
        <v>21025</v>
      </c>
      <c r="B1007" t="s">
        <v>710</v>
      </c>
      <c r="C1007" t="s">
        <v>718</v>
      </c>
      <c r="D1007" s="2">
        <v>13591</v>
      </c>
      <c r="E1007" s="2">
        <v>15737</v>
      </c>
      <c r="F1007" s="3">
        <v>1.1000000000000001</v>
      </c>
      <c r="G1007" s="3">
        <v>4239</v>
      </c>
      <c r="H1007" s="3">
        <v>68.900000000000006</v>
      </c>
      <c r="I1007" s="3">
        <v>24.5</v>
      </c>
      <c r="J1007" s="3">
        <v>6.4</v>
      </c>
      <c r="K1007" s="3">
        <v>0.1</v>
      </c>
      <c r="L1007" s="3">
        <v>12.4</v>
      </c>
      <c r="M1007" t="str">
        <f>IF(acs2015_county_data[[#This Row],[PublicWork]]&gt;='Описательные характеристики'!$F$5,"да","нет")</f>
        <v>да</v>
      </c>
      <c r="N1007" t="str">
        <f>IF(acs2015_county_data[[#This Row],[Unemployment]]&gt;='Описательные характеристики'!$I$5,"да","нет")</f>
        <v>да</v>
      </c>
    </row>
    <row r="1008" spans="1:14" x14ac:dyDescent="0.35">
      <c r="A1008">
        <v>21027</v>
      </c>
      <c r="B1008" t="s">
        <v>710</v>
      </c>
      <c r="C1008" t="s">
        <v>719</v>
      </c>
      <c r="D1008" s="2">
        <v>20061</v>
      </c>
      <c r="E1008" s="2">
        <v>19185</v>
      </c>
      <c r="F1008" s="3">
        <v>3.2</v>
      </c>
      <c r="G1008" s="3">
        <v>7683</v>
      </c>
      <c r="H1008" s="3">
        <v>76.7</v>
      </c>
      <c r="I1008" s="3">
        <v>15.8</v>
      </c>
      <c r="J1008" s="3">
        <v>7.2</v>
      </c>
      <c r="K1008" s="3">
        <v>0.3</v>
      </c>
      <c r="L1008" s="3">
        <v>11.5</v>
      </c>
      <c r="M1008" t="str">
        <f>IF(acs2015_county_data[[#This Row],[PublicWork]]&gt;='Описательные характеристики'!$F$5,"да","нет")</f>
        <v>нет</v>
      </c>
      <c r="N1008" t="str">
        <f>IF(acs2015_county_data[[#This Row],[Unemployment]]&gt;='Описательные характеристики'!$I$5,"да","нет")</f>
        <v>да</v>
      </c>
    </row>
    <row r="1009" spans="1:14" x14ac:dyDescent="0.35">
      <c r="A1009">
        <v>21029</v>
      </c>
      <c r="B1009" t="s">
        <v>710</v>
      </c>
      <c r="C1009" t="s">
        <v>720</v>
      </c>
      <c r="D1009" s="2">
        <v>76961</v>
      </c>
      <c r="E1009" s="2">
        <v>24458</v>
      </c>
      <c r="F1009" s="3">
        <v>2.6</v>
      </c>
      <c r="G1009" s="3">
        <v>37079</v>
      </c>
      <c r="H1009" s="3">
        <v>84.6</v>
      </c>
      <c r="I1009" s="3">
        <v>10.9</v>
      </c>
      <c r="J1009" s="3">
        <v>4.4000000000000004</v>
      </c>
      <c r="K1009" s="3">
        <v>0.1</v>
      </c>
      <c r="L1009" s="3">
        <v>7.6</v>
      </c>
      <c r="M1009" t="str">
        <f>IF(acs2015_county_data[[#This Row],[PublicWork]]&gt;='Описательные характеристики'!$F$5,"да","нет")</f>
        <v>нет</v>
      </c>
      <c r="N1009" t="str">
        <f>IF(acs2015_county_data[[#This Row],[Unemployment]]&gt;='Описательные характеристики'!$I$5,"да","нет")</f>
        <v>да</v>
      </c>
    </row>
    <row r="1010" spans="1:14" x14ac:dyDescent="0.35">
      <c r="A1010">
        <v>21031</v>
      </c>
      <c r="B1010" t="s">
        <v>710</v>
      </c>
      <c r="C1010" t="s">
        <v>21</v>
      </c>
      <c r="D1010" s="2">
        <v>12835</v>
      </c>
      <c r="E1010" s="2">
        <v>18502</v>
      </c>
      <c r="F1010" s="3">
        <v>2.7</v>
      </c>
      <c r="G1010" s="3">
        <v>5003</v>
      </c>
      <c r="H1010" s="3">
        <v>73.5</v>
      </c>
      <c r="I1010" s="3">
        <v>13.3</v>
      </c>
      <c r="J1010" s="3">
        <v>12.4</v>
      </c>
      <c r="K1010" s="3">
        <v>0.8</v>
      </c>
      <c r="L1010" s="3">
        <v>6.1</v>
      </c>
      <c r="M1010" t="str">
        <f>IF(acs2015_county_data[[#This Row],[PublicWork]]&gt;='Описательные характеристики'!$F$5,"да","нет")</f>
        <v>нет</v>
      </c>
      <c r="N1010" t="str">
        <f>IF(acs2015_county_data[[#This Row],[Unemployment]]&gt;='Описательные характеристики'!$I$5,"да","нет")</f>
        <v>нет</v>
      </c>
    </row>
    <row r="1011" spans="1:14" x14ac:dyDescent="0.35">
      <c r="A1011">
        <v>21033</v>
      </c>
      <c r="B1011" t="s">
        <v>710</v>
      </c>
      <c r="C1011" t="s">
        <v>721</v>
      </c>
      <c r="D1011" s="2">
        <v>12826</v>
      </c>
      <c r="E1011" s="2">
        <v>20840</v>
      </c>
      <c r="F1011" s="3">
        <v>0.9</v>
      </c>
      <c r="G1011" s="3">
        <v>5396</v>
      </c>
      <c r="H1011" s="3">
        <v>69.400000000000006</v>
      </c>
      <c r="I1011" s="3">
        <v>18.100000000000001</v>
      </c>
      <c r="J1011" s="3">
        <v>12.4</v>
      </c>
      <c r="K1011" s="3">
        <v>0</v>
      </c>
      <c r="L1011" s="3">
        <v>8.6999999999999993</v>
      </c>
      <c r="M1011" t="str">
        <f>IF(acs2015_county_data[[#This Row],[PublicWork]]&gt;='Описательные характеристики'!$F$5,"да","нет")</f>
        <v>да</v>
      </c>
      <c r="N1011" t="str">
        <f>IF(acs2015_county_data[[#This Row],[Unemployment]]&gt;='Описательные характеристики'!$I$5,"да","нет")</f>
        <v>да</v>
      </c>
    </row>
    <row r="1012" spans="1:14" x14ac:dyDescent="0.35">
      <c r="A1012">
        <v>21035</v>
      </c>
      <c r="B1012" t="s">
        <v>710</v>
      </c>
      <c r="C1012" t="s">
        <v>722</v>
      </c>
      <c r="D1012" s="2">
        <v>38106</v>
      </c>
      <c r="E1012" s="2">
        <v>20701</v>
      </c>
      <c r="F1012" s="3">
        <v>2.7</v>
      </c>
      <c r="G1012" s="3">
        <v>16904</v>
      </c>
      <c r="H1012" s="3">
        <v>71.900000000000006</v>
      </c>
      <c r="I1012" s="3">
        <v>20.9</v>
      </c>
      <c r="J1012" s="3">
        <v>7</v>
      </c>
      <c r="K1012" s="3">
        <v>0.1</v>
      </c>
      <c r="L1012" s="3">
        <v>9.1</v>
      </c>
      <c r="M1012" t="str">
        <f>IF(acs2015_county_data[[#This Row],[PublicWork]]&gt;='Описательные характеристики'!$F$5,"да","нет")</f>
        <v>да</v>
      </c>
      <c r="N1012" t="str">
        <f>IF(acs2015_county_data[[#This Row],[Unemployment]]&gt;='Описательные характеристики'!$I$5,"да","нет")</f>
        <v>да</v>
      </c>
    </row>
    <row r="1013" spans="1:14" x14ac:dyDescent="0.35">
      <c r="A1013">
        <v>21037</v>
      </c>
      <c r="B1013" t="s">
        <v>710</v>
      </c>
      <c r="C1013" t="s">
        <v>723</v>
      </c>
      <c r="D1013" s="2">
        <v>91475</v>
      </c>
      <c r="E1013" s="2">
        <v>28248</v>
      </c>
      <c r="F1013" s="3">
        <v>2.9</v>
      </c>
      <c r="G1013" s="3">
        <v>45872</v>
      </c>
      <c r="H1013" s="3">
        <v>83.9</v>
      </c>
      <c r="I1013" s="3">
        <v>12.2</v>
      </c>
      <c r="J1013" s="3">
        <v>3.8</v>
      </c>
      <c r="K1013" s="3">
        <v>0</v>
      </c>
      <c r="L1013" s="3">
        <v>6.8</v>
      </c>
      <c r="M1013" t="str">
        <f>IF(acs2015_county_data[[#This Row],[PublicWork]]&gt;='Описательные характеристики'!$F$5,"да","нет")</f>
        <v>нет</v>
      </c>
      <c r="N1013" t="str">
        <f>IF(acs2015_county_data[[#This Row],[Unemployment]]&gt;='Описательные характеристики'!$I$5,"да","нет")</f>
        <v>нет</v>
      </c>
    </row>
    <row r="1014" spans="1:14" x14ac:dyDescent="0.35">
      <c r="A1014">
        <v>21039</v>
      </c>
      <c r="B1014" t="s">
        <v>710</v>
      </c>
      <c r="C1014" t="s">
        <v>724</v>
      </c>
      <c r="D1014" s="2">
        <v>4984</v>
      </c>
      <c r="E1014" s="2">
        <v>21499</v>
      </c>
      <c r="F1014" s="3">
        <v>5.7</v>
      </c>
      <c r="G1014" s="3">
        <v>2122</v>
      </c>
      <c r="H1014" s="3">
        <v>73.2</v>
      </c>
      <c r="I1014" s="3">
        <v>17.7</v>
      </c>
      <c r="J1014" s="3">
        <v>9</v>
      </c>
      <c r="K1014" s="3">
        <v>0.2</v>
      </c>
      <c r="L1014" s="3">
        <v>6.8</v>
      </c>
      <c r="M1014" t="str">
        <f>IF(acs2015_county_data[[#This Row],[PublicWork]]&gt;='Описательные характеристики'!$F$5,"да","нет")</f>
        <v>да</v>
      </c>
      <c r="N1014" t="str">
        <f>IF(acs2015_county_data[[#This Row],[Unemployment]]&gt;='Описательные характеристики'!$I$5,"да","нет")</f>
        <v>нет</v>
      </c>
    </row>
    <row r="1015" spans="1:14" x14ac:dyDescent="0.35">
      <c r="A1015">
        <v>21041</v>
      </c>
      <c r="B1015" t="s">
        <v>710</v>
      </c>
      <c r="C1015" t="s">
        <v>129</v>
      </c>
      <c r="D1015" s="2">
        <v>10830</v>
      </c>
      <c r="E1015" s="2">
        <v>20129</v>
      </c>
      <c r="F1015" s="3">
        <v>2</v>
      </c>
      <c r="G1015" s="3">
        <v>4263</v>
      </c>
      <c r="H1015" s="3">
        <v>82.6</v>
      </c>
      <c r="I1015" s="3">
        <v>12.9</v>
      </c>
      <c r="J1015" s="3">
        <v>4.2</v>
      </c>
      <c r="K1015" s="3">
        <v>0.2</v>
      </c>
      <c r="L1015" s="3">
        <v>13.2</v>
      </c>
      <c r="M1015" t="str">
        <f>IF(acs2015_county_data[[#This Row],[PublicWork]]&gt;='Описательные характеристики'!$F$5,"да","нет")</f>
        <v>нет</v>
      </c>
      <c r="N1015" t="str">
        <f>IF(acs2015_county_data[[#This Row],[Unemployment]]&gt;='Описательные характеристики'!$I$5,"да","нет")</f>
        <v>да</v>
      </c>
    </row>
    <row r="1016" spans="1:14" x14ac:dyDescent="0.35">
      <c r="A1016">
        <v>21043</v>
      </c>
      <c r="B1016" t="s">
        <v>710</v>
      </c>
      <c r="C1016" t="s">
        <v>725</v>
      </c>
      <c r="D1016" s="2">
        <v>27326</v>
      </c>
      <c r="E1016" s="2">
        <v>18948</v>
      </c>
      <c r="F1016" s="3">
        <v>2.2999999999999998</v>
      </c>
      <c r="G1016" s="3">
        <v>10039</v>
      </c>
      <c r="H1016" s="3">
        <v>80.099999999999994</v>
      </c>
      <c r="I1016" s="3">
        <v>15.5</v>
      </c>
      <c r="J1016" s="3">
        <v>4.3</v>
      </c>
      <c r="K1016" s="3">
        <v>0.1</v>
      </c>
      <c r="L1016" s="3">
        <v>11.1</v>
      </c>
      <c r="M1016" t="str">
        <f>IF(acs2015_county_data[[#This Row],[PublicWork]]&gt;='Описательные характеристики'!$F$5,"да","нет")</f>
        <v>нет</v>
      </c>
      <c r="N1016" t="str">
        <f>IF(acs2015_county_data[[#This Row],[Unemployment]]&gt;='Описательные характеристики'!$I$5,"да","нет")</f>
        <v>да</v>
      </c>
    </row>
    <row r="1017" spans="1:14" x14ac:dyDescent="0.35">
      <c r="A1017">
        <v>21045</v>
      </c>
      <c r="B1017" t="s">
        <v>710</v>
      </c>
      <c r="C1017" t="s">
        <v>726</v>
      </c>
      <c r="D1017" s="2">
        <v>15954</v>
      </c>
      <c r="E1017" s="2">
        <v>17526</v>
      </c>
      <c r="F1017" s="3">
        <v>5.0999999999999996</v>
      </c>
      <c r="G1017" s="3">
        <v>5926</v>
      </c>
      <c r="H1017" s="3">
        <v>75.099999999999994</v>
      </c>
      <c r="I1017" s="3">
        <v>16.3</v>
      </c>
      <c r="J1017" s="3">
        <v>8.1999999999999993</v>
      </c>
      <c r="K1017" s="3">
        <v>0.5</v>
      </c>
      <c r="L1017" s="3">
        <v>9</v>
      </c>
      <c r="M1017" t="str">
        <f>IF(acs2015_county_data[[#This Row],[PublicWork]]&gt;='Описательные характеристики'!$F$5,"да","нет")</f>
        <v>да</v>
      </c>
      <c r="N1017" t="str">
        <f>IF(acs2015_county_data[[#This Row],[Unemployment]]&gt;='Описательные характеристики'!$I$5,"да","нет")</f>
        <v>да</v>
      </c>
    </row>
    <row r="1018" spans="1:14" x14ac:dyDescent="0.35">
      <c r="A1018">
        <v>21047</v>
      </c>
      <c r="B1018" t="s">
        <v>710</v>
      </c>
      <c r="C1018" t="s">
        <v>510</v>
      </c>
      <c r="D1018" s="2">
        <v>74159</v>
      </c>
      <c r="E1018" s="2">
        <v>19614</v>
      </c>
      <c r="F1018" s="3">
        <v>2.4</v>
      </c>
      <c r="G1018" s="3">
        <v>23856</v>
      </c>
      <c r="H1018" s="3">
        <v>72.7</v>
      </c>
      <c r="I1018" s="3">
        <v>20.9</v>
      </c>
      <c r="J1018" s="3">
        <v>6.2</v>
      </c>
      <c r="K1018" s="3">
        <v>0.2</v>
      </c>
      <c r="L1018" s="3">
        <v>12.7</v>
      </c>
      <c r="M1018" t="str">
        <f>IF(acs2015_county_data[[#This Row],[PublicWork]]&gt;='Описательные характеристики'!$F$5,"да","нет")</f>
        <v>да</v>
      </c>
      <c r="N1018" t="str">
        <f>IF(acs2015_county_data[[#This Row],[Unemployment]]&gt;='Описательные характеристики'!$I$5,"да","нет")</f>
        <v>да</v>
      </c>
    </row>
    <row r="1019" spans="1:14" x14ac:dyDescent="0.35">
      <c r="A1019">
        <v>21049</v>
      </c>
      <c r="B1019" t="s">
        <v>710</v>
      </c>
      <c r="C1019" t="s">
        <v>131</v>
      </c>
      <c r="D1019" s="2">
        <v>35657</v>
      </c>
      <c r="E1019" s="2">
        <v>25492</v>
      </c>
      <c r="F1019" s="3">
        <v>3.7</v>
      </c>
      <c r="G1019" s="3">
        <v>15950</v>
      </c>
      <c r="H1019" s="3">
        <v>79.900000000000006</v>
      </c>
      <c r="I1019" s="3">
        <v>14.2</v>
      </c>
      <c r="J1019" s="3">
        <v>5.3</v>
      </c>
      <c r="K1019" s="3">
        <v>0.6</v>
      </c>
      <c r="L1019" s="3">
        <v>7.9</v>
      </c>
      <c r="M1019" t="str">
        <f>IF(acs2015_county_data[[#This Row],[PublicWork]]&gt;='Описательные характеристики'!$F$5,"да","нет")</f>
        <v>нет</v>
      </c>
      <c r="N1019" t="str">
        <f>IF(acs2015_county_data[[#This Row],[Unemployment]]&gt;='Описательные характеристики'!$I$5,"да","нет")</f>
        <v>да</v>
      </c>
    </row>
    <row r="1020" spans="1:14" x14ac:dyDescent="0.35">
      <c r="A1020">
        <v>21051</v>
      </c>
      <c r="B1020" t="s">
        <v>710</v>
      </c>
      <c r="C1020" t="s">
        <v>28</v>
      </c>
      <c r="D1020" s="2">
        <v>21300</v>
      </c>
      <c r="E1020" s="2">
        <v>13802</v>
      </c>
      <c r="F1020" s="3">
        <v>2.1</v>
      </c>
      <c r="G1020" s="3">
        <v>5459</v>
      </c>
      <c r="H1020" s="3">
        <v>69</v>
      </c>
      <c r="I1020" s="3">
        <v>24.8</v>
      </c>
      <c r="J1020" s="3">
        <v>5.7</v>
      </c>
      <c r="K1020" s="3">
        <v>0.5</v>
      </c>
      <c r="L1020" s="3">
        <v>15.9</v>
      </c>
      <c r="M1020" t="str">
        <f>IF(acs2015_county_data[[#This Row],[PublicWork]]&gt;='Описательные характеристики'!$F$5,"да","нет")</f>
        <v>да</v>
      </c>
      <c r="N1020" t="str">
        <f>IF(acs2015_county_data[[#This Row],[Unemployment]]&gt;='Описательные характеристики'!$I$5,"да","нет")</f>
        <v>да</v>
      </c>
    </row>
    <row r="1021" spans="1:14" x14ac:dyDescent="0.35">
      <c r="A1021">
        <v>21053</v>
      </c>
      <c r="B1021" t="s">
        <v>710</v>
      </c>
      <c r="C1021" t="s">
        <v>511</v>
      </c>
      <c r="D1021" s="2">
        <v>10188</v>
      </c>
      <c r="E1021" s="2">
        <v>16712</v>
      </c>
      <c r="F1021" s="3">
        <v>2.5</v>
      </c>
      <c r="G1021" s="3">
        <v>3555</v>
      </c>
      <c r="H1021" s="3">
        <v>72.2</v>
      </c>
      <c r="I1021" s="3">
        <v>20.3</v>
      </c>
      <c r="J1021" s="3">
        <v>7.5</v>
      </c>
      <c r="K1021" s="3">
        <v>0</v>
      </c>
      <c r="L1021" s="3">
        <v>9.3000000000000007</v>
      </c>
      <c r="M1021" t="str">
        <f>IF(acs2015_county_data[[#This Row],[PublicWork]]&gt;='Описательные характеристики'!$F$5,"да","нет")</f>
        <v>да</v>
      </c>
      <c r="N1021" t="str">
        <f>IF(acs2015_county_data[[#This Row],[Unemployment]]&gt;='Описательные характеристики'!$I$5,"да","нет")</f>
        <v>да</v>
      </c>
    </row>
    <row r="1022" spans="1:14" x14ac:dyDescent="0.35">
      <c r="A1022">
        <v>21055</v>
      </c>
      <c r="B1022" t="s">
        <v>710</v>
      </c>
      <c r="C1022" t="s">
        <v>137</v>
      </c>
      <c r="D1022" s="2">
        <v>9222</v>
      </c>
      <c r="E1022" s="2">
        <v>21248</v>
      </c>
      <c r="F1022" s="3">
        <v>4.5999999999999996</v>
      </c>
      <c r="G1022" s="3">
        <v>3645</v>
      </c>
      <c r="H1022" s="3">
        <v>74.5</v>
      </c>
      <c r="I1022" s="3">
        <v>16.7</v>
      </c>
      <c r="J1022" s="3">
        <v>8.6999999999999993</v>
      </c>
      <c r="K1022" s="3">
        <v>0.1</v>
      </c>
      <c r="L1022" s="3">
        <v>7.1</v>
      </c>
      <c r="M1022" t="str">
        <f>IF(acs2015_county_data[[#This Row],[PublicWork]]&gt;='Описательные характеристики'!$F$5,"да","нет")</f>
        <v>да</v>
      </c>
      <c r="N1022" t="str">
        <f>IF(acs2015_county_data[[#This Row],[Unemployment]]&gt;='Описательные характеристики'!$I$5,"да","нет")</f>
        <v>нет</v>
      </c>
    </row>
    <row r="1023" spans="1:14" x14ac:dyDescent="0.35">
      <c r="A1023">
        <v>21057</v>
      </c>
      <c r="B1023" t="s">
        <v>710</v>
      </c>
      <c r="C1023" t="s">
        <v>513</v>
      </c>
      <c r="D1023" s="2">
        <v>6807</v>
      </c>
      <c r="E1023" s="2">
        <v>17571</v>
      </c>
      <c r="F1023" s="3">
        <v>4.8</v>
      </c>
      <c r="G1023" s="3">
        <v>2449</v>
      </c>
      <c r="H1023" s="3">
        <v>74.8</v>
      </c>
      <c r="I1023" s="3">
        <v>17.7</v>
      </c>
      <c r="J1023" s="3">
        <v>7.6</v>
      </c>
      <c r="K1023" s="3">
        <v>0</v>
      </c>
      <c r="L1023" s="3">
        <v>10.199999999999999</v>
      </c>
      <c r="M1023" t="str">
        <f>IF(acs2015_county_data[[#This Row],[PublicWork]]&gt;='Описательные характеристики'!$F$5,"да","нет")</f>
        <v>да</v>
      </c>
      <c r="N1023" t="str">
        <f>IF(acs2015_county_data[[#This Row],[Unemployment]]&gt;='Описательные характеристики'!$I$5,"да","нет")</f>
        <v>да</v>
      </c>
    </row>
    <row r="1024" spans="1:14" x14ac:dyDescent="0.35">
      <c r="A1024">
        <v>21059</v>
      </c>
      <c r="B1024" t="s">
        <v>710</v>
      </c>
      <c r="C1024" t="s">
        <v>562</v>
      </c>
      <c r="D1024" s="2">
        <v>98173</v>
      </c>
      <c r="E1024" s="2">
        <v>23952</v>
      </c>
      <c r="F1024" s="3">
        <v>1.8</v>
      </c>
      <c r="G1024" s="3">
        <v>43941</v>
      </c>
      <c r="H1024" s="3">
        <v>82.9</v>
      </c>
      <c r="I1024" s="3">
        <v>11.5</v>
      </c>
      <c r="J1024" s="3">
        <v>5.3</v>
      </c>
      <c r="K1024" s="3">
        <v>0.3</v>
      </c>
      <c r="L1024" s="3">
        <v>6.8</v>
      </c>
      <c r="M1024" t="str">
        <f>IF(acs2015_county_data[[#This Row],[PublicWork]]&gt;='Описательные характеристики'!$F$5,"да","нет")</f>
        <v>нет</v>
      </c>
      <c r="N1024" t="str">
        <f>IF(acs2015_county_data[[#This Row],[Unemployment]]&gt;='Описательные характеристики'!$I$5,"да","нет")</f>
        <v>нет</v>
      </c>
    </row>
    <row r="1025" spans="1:14" x14ac:dyDescent="0.35">
      <c r="A1025">
        <v>21061</v>
      </c>
      <c r="B1025" t="s">
        <v>710</v>
      </c>
      <c r="C1025" t="s">
        <v>727</v>
      </c>
      <c r="D1025" s="2">
        <v>12105</v>
      </c>
      <c r="E1025" s="2">
        <v>20304</v>
      </c>
      <c r="F1025" s="3">
        <v>1</v>
      </c>
      <c r="G1025" s="3">
        <v>4730</v>
      </c>
      <c r="H1025" s="3">
        <v>72.2</v>
      </c>
      <c r="I1025" s="3">
        <v>21</v>
      </c>
      <c r="J1025" s="3">
        <v>6.8</v>
      </c>
      <c r="K1025" s="3">
        <v>0.1</v>
      </c>
      <c r="L1025" s="3">
        <v>8.9</v>
      </c>
      <c r="M1025" t="str">
        <f>IF(acs2015_county_data[[#This Row],[PublicWork]]&gt;='Описательные характеристики'!$F$5,"да","нет")</f>
        <v>да</v>
      </c>
      <c r="N1025" t="str">
        <f>IF(acs2015_county_data[[#This Row],[Unemployment]]&gt;='Описательные характеристики'!$I$5,"да","нет")</f>
        <v>да</v>
      </c>
    </row>
    <row r="1026" spans="1:14" x14ac:dyDescent="0.35">
      <c r="A1026">
        <v>21063</v>
      </c>
      <c r="B1026" t="s">
        <v>710</v>
      </c>
      <c r="C1026" t="s">
        <v>728</v>
      </c>
      <c r="D1026" s="2">
        <v>7725</v>
      </c>
      <c r="E1026" s="2">
        <v>15319</v>
      </c>
      <c r="F1026" s="3">
        <v>1.9</v>
      </c>
      <c r="G1026" s="3">
        <v>2088</v>
      </c>
      <c r="H1026" s="3">
        <v>66.599999999999994</v>
      </c>
      <c r="I1026" s="3">
        <v>24.3</v>
      </c>
      <c r="J1026" s="3">
        <v>8.3000000000000007</v>
      </c>
      <c r="K1026" s="3">
        <v>0.9</v>
      </c>
      <c r="L1026" s="3">
        <v>6.2</v>
      </c>
      <c r="M1026" t="str">
        <f>IF(acs2015_county_data[[#This Row],[PublicWork]]&gt;='Описательные характеристики'!$F$5,"да","нет")</f>
        <v>да</v>
      </c>
      <c r="N1026" t="str">
        <f>IF(acs2015_county_data[[#This Row],[Unemployment]]&gt;='Описательные характеристики'!$I$5,"да","нет")</f>
        <v>нет</v>
      </c>
    </row>
    <row r="1027" spans="1:14" x14ac:dyDescent="0.35">
      <c r="A1027">
        <v>21065</v>
      </c>
      <c r="B1027" t="s">
        <v>710</v>
      </c>
      <c r="C1027" t="s">
        <v>729</v>
      </c>
      <c r="D1027" s="2">
        <v>14476</v>
      </c>
      <c r="E1027" s="2">
        <v>16446</v>
      </c>
      <c r="F1027" s="3">
        <v>3.1</v>
      </c>
      <c r="G1027" s="3">
        <v>4855</v>
      </c>
      <c r="H1027" s="3">
        <v>76.5</v>
      </c>
      <c r="I1027" s="3">
        <v>16.899999999999999</v>
      </c>
      <c r="J1027" s="3">
        <v>6.2</v>
      </c>
      <c r="K1027" s="3">
        <v>0.4</v>
      </c>
      <c r="L1027" s="3">
        <v>11.8</v>
      </c>
      <c r="M1027" t="str">
        <f>IF(acs2015_county_data[[#This Row],[PublicWork]]&gt;='Описательные характеристики'!$F$5,"да","нет")</f>
        <v>да</v>
      </c>
      <c r="N1027" t="str">
        <f>IF(acs2015_county_data[[#This Row],[Unemployment]]&gt;='Описательные характеристики'!$I$5,"да","нет")</f>
        <v>да</v>
      </c>
    </row>
    <row r="1028" spans="1:14" x14ac:dyDescent="0.35">
      <c r="A1028">
        <v>21067</v>
      </c>
      <c r="B1028" t="s">
        <v>710</v>
      </c>
      <c r="C1028" t="s">
        <v>42</v>
      </c>
      <c r="D1028" s="2">
        <v>308306</v>
      </c>
      <c r="E1028" s="2">
        <v>30031</v>
      </c>
      <c r="F1028" s="3">
        <v>3.9</v>
      </c>
      <c r="G1028" s="3">
        <v>157198</v>
      </c>
      <c r="H1028" s="3">
        <v>78.400000000000006</v>
      </c>
      <c r="I1028" s="3">
        <v>16.5</v>
      </c>
      <c r="J1028" s="3">
        <v>4.9000000000000004</v>
      </c>
      <c r="K1028" s="3">
        <v>0.1</v>
      </c>
      <c r="L1028" s="3">
        <v>6.9</v>
      </c>
      <c r="M1028" t="str">
        <f>IF(acs2015_county_data[[#This Row],[PublicWork]]&gt;='Описательные характеристики'!$F$5,"да","нет")</f>
        <v>да</v>
      </c>
      <c r="N1028" t="str">
        <f>IF(acs2015_county_data[[#This Row],[Unemployment]]&gt;='Описательные характеристики'!$I$5,"да","нет")</f>
        <v>нет</v>
      </c>
    </row>
    <row r="1029" spans="1:14" x14ac:dyDescent="0.35">
      <c r="A1029">
        <v>21069</v>
      </c>
      <c r="B1029" t="s">
        <v>710</v>
      </c>
      <c r="C1029" t="s">
        <v>730</v>
      </c>
      <c r="D1029" s="2">
        <v>14544</v>
      </c>
      <c r="E1029" s="2">
        <v>21453</v>
      </c>
      <c r="F1029" s="3">
        <v>4.2</v>
      </c>
      <c r="G1029" s="3">
        <v>5897</v>
      </c>
      <c r="H1029" s="3">
        <v>75.400000000000006</v>
      </c>
      <c r="I1029" s="3">
        <v>15.3</v>
      </c>
      <c r="J1029" s="3">
        <v>9.3000000000000007</v>
      </c>
      <c r="K1029" s="3">
        <v>0</v>
      </c>
      <c r="L1029" s="3">
        <v>9.6999999999999993</v>
      </c>
      <c r="M1029" t="str">
        <f>IF(acs2015_county_data[[#This Row],[PublicWork]]&gt;='Описательные характеристики'!$F$5,"да","нет")</f>
        <v>нет</v>
      </c>
      <c r="N1029" t="str">
        <f>IF(acs2015_county_data[[#This Row],[Unemployment]]&gt;='Описательные характеристики'!$I$5,"да","нет")</f>
        <v>да</v>
      </c>
    </row>
    <row r="1030" spans="1:14" x14ac:dyDescent="0.35">
      <c r="A1030">
        <v>21071</v>
      </c>
      <c r="B1030" t="s">
        <v>710</v>
      </c>
      <c r="C1030" t="s">
        <v>396</v>
      </c>
      <c r="D1030" s="2">
        <v>38649</v>
      </c>
      <c r="E1030" s="2">
        <v>18173</v>
      </c>
      <c r="F1030" s="3">
        <v>1.7</v>
      </c>
      <c r="G1030" s="3">
        <v>11922</v>
      </c>
      <c r="H1030" s="3">
        <v>71.2</v>
      </c>
      <c r="I1030" s="3">
        <v>22.3</v>
      </c>
      <c r="J1030" s="3">
        <v>6.4</v>
      </c>
      <c r="K1030" s="3">
        <v>0</v>
      </c>
      <c r="L1030" s="3">
        <v>9.6999999999999993</v>
      </c>
      <c r="M1030" t="str">
        <f>IF(acs2015_county_data[[#This Row],[PublicWork]]&gt;='Описательные характеристики'!$F$5,"да","нет")</f>
        <v>да</v>
      </c>
      <c r="N1030" t="str">
        <f>IF(acs2015_county_data[[#This Row],[Unemployment]]&gt;='Описательные характеристики'!$I$5,"да","нет")</f>
        <v>да</v>
      </c>
    </row>
    <row r="1031" spans="1:14" x14ac:dyDescent="0.35">
      <c r="A1031">
        <v>21073</v>
      </c>
      <c r="B1031" t="s">
        <v>710</v>
      </c>
      <c r="C1031" t="s">
        <v>43</v>
      </c>
      <c r="D1031" s="2">
        <v>49778</v>
      </c>
      <c r="E1031" s="2">
        <v>26778</v>
      </c>
      <c r="F1031" s="3">
        <v>2.5</v>
      </c>
      <c r="G1031" s="3">
        <v>22601</v>
      </c>
      <c r="H1031" s="3">
        <v>60.2</v>
      </c>
      <c r="I1031" s="3">
        <v>34.1</v>
      </c>
      <c r="J1031" s="3">
        <v>5.5</v>
      </c>
      <c r="K1031" s="3">
        <v>0.1</v>
      </c>
      <c r="L1031" s="3">
        <v>8.6999999999999993</v>
      </c>
      <c r="M1031" t="str">
        <f>IF(acs2015_county_data[[#This Row],[PublicWork]]&gt;='Описательные характеристики'!$F$5,"да","нет")</f>
        <v>да</v>
      </c>
      <c r="N1031" t="str">
        <f>IF(acs2015_county_data[[#This Row],[Unemployment]]&gt;='Описательные характеристики'!$I$5,"да","нет")</f>
        <v>да</v>
      </c>
    </row>
    <row r="1032" spans="1:14" x14ac:dyDescent="0.35">
      <c r="A1032">
        <v>21075</v>
      </c>
      <c r="B1032" t="s">
        <v>710</v>
      </c>
      <c r="C1032" t="s">
        <v>142</v>
      </c>
      <c r="D1032" s="2">
        <v>6422</v>
      </c>
      <c r="E1032" s="2">
        <v>18082</v>
      </c>
      <c r="F1032" s="3">
        <v>4.5999999999999996</v>
      </c>
      <c r="G1032" s="3">
        <v>2274</v>
      </c>
      <c r="H1032" s="3">
        <v>75.2</v>
      </c>
      <c r="I1032" s="3">
        <v>17.2</v>
      </c>
      <c r="J1032" s="3">
        <v>6.7</v>
      </c>
      <c r="K1032" s="3">
        <v>0.8</v>
      </c>
      <c r="L1032" s="3">
        <v>12</v>
      </c>
      <c r="M1032" t="str">
        <f>IF(acs2015_county_data[[#This Row],[PublicWork]]&gt;='Описательные характеристики'!$F$5,"да","нет")</f>
        <v>да</v>
      </c>
      <c r="N1032" t="str">
        <f>IF(acs2015_county_data[[#This Row],[Unemployment]]&gt;='Описательные характеристики'!$I$5,"да","нет")</f>
        <v>да</v>
      </c>
    </row>
    <row r="1033" spans="1:14" x14ac:dyDescent="0.35">
      <c r="A1033">
        <v>21077</v>
      </c>
      <c r="B1033" t="s">
        <v>710</v>
      </c>
      <c r="C1033" t="s">
        <v>519</v>
      </c>
      <c r="D1033" s="2">
        <v>8567</v>
      </c>
      <c r="E1033" s="2">
        <v>21634</v>
      </c>
      <c r="F1033" s="3">
        <v>2.5</v>
      </c>
      <c r="G1033" s="3">
        <v>3821</v>
      </c>
      <c r="H1033" s="3">
        <v>82.4</v>
      </c>
      <c r="I1033" s="3">
        <v>12.6</v>
      </c>
      <c r="J1033" s="3">
        <v>4.5999999999999996</v>
      </c>
      <c r="K1033" s="3">
        <v>0.5</v>
      </c>
      <c r="L1033" s="3">
        <v>6</v>
      </c>
      <c r="M1033" t="str">
        <f>IF(acs2015_county_data[[#This Row],[PublicWork]]&gt;='Описательные характеристики'!$F$5,"да","нет")</f>
        <v>нет</v>
      </c>
      <c r="N1033" t="str">
        <f>IF(acs2015_county_data[[#This Row],[Unemployment]]&gt;='Описательные характеристики'!$I$5,"да","нет")</f>
        <v>нет</v>
      </c>
    </row>
    <row r="1034" spans="1:14" x14ac:dyDescent="0.35">
      <c r="A1034">
        <v>21079</v>
      </c>
      <c r="B1034" t="s">
        <v>710</v>
      </c>
      <c r="C1034" t="s">
        <v>731</v>
      </c>
      <c r="D1034" s="2">
        <v>16976</v>
      </c>
      <c r="E1034" s="2">
        <v>22567</v>
      </c>
      <c r="F1034" s="3">
        <v>5.4</v>
      </c>
      <c r="G1034" s="3">
        <v>7138</v>
      </c>
      <c r="H1034" s="3">
        <v>77</v>
      </c>
      <c r="I1034" s="3">
        <v>15.6</v>
      </c>
      <c r="J1034" s="3">
        <v>7.4</v>
      </c>
      <c r="K1034" s="3">
        <v>0</v>
      </c>
      <c r="L1034" s="3">
        <v>11.4</v>
      </c>
      <c r="M1034" t="str">
        <f>IF(acs2015_county_data[[#This Row],[PublicWork]]&gt;='Описательные характеристики'!$F$5,"да","нет")</f>
        <v>нет</v>
      </c>
      <c r="N1034" t="str">
        <f>IF(acs2015_county_data[[#This Row],[Unemployment]]&gt;='Описательные характеристики'!$I$5,"да","нет")</f>
        <v>да</v>
      </c>
    </row>
    <row r="1035" spans="1:14" x14ac:dyDescent="0.35">
      <c r="A1035">
        <v>21081</v>
      </c>
      <c r="B1035" t="s">
        <v>710</v>
      </c>
      <c r="C1035" t="s">
        <v>144</v>
      </c>
      <c r="D1035" s="2">
        <v>24670</v>
      </c>
      <c r="E1035" s="2">
        <v>19667</v>
      </c>
      <c r="F1035" s="3">
        <v>2.4</v>
      </c>
      <c r="G1035" s="3">
        <v>10215</v>
      </c>
      <c r="H1035" s="3">
        <v>81.7</v>
      </c>
      <c r="I1035" s="3">
        <v>14.3</v>
      </c>
      <c r="J1035" s="3">
        <v>4</v>
      </c>
      <c r="K1035" s="3">
        <v>0</v>
      </c>
      <c r="L1035" s="3">
        <v>6.8</v>
      </c>
      <c r="M1035" t="str">
        <f>IF(acs2015_county_data[[#This Row],[PublicWork]]&gt;='Описательные характеристики'!$F$5,"да","нет")</f>
        <v>нет</v>
      </c>
      <c r="N1035" t="str">
        <f>IF(acs2015_county_data[[#This Row],[Unemployment]]&gt;='Описательные характеристики'!$I$5,"да","нет")</f>
        <v>нет</v>
      </c>
    </row>
    <row r="1036" spans="1:14" x14ac:dyDescent="0.35">
      <c r="A1036">
        <v>21083</v>
      </c>
      <c r="B1036" t="s">
        <v>710</v>
      </c>
      <c r="C1036" t="s">
        <v>732</v>
      </c>
      <c r="D1036" s="2">
        <v>37502</v>
      </c>
      <c r="E1036" s="2">
        <v>20805</v>
      </c>
      <c r="F1036" s="3">
        <v>4.9000000000000004</v>
      </c>
      <c r="G1036" s="3">
        <v>15840</v>
      </c>
      <c r="H1036" s="3">
        <v>77</v>
      </c>
      <c r="I1036" s="3">
        <v>14.3</v>
      </c>
      <c r="J1036" s="3">
        <v>8.6</v>
      </c>
      <c r="K1036" s="3">
        <v>0</v>
      </c>
      <c r="L1036" s="3">
        <v>7.2</v>
      </c>
      <c r="M1036" t="str">
        <f>IF(acs2015_county_data[[#This Row],[PublicWork]]&gt;='Описательные характеристики'!$F$5,"да","нет")</f>
        <v>нет</v>
      </c>
      <c r="N1036" t="str">
        <f>IF(acs2015_county_data[[#This Row],[Unemployment]]&gt;='Описательные характеристики'!$I$5,"да","нет")</f>
        <v>нет</v>
      </c>
    </row>
    <row r="1037" spans="1:14" x14ac:dyDescent="0.35">
      <c r="A1037">
        <v>21085</v>
      </c>
      <c r="B1037" t="s">
        <v>710</v>
      </c>
      <c r="C1037" t="s">
        <v>733</v>
      </c>
      <c r="D1037" s="2">
        <v>26001</v>
      </c>
      <c r="E1037" s="2">
        <v>19902</v>
      </c>
      <c r="F1037" s="3">
        <v>3.2</v>
      </c>
      <c r="G1037" s="3">
        <v>10342</v>
      </c>
      <c r="H1037" s="3">
        <v>75.5</v>
      </c>
      <c r="I1037" s="3">
        <v>16.600000000000001</v>
      </c>
      <c r="J1037" s="3">
        <v>7.6</v>
      </c>
      <c r="K1037" s="3">
        <v>0.3</v>
      </c>
      <c r="L1037" s="3">
        <v>9.3000000000000007</v>
      </c>
      <c r="M1037" t="str">
        <f>IF(acs2015_county_data[[#This Row],[PublicWork]]&gt;='Описательные характеристики'!$F$5,"да","нет")</f>
        <v>да</v>
      </c>
      <c r="N1037" t="str">
        <f>IF(acs2015_county_data[[#This Row],[Unemployment]]&gt;='Описательные характеристики'!$I$5,"да","нет")</f>
        <v>да</v>
      </c>
    </row>
    <row r="1038" spans="1:14" x14ac:dyDescent="0.35">
      <c r="A1038">
        <v>21087</v>
      </c>
      <c r="B1038" t="s">
        <v>710</v>
      </c>
      <c r="C1038" t="s">
        <v>734</v>
      </c>
      <c r="D1038" s="2">
        <v>11149</v>
      </c>
      <c r="E1038" s="2">
        <v>19563</v>
      </c>
      <c r="F1038" s="3">
        <v>4.5</v>
      </c>
      <c r="G1038" s="3">
        <v>4459</v>
      </c>
      <c r="H1038" s="3">
        <v>74.7</v>
      </c>
      <c r="I1038" s="3">
        <v>15.4</v>
      </c>
      <c r="J1038" s="3">
        <v>9.6999999999999993</v>
      </c>
      <c r="K1038" s="3">
        <v>0.3</v>
      </c>
      <c r="L1038" s="3">
        <v>9</v>
      </c>
      <c r="M1038" t="str">
        <f>IF(acs2015_county_data[[#This Row],[PublicWork]]&gt;='Описательные характеристики'!$F$5,"да","нет")</f>
        <v>нет</v>
      </c>
      <c r="N1038" t="str">
        <f>IF(acs2015_county_data[[#This Row],[Unemployment]]&gt;='Описательные характеристики'!$I$5,"да","нет")</f>
        <v>да</v>
      </c>
    </row>
    <row r="1039" spans="1:14" x14ac:dyDescent="0.35">
      <c r="A1039">
        <v>21089</v>
      </c>
      <c r="B1039" t="s">
        <v>710</v>
      </c>
      <c r="C1039" t="s">
        <v>735</v>
      </c>
      <c r="D1039" s="2">
        <v>36477</v>
      </c>
      <c r="E1039" s="2">
        <v>23649</v>
      </c>
      <c r="F1039" s="3">
        <v>1.6</v>
      </c>
      <c r="G1039" s="3">
        <v>13500</v>
      </c>
      <c r="H1039" s="3">
        <v>79.900000000000006</v>
      </c>
      <c r="I1039" s="3">
        <v>15</v>
      </c>
      <c r="J1039" s="3">
        <v>5</v>
      </c>
      <c r="K1039" s="3">
        <v>0.1</v>
      </c>
      <c r="L1039" s="3">
        <v>10.1</v>
      </c>
      <c r="M1039" t="str">
        <f>IF(acs2015_county_data[[#This Row],[PublicWork]]&gt;='Описательные характеристики'!$F$5,"да","нет")</f>
        <v>нет</v>
      </c>
      <c r="N1039" t="str">
        <f>IF(acs2015_county_data[[#This Row],[Unemployment]]&gt;='Описательные характеристики'!$I$5,"да","нет")</f>
        <v>да</v>
      </c>
    </row>
    <row r="1040" spans="1:14" x14ac:dyDescent="0.35">
      <c r="A1040">
        <v>21091</v>
      </c>
      <c r="B1040" t="s">
        <v>710</v>
      </c>
      <c r="C1040" t="s">
        <v>406</v>
      </c>
      <c r="D1040" s="2">
        <v>8669</v>
      </c>
      <c r="E1040" s="2">
        <v>22330</v>
      </c>
      <c r="F1040" s="3">
        <v>2.1</v>
      </c>
      <c r="G1040" s="3">
        <v>3647</v>
      </c>
      <c r="H1040" s="3">
        <v>85.1</v>
      </c>
      <c r="I1040" s="3">
        <v>11.1</v>
      </c>
      <c r="J1040" s="3">
        <v>3.6</v>
      </c>
      <c r="K1040" s="3">
        <v>0.1</v>
      </c>
      <c r="L1040" s="3">
        <v>5.9</v>
      </c>
      <c r="M1040" t="str">
        <f>IF(acs2015_county_data[[#This Row],[PublicWork]]&gt;='Описательные характеристики'!$F$5,"да","нет")</f>
        <v>нет</v>
      </c>
      <c r="N1040" t="str">
        <f>IF(acs2015_county_data[[#This Row],[Unemployment]]&gt;='Описательные характеристики'!$I$5,"да","нет")</f>
        <v>нет</v>
      </c>
    </row>
    <row r="1041" spans="1:14" x14ac:dyDescent="0.35">
      <c r="A1041">
        <v>21093</v>
      </c>
      <c r="B1041" t="s">
        <v>710</v>
      </c>
      <c r="C1041" t="s">
        <v>521</v>
      </c>
      <c r="D1041" s="2">
        <v>107529</v>
      </c>
      <c r="E1041" s="2">
        <v>24845</v>
      </c>
      <c r="F1041" s="3">
        <v>3.2</v>
      </c>
      <c r="G1041" s="3">
        <v>46001</v>
      </c>
      <c r="H1041" s="3">
        <v>72.8</v>
      </c>
      <c r="I1041" s="3">
        <v>22.7</v>
      </c>
      <c r="J1041" s="3">
        <v>4.5</v>
      </c>
      <c r="K1041" s="3">
        <v>0</v>
      </c>
      <c r="L1041" s="3">
        <v>8.1999999999999993</v>
      </c>
      <c r="M1041" t="str">
        <f>IF(acs2015_county_data[[#This Row],[PublicWork]]&gt;='Описательные характеристики'!$F$5,"да","нет")</f>
        <v>да</v>
      </c>
      <c r="N1041" t="str">
        <f>IF(acs2015_county_data[[#This Row],[Unemployment]]&gt;='Описательные характеристики'!$I$5,"да","нет")</f>
        <v>да</v>
      </c>
    </row>
    <row r="1042" spans="1:14" x14ac:dyDescent="0.35">
      <c r="A1042">
        <v>21095</v>
      </c>
      <c r="B1042" t="s">
        <v>710</v>
      </c>
      <c r="C1042" t="s">
        <v>736</v>
      </c>
      <c r="D1042" s="2">
        <v>28400</v>
      </c>
      <c r="E1042" s="2">
        <v>15840</v>
      </c>
      <c r="F1042" s="3">
        <v>1.4</v>
      </c>
      <c r="G1042" s="3">
        <v>8189</v>
      </c>
      <c r="H1042" s="3">
        <v>74</v>
      </c>
      <c r="I1042" s="3">
        <v>20.2</v>
      </c>
      <c r="J1042" s="3">
        <v>5.8</v>
      </c>
      <c r="K1042" s="3">
        <v>0.1</v>
      </c>
      <c r="L1042" s="3">
        <v>9.8000000000000007</v>
      </c>
      <c r="M1042" t="str">
        <f>IF(acs2015_county_data[[#This Row],[PublicWork]]&gt;='Описательные характеристики'!$F$5,"да","нет")</f>
        <v>да</v>
      </c>
      <c r="N1042" t="str">
        <f>IF(acs2015_county_data[[#This Row],[Unemployment]]&gt;='Описательные характеристики'!$I$5,"да","нет")</f>
        <v>да</v>
      </c>
    </row>
    <row r="1043" spans="1:14" x14ac:dyDescent="0.35">
      <c r="A1043">
        <v>21097</v>
      </c>
      <c r="B1043" t="s">
        <v>710</v>
      </c>
      <c r="C1043" t="s">
        <v>568</v>
      </c>
      <c r="D1043" s="2">
        <v>18648</v>
      </c>
      <c r="E1043" s="2">
        <v>20490</v>
      </c>
      <c r="F1043" s="3">
        <v>2.4</v>
      </c>
      <c r="G1043" s="3">
        <v>7303</v>
      </c>
      <c r="H1043" s="3">
        <v>80.099999999999994</v>
      </c>
      <c r="I1043" s="3">
        <v>14.3</v>
      </c>
      <c r="J1043" s="3">
        <v>5.6</v>
      </c>
      <c r="K1043" s="3">
        <v>0</v>
      </c>
      <c r="L1043" s="3">
        <v>8.1</v>
      </c>
      <c r="M1043" t="str">
        <f>IF(acs2015_county_data[[#This Row],[PublicWork]]&gt;='Описательные характеристики'!$F$5,"да","нет")</f>
        <v>нет</v>
      </c>
      <c r="N1043" t="str">
        <f>IF(acs2015_county_data[[#This Row],[Unemployment]]&gt;='Описательные характеристики'!$I$5,"да","нет")</f>
        <v>да</v>
      </c>
    </row>
    <row r="1044" spans="1:14" x14ac:dyDescent="0.35">
      <c r="A1044">
        <v>21099</v>
      </c>
      <c r="B1044" t="s">
        <v>710</v>
      </c>
      <c r="C1044" t="s">
        <v>409</v>
      </c>
      <c r="D1044" s="2">
        <v>18441</v>
      </c>
      <c r="E1044" s="2">
        <v>18993</v>
      </c>
      <c r="F1044" s="3">
        <v>4.8</v>
      </c>
      <c r="G1044" s="3">
        <v>6958</v>
      </c>
      <c r="H1044" s="3">
        <v>71.2</v>
      </c>
      <c r="I1044" s="3">
        <v>14.6</v>
      </c>
      <c r="J1044" s="3">
        <v>13.6</v>
      </c>
      <c r="K1044" s="3">
        <v>0.6</v>
      </c>
      <c r="L1044" s="3">
        <v>9.6</v>
      </c>
      <c r="M1044" t="str">
        <f>IF(acs2015_county_data[[#This Row],[PublicWork]]&gt;='Описательные характеристики'!$F$5,"да","нет")</f>
        <v>нет</v>
      </c>
      <c r="N1044" t="str">
        <f>IF(acs2015_county_data[[#This Row],[Unemployment]]&gt;='Описательные характеристики'!$I$5,"да","нет")</f>
        <v>да</v>
      </c>
    </row>
    <row r="1045" spans="1:14" x14ac:dyDescent="0.35">
      <c r="A1045">
        <v>21101</v>
      </c>
      <c r="B1045" t="s">
        <v>710</v>
      </c>
      <c r="C1045" t="s">
        <v>522</v>
      </c>
      <c r="D1045" s="2">
        <v>46396</v>
      </c>
      <c r="E1045" s="2">
        <v>22628</v>
      </c>
      <c r="F1045" s="3">
        <v>2.5</v>
      </c>
      <c r="G1045" s="3">
        <v>20337</v>
      </c>
      <c r="H1045" s="3">
        <v>80.7</v>
      </c>
      <c r="I1045" s="3">
        <v>14.1</v>
      </c>
      <c r="J1045" s="3">
        <v>5.0999999999999996</v>
      </c>
      <c r="K1045" s="3">
        <v>0.1</v>
      </c>
      <c r="L1045" s="3">
        <v>8</v>
      </c>
      <c r="M1045" t="str">
        <f>IF(acs2015_county_data[[#This Row],[PublicWork]]&gt;='Описательные характеристики'!$F$5,"да","нет")</f>
        <v>нет</v>
      </c>
      <c r="N1045" t="str">
        <f>IF(acs2015_county_data[[#This Row],[Unemployment]]&gt;='Описательные характеристики'!$I$5,"да","нет")</f>
        <v>да</v>
      </c>
    </row>
    <row r="1046" spans="1:14" x14ac:dyDescent="0.35">
      <c r="A1046">
        <v>21103</v>
      </c>
      <c r="B1046" t="s">
        <v>710</v>
      </c>
      <c r="C1046" t="s">
        <v>47</v>
      </c>
      <c r="D1046" s="2">
        <v>15455</v>
      </c>
      <c r="E1046" s="2">
        <v>21806</v>
      </c>
      <c r="F1046" s="3">
        <v>3</v>
      </c>
      <c r="G1046" s="3">
        <v>7099</v>
      </c>
      <c r="H1046" s="3">
        <v>75.900000000000006</v>
      </c>
      <c r="I1046" s="3">
        <v>13.6</v>
      </c>
      <c r="J1046" s="3">
        <v>10.4</v>
      </c>
      <c r="K1046" s="3">
        <v>0.2</v>
      </c>
      <c r="L1046" s="3">
        <v>6.6</v>
      </c>
      <c r="M1046" t="str">
        <f>IF(acs2015_county_data[[#This Row],[PublicWork]]&gt;='Описательные характеристики'!$F$5,"да","нет")</f>
        <v>нет</v>
      </c>
      <c r="N1046" t="str">
        <f>IF(acs2015_county_data[[#This Row],[Unemployment]]&gt;='Описательные характеристики'!$I$5,"да","нет")</f>
        <v>нет</v>
      </c>
    </row>
    <row r="1047" spans="1:14" x14ac:dyDescent="0.35">
      <c r="A1047">
        <v>21105</v>
      </c>
      <c r="B1047" t="s">
        <v>710</v>
      </c>
      <c r="C1047" t="s">
        <v>737</v>
      </c>
      <c r="D1047" s="2">
        <v>4720</v>
      </c>
      <c r="E1047" s="2">
        <v>19597</v>
      </c>
      <c r="F1047" s="3">
        <v>7.6</v>
      </c>
      <c r="G1047" s="3">
        <v>1742</v>
      </c>
      <c r="H1047" s="3">
        <v>76.099999999999994</v>
      </c>
      <c r="I1047" s="3">
        <v>15</v>
      </c>
      <c r="J1047" s="3">
        <v>9</v>
      </c>
      <c r="K1047" s="3">
        <v>0</v>
      </c>
      <c r="L1047" s="3">
        <v>8.8000000000000007</v>
      </c>
      <c r="M1047" t="str">
        <f>IF(acs2015_county_data[[#This Row],[PublicWork]]&gt;='Описательные характеристики'!$F$5,"да","нет")</f>
        <v>нет</v>
      </c>
      <c r="N1047" t="str">
        <f>IF(acs2015_county_data[[#This Row],[Unemployment]]&gt;='Описательные характеристики'!$I$5,"да","нет")</f>
        <v>да</v>
      </c>
    </row>
    <row r="1048" spans="1:14" x14ac:dyDescent="0.35">
      <c r="A1048">
        <v>21107</v>
      </c>
      <c r="B1048" t="s">
        <v>710</v>
      </c>
      <c r="C1048" t="s">
        <v>738</v>
      </c>
      <c r="D1048" s="2">
        <v>46518</v>
      </c>
      <c r="E1048" s="2">
        <v>22517</v>
      </c>
      <c r="F1048" s="3">
        <v>1.6</v>
      </c>
      <c r="G1048" s="3">
        <v>19388</v>
      </c>
      <c r="H1048" s="3">
        <v>76.8</v>
      </c>
      <c r="I1048" s="3">
        <v>17</v>
      </c>
      <c r="J1048" s="3">
        <v>6.1</v>
      </c>
      <c r="K1048" s="3">
        <v>0.2</v>
      </c>
      <c r="L1048" s="3">
        <v>6.7</v>
      </c>
      <c r="M1048" t="str">
        <f>IF(acs2015_county_data[[#This Row],[PublicWork]]&gt;='Описательные характеристики'!$F$5,"да","нет")</f>
        <v>да</v>
      </c>
      <c r="N1048" t="str">
        <f>IF(acs2015_county_data[[#This Row],[Unemployment]]&gt;='Описательные характеристики'!$I$5,"да","нет")</f>
        <v>нет</v>
      </c>
    </row>
    <row r="1049" spans="1:14" x14ac:dyDescent="0.35">
      <c r="A1049">
        <v>21109</v>
      </c>
      <c r="B1049" t="s">
        <v>710</v>
      </c>
      <c r="C1049" t="s">
        <v>49</v>
      </c>
      <c r="D1049" s="2">
        <v>13357</v>
      </c>
      <c r="E1049" s="2">
        <v>16405</v>
      </c>
      <c r="F1049" s="3">
        <v>0.7</v>
      </c>
      <c r="G1049" s="3">
        <v>3993</v>
      </c>
      <c r="H1049" s="3">
        <v>72.900000000000006</v>
      </c>
      <c r="I1049" s="3">
        <v>22.1</v>
      </c>
      <c r="J1049" s="3">
        <v>5</v>
      </c>
      <c r="K1049" s="3">
        <v>0</v>
      </c>
      <c r="L1049" s="3">
        <v>12.3</v>
      </c>
      <c r="M1049" t="str">
        <f>IF(acs2015_county_data[[#This Row],[PublicWork]]&gt;='Описательные характеристики'!$F$5,"да","нет")</f>
        <v>да</v>
      </c>
      <c r="N1049" t="str">
        <f>IF(acs2015_county_data[[#This Row],[Unemployment]]&gt;='Описательные характеристики'!$I$5,"да","нет")</f>
        <v>да</v>
      </c>
    </row>
    <row r="1050" spans="1:14" x14ac:dyDescent="0.35">
      <c r="A1050">
        <v>21111</v>
      </c>
      <c r="B1050" t="s">
        <v>710</v>
      </c>
      <c r="C1050" t="s">
        <v>50</v>
      </c>
      <c r="D1050" s="2">
        <v>755809</v>
      </c>
      <c r="E1050" s="2">
        <v>28822</v>
      </c>
      <c r="F1050" s="3">
        <v>3.2</v>
      </c>
      <c r="G1050" s="3">
        <v>361510</v>
      </c>
      <c r="H1050" s="3">
        <v>84</v>
      </c>
      <c r="I1050" s="3">
        <v>11.5</v>
      </c>
      <c r="J1050" s="3">
        <v>4.4000000000000004</v>
      </c>
      <c r="K1050" s="3">
        <v>0.1</v>
      </c>
      <c r="L1050" s="3">
        <v>8.4</v>
      </c>
      <c r="M1050" t="str">
        <f>IF(acs2015_county_data[[#This Row],[PublicWork]]&gt;='Описательные характеристики'!$F$5,"да","нет")</f>
        <v>нет</v>
      </c>
      <c r="N1050" t="str">
        <f>IF(acs2015_county_data[[#This Row],[Unemployment]]&gt;='Описательные характеристики'!$I$5,"да","нет")</f>
        <v>да</v>
      </c>
    </row>
    <row r="1051" spans="1:14" x14ac:dyDescent="0.35">
      <c r="A1051">
        <v>21113</v>
      </c>
      <c r="B1051" t="s">
        <v>710</v>
      </c>
      <c r="C1051" t="s">
        <v>739</v>
      </c>
      <c r="D1051" s="2">
        <v>50328</v>
      </c>
      <c r="E1051" s="2">
        <v>26230</v>
      </c>
      <c r="F1051" s="3">
        <v>4.8</v>
      </c>
      <c r="G1051" s="3">
        <v>23096</v>
      </c>
      <c r="H1051" s="3">
        <v>80.400000000000006</v>
      </c>
      <c r="I1051" s="3">
        <v>13.1</v>
      </c>
      <c r="J1051" s="3">
        <v>6.1</v>
      </c>
      <c r="K1051" s="3">
        <v>0.4</v>
      </c>
      <c r="L1051" s="3">
        <v>8.8000000000000007</v>
      </c>
      <c r="M1051" t="str">
        <f>IF(acs2015_county_data[[#This Row],[PublicWork]]&gt;='Описательные характеристики'!$F$5,"да","нет")</f>
        <v>нет</v>
      </c>
      <c r="N1051" t="str">
        <f>IF(acs2015_county_data[[#This Row],[Unemployment]]&gt;='Описательные характеристики'!$I$5,"да","нет")</f>
        <v>да</v>
      </c>
    </row>
    <row r="1052" spans="1:14" x14ac:dyDescent="0.35">
      <c r="A1052">
        <v>21115</v>
      </c>
      <c r="B1052" t="s">
        <v>710</v>
      </c>
      <c r="C1052" t="s">
        <v>150</v>
      </c>
      <c r="D1052" s="2">
        <v>23350</v>
      </c>
      <c r="E1052" s="2">
        <v>18436</v>
      </c>
      <c r="F1052" s="3">
        <v>1.9</v>
      </c>
      <c r="G1052" s="3">
        <v>7136</v>
      </c>
      <c r="H1052" s="3">
        <v>75.099999999999994</v>
      </c>
      <c r="I1052" s="3">
        <v>19.899999999999999</v>
      </c>
      <c r="J1052" s="3">
        <v>5</v>
      </c>
      <c r="K1052" s="3">
        <v>0</v>
      </c>
      <c r="L1052" s="3">
        <v>9.1</v>
      </c>
      <c r="M1052" t="str">
        <f>IF(acs2015_county_data[[#This Row],[PublicWork]]&gt;='Описательные характеристики'!$F$5,"да","нет")</f>
        <v>да</v>
      </c>
      <c r="N1052" t="str">
        <f>IF(acs2015_county_data[[#This Row],[Unemployment]]&gt;='Описательные характеристики'!$I$5,"да","нет")</f>
        <v>да</v>
      </c>
    </row>
    <row r="1053" spans="1:14" x14ac:dyDescent="0.35">
      <c r="A1053">
        <v>21117</v>
      </c>
      <c r="B1053" t="s">
        <v>710</v>
      </c>
      <c r="C1053" t="s">
        <v>740</v>
      </c>
      <c r="D1053" s="2">
        <v>163007</v>
      </c>
      <c r="E1053" s="2">
        <v>27847</v>
      </c>
      <c r="F1053" s="3">
        <v>2.9</v>
      </c>
      <c r="G1053" s="3">
        <v>79447</v>
      </c>
      <c r="H1053" s="3">
        <v>86.1</v>
      </c>
      <c r="I1053" s="3">
        <v>10.6</v>
      </c>
      <c r="J1053" s="3">
        <v>3.2</v>
      </c>
      <c r="K1053" s="3">
        <v>0.1</v>
      </c>
      <c r="L1053" s="3">
        <v>7.7</v>
      </c>
      <c r="M1053" t="str">
        <f>IF(acs2015_county_data[[#This Row],[PublicWork]]&gt;='Описательные характеристики'!$F$5,"да","нет")</f>
        <v>нет</v>
      </c>
      <c r="N1053" t="str">
        <f>IF(acs2015_county_data[[#This Row],[Unemployment]]&gt;='Описательные характеристики'!$I$5,"да","нет")</f>
        <v>да</v>
      </c>
    </row>
    <row r="1054" spans="1:14" x14ac:dyDescent="0.35">
      <c r="A1054">
        <v>21119</v>
      </c>
      <c r="B1054" t="s">
        <v>710</v>
      </c>
      <c r="C1054" t="s">
        <v>741</v>
      </c>
      <c r="D1054" s="2">
        <v>16000</v>
      </c>
      <c r="E1054" s="2">
        <v>17939</v>
      </c>
      <c r="F1054" s="3">
        <v>2.2999999999999998</v>
      </c>
      <c r="G1054" s="3">
        <v>4755</v>
      </c>
      <c r="H1054" s="3">
        <v>69.8</v>
      </c>
      <c r="I1054" s="3">
        <v>23.5</v>
      </c>
      <c r="J1054" s="3">
        <v>6.5</v>
      </c>
      <c r="K1054" s="3">
        <v>0.3</v>
      </c>
      <c r="L1054" s="3">
        <v>14.6</v>
      </c>
      <c r="M1054" t="str">
        <f>IF(acs2015_county_data[[#This Row],[PublicWork]]&gt;='Описательные характеристики'!$F$5,"да","нет")</f>
        <v>да</v>
      </c>
      <c r="N1054" t="str">
        <f>IF(acs2015_county_data[[#This Row],[Unemployment]]&gt;='Описательные характеристики'!$I$5,"да","нет")</f>
        <v>да</v>
      </c>
    </row>
    <row r="1055" spans="1:14" x14ac:dyDescent="0.35">
      <c r="A1055">
        <v>21121</v>
      </c>
      <c r="B1055" t="s">
        <v>710</v>
      </c>
      <c r="C1055" t="s">
        <v>529</v>
      </c>
      <c r="D1055" s="2">
        <v>31809</v>
      </c>
      <c r="E1055" s="2">
        <v>15599</v>
      </c>
      <c r="F1055" s="3">
        <v>2.1</v>
      </c>
      <c r="G1055" s="3">
        <v>9477</v>
      </c>
      <c r="H1055" s="3">
        <v>77</v>
      </c>
      <c r="I1055" s="3">
        <v>17.899999999999999</v>
      </c>
      <c r="J1055" s="3">
        <v>4.5999999999999996</v>
      </c>
      <c r="K1055" s="3">
        <v>0.4</v>
      </c>
      <c r="L1055" s="3">
        <v>15.7</v>
      </c>
      <c r="M1055" t="str">
        <f>IF(acs2015_county_data[[#This Row],[PublicWork]]&gt;='Описательные характеристики'!$F$5,"да","нет")</f>
        <v>да</v>
      </c>
      <c r="N1055" t="str">
        <f>IF(acs2015_county_data[[#This Row],[Unemployment]]&gt;='Описательные характеристики'!$I$5,"да","нет")</f>
        <v>да</v>
      </c>
    </row>
    <row r="1056" spans="1:14" x14ac:dyDescent="0.35">
      <c r="A1056">
        <v>21123</v>
      </c>
      <c r="B1056" t="s">
        <v>710</v>
      </c>
      <c r="C1056" t="s">
        <v>742</v>
      </c>
      <c r="D1056" s="2">
        <v>14149</v>
      </c>
      <c r="E1056" s="2">
        <v>20570</v>
      </c>
      <c r="F1056" s="3">
        <v>1.7</v>
      </c>
      <c r="G1056" s="3">
        <v>5771</v>
      </c>
      <c r="H1056" s="3">
        <v>78.900000000000006</v>
      </c>
      <c r="I1056" s="3">
        <v>12.3</v>
      </c>
      <c r="J1056" s="3">
        <v>8.6</v>
      </c>
      <c r="K1056" s="3">
        <v>0.3</v>
      </c>
      <c r="L1056" s="3">
        <v>9.3000000000000007</v>
      </c>
      <c r="M1056" t="str">
        <f>IF(acs2015_county_data[[#This Row],[PublicWork]]&gt;='Описательные характеристики'!$F$5,"да","нет")</f>
        <v>нет</v>
      </c>
      <c r="N1056" t="str">
        <f>IF(acs2015_county_data[[#This Row],[Unemployment]]&gt;='Описательные характеристики'!$I$5,"да","нет")</f>
        <v>да</v>
      </c>
    </row>
    <row r="1057" spans="1:14" x14ac:dyDescent="0.35">
      <c r="A1057">
        <v>21125</v>
      </c>
      <c r="B1057" t="s">
        <v>710</v>
      </c>
      <c r="C1057" t="s">
        <v>743</v>
      </c>
      <c r="D1057" s="2">
        <v>59751</v>
      </c>
      <c r="E1057" s="2">
        <v>18795</v>
      </c>
      <c r="F1057" s="3">
        <v>2.7</v>
      </c>
      <c r="G1057" s="3">
        <v>22079</v>
      </c>
      <c r="H1057" s="3">
        <v>80</v>
      </c>
      <c r="I1057" s="3">
        <v>15</v>
      </c>
      <c r="J1057" s="3">
        <v>4.9000000000000004</v>
      </c>
      <c r="K1057" s="3">
        <v>0.1</v>
      </c>
      <c r="L1057" s="3">
        <v>12.4</v>
      </c>
      <c r="M1057" t="str">
        <f>IF(acs2015_county_data[[#This Row],[PublicWork]]&gt;='Описательные характеристики'!$F$5,"да","нет")</f>
        <v>нет</v>
      </c>
      <c r="N1057" t="str">
        <f>IF(acs2015_county_data[[#This Row],[Unemployment]]&gt;='Описательные характеристики'!$I$5,"да","нет")</f>
        <v>да</v>
      </c>
    </row>
    <row r="1058" spans="1:14" x14ac:dyDescent="0.35">
      <c r="A1058">
        <v>21127</v>
      </c>
      <c r="B1058" t="s">
        <v>710</v>
      </c>
      <c r="C1058" t="s">
        <v>52</v>
      </c>
      <c r="D1058" s="2">
        <v>15821</v>
      </c>
      <c r="E1058" s="2">
        <v>18890</v>
      </c>
      <c r="F1058" s="3">
        <v>3.8</v>
      </c>
      <c r="G1058" s="3">
        <v>5366</v>
      </c>
      <c r="H1058" s="3">
        <v>78.099999999999994</v>
      </c>
      <c r="I1058" s="3">
        <v>17.600000000000001</v>
      </c>
      <c r="J1058" s="3">
        <v>4.3</v>
      </c>
      <c r="K1058" s="3">
        <v>0</v>
      </c>
      <c r="L1058" s="3">
        <v>7.8</v>
      </c>
      <c r="M1058" t="str">
        <f>IF(acs2015_county_data[[#This Row],[PublicWork]]&gt;='Описательные характеристики'!$F$5,"да","нет")</f>
        <v>да</v>
      </c>
      <c r="N1058" t="str">
        <f>IF(acs2015_county_data[[#This Row],[Unemployment]]&gt;='Описательные характеристики'!$I$5,"да","нет")</f>
        <v>да</v>
      </c>
    </row>
    <row r="1059" spans="1:14" x14ac:dyDescent="0.35">
      <c r="A1059">
        <v>21129</v>
      </c>
      <c r="B1059" t="s">
        <v>710</v>
      </c>
      <c r="C1059" t="s">
        <v>53</v>
      </c>
      <c r="D1059" s="2">
        <v>7119</v>
      </c>
      <c r="E1059" s="2">
        <v>13688</v>
      </c>
      <c r="F1059" s="3">
        <v>0.8</v>
      </c>
      <c r="G1059" s="3">
        <v>1694</v>
      </c>
      <c r="H1059" s="3">
        <v>63.9</v>
      </c>
      <c r="I1059" s="3">
        <v>30.2</v>
      </c>
      <c r="J1059" s="3">
        <v>5.4</v>
      </c>
      <c r="K1059" s="3">
        <v>0.5</v>
      </c>
      <c r="L1059" s="3">
        <v>12.2</v>
      </c>
      <c r="M1059" t="str">
        <f>IF(acs2015_county_data[[#This Row],[PublicWork]]&gt;='Описательные характеристики'!$F$5,"да","нет")</f>
        <v>да</v>
      </c>
      <c r="N1059" t="str">
        <f>IF(acs2015_county_data[[#This Row],[Unemployment]]&gt;='Описательные характеристики'!$I$5,"да","нет")</f>
        <v>да</v>
      </c>
    </row>
    <row r="1060" spans="1:14" x14ac:dyDescent="0.35">
      <c r="A1060">
        <v>21131</v>
      </c>
      <c r="B1060" t="s">
        <v>710</v>
      </c>
      <c r="C1060" t="s">
        <v>744</v>
      </c>
      <c r="D1060" s="2">
        <v>10997</v>
      </c>
      <c r="E1060" s="2">
        <v>15558</v>
      </c>
      <c r="F1060" s="3">
        <v>0.1</v>
      </c>
      <c r="G1060" s="3">
        <v>2816</v>
      </c>
      <c r="H1060" s="3">
        <v>76.2</v>
      </c>
      <c r="I1060" s="3">
        <v>20</v>
      </c>
      <c r="J1060" s="3">
        <v>3.7</v>
      </c>
      <c r="K1060" s="3">
        <v>0.1</v>
      </c>
      <c r="L1060" s="3">
        <v>17</v>
      </c>
      <c r="M1060" t="str">
        <f>IF(acs2015_county_data[[#This Row],[PublicWork]]&gt;='Описательные характеристики'!$F$5,"да","нет")</f>
        <v>да</v>
      </c>
      <c r="N1060" t="str">
        <f>IF(acs2015_county_data[[#This Row],[Unemployment]]&gt;='Описательные характеристики'!$I$5,"да","нет")</f>
        <v>да</v>
      </c>
    </row>
    <row r="1061" spans="1:14" x14ac:dyDescent="0.35">
      <c r="A1061">
        <v>21133</v>
      </c>
      <c r="B1061" t="s">
        <v>710</v>
      </c>
      <c r="C1061" t="s">
        <v>745</v>
      </c>
      <c r="D1061" s="2">
        <v>23671</v>
      </c>
      <c r="E1061" s="2">
        <v>17194</v>
      </c>
      <c r="F1061" s="3">
        <v>3</v>
      </c>
      <c r="G1061" s="3">
        <v>7281</v>
      </c>
      <c r="H1061" s="3">
        <v>73.900000000000006</v>
      </c>
      <c r="I1061" s="3">
        <v>20.8</v>
      </c>
      <c r="J1061" s="3">
        <v>5.0999999999999996</v>
      </c>
      <c r="K1061" s="3">
        <v>0.2</v>
      </c>
      <c r="L1061" s="3">
        <v>12.6</v>
      </c>
      <c r="M1061" t="str">
        <f>IF(acs2015_county_data[[#This Row],[PublicWork]]&gt;='Описательные характеристики'!$F$5,"да","нет")</f>
        <v>да</v>
      </c>
      <c r="N1061" t="str">
        <f>IF(acs2015_county_data[[#This Row],[Unemployment]]&gt;='Описательные характеристики'!$I$5,"да","нет")</f>
        <v>да</v>
      </c>
    </row>
    <row r="1062" spans="1:14" x14ac:dyDescent="0.35">
      <c r="A1062">
        <v>21135</v>
      </c>
      <c r="B1062" t="s">
        <v>710</v>
      </c>
      <c r="C1062" t="s">
        <v>492</v>
      </c>
      <c r="D1062" s="2">
        <v>13790</v>
      </c>
      <c r="E1062" s="2">
        <v>16662</v>
      </c>
      <c r="F1062" s="3">
        <v>3.8</v>
      </c>
      <c r="G1062" s="3">
        <v>4643</v>
      </c>
      <c r="H1062" s="3">
        <v>72.900000000000006</v>
      </c>
      <c r="I1062" s="3">
        <v>14.5</v>
      </c>
      <c r="J1062" s="3">
        <v>12.6</v>
      </c>
      <c r="K1062" s="3">
        <v>0</v>
      </c>
      <c r="L1062" s="3">
        <v>8.4</v>
      </c>
      <c r="M1062" t="str">
        <f>IF(acs2015_county_data[[#This Row],[PublicWork]]&gt;='Описательные характеристики'!$F$5,"да","нет")</f>
        <v>нет</v>
      </c>
      <c r="N1062" t="str">
        <f>IF(acs2015_county_data[[#This Row],[Unemployment]]&gt;='Описательные характеристики'!$I$5,"да","нет")</f>
        <v>да</v>
      </c>
    </row>
    <row r="1063" spans="1:14" x14ac:dyDescent="0.35">
      <c r="A1063">
        <v>21137</v>
      </c>
      <c r="B1063" t="s">
        <v>710</v>
      </c>
      <c r="C1063" t="s">
        <v>152</v>
      </c>
      <c r="D1063" s="2">
        <v>24498</v>
      </c>
      <c r="E1063" s="2">
        <v>18564</v>
      </c>
      <c r="F1063" s="3">
        <v>6.7</v>
      </c>
      <c r="G1063" s="3">
        <v>9202</v>
      </c>
      <c r="H1063" s="3">
        <v>78.3</v>
      </c>
      <c r="I1063" s="3">
        <v>13.8</v>
      </c>
      <c r="J1063" s="3">
        <v>7.8</v>
      </c>
      <c r="K1063" s="3">
        <v>0.1</v>
      </c>
      <c r="L1063" s="3">
        <v>10.5</v>
      </c>
      <c r="M1063" t="str">
        <f>IF(acs2015_county_data[[#This Row],[PublicWork]]&gt;='Описательные характеристики'!$F$5,"да","нет")</f>
        <v>нет</v>
      </c>
      <c r="N1063" t="str">
        <f>IF(acs2015_county_data[[#This Row],[Unemployment]]&gt;='Описательные характеристики'!$I$5,"да","нет")</f>
        <v>да</v>
      </c>
    </row>
    <row r="1064" spans="1:14" x14ac:dyDescent="0.35">
      <c r="A1064">
        <v>21139</v>
      </c>
      <c r="B1064" t="s">
        <v>710</v>
      </c>
      <c r="C1064" t="s">
        <v>531</v>
      </c>
      <c r="D1064" s="2">
        <v>9394</v>
      </c>
      <c r="E1064" s="2">
        <v>23079</v>
      </c>
      <c r="F1064" s="3">
        <v>2.5</v>
      </c>
      <c r="G1064" s="3">
        <v>3840</v>
      </c>
      <c r="H1064" s="3">
        <v>80.2</v>
      </c>
      <c r="I1064" s="3">
        <v>13.9</v>
      </c>
      <c r="J1064" s="3">
        <v>5.9</v>
      </c>
      <c r="K1064" s="3">
        <v>0</v>
      </c>
      <c r="L1064" s="3">
        <v>6.7</v>
      </c>
      <c r="M1064" t="str">
        <f>IF(acs2015_county_data[[#This Row],[PublicWork]]&gt;='Описательные характеристики'!$F$5,"да","нет")</f>
        <v>нет</v>
      </c>
      <c r="N1064" t="str">
        <f>IF(acs2015_county_data[[#This Row],[Unemployment]]&gt;='Описательные характеристики'!$I$5,"да","нет")</f>
        <v>нет</v>
      </c>
    </row>
    <row r="1065" spans="1:14" x14ac:dyDescent="0.35">
      <c r="A1065">
        <v>21141</v>
      </c>
      <c r="B1065" t="s">
        <v>710</v>
      </c>
      <c r="C1065" t="s">
        <v>154</v>
      </c>
      <c r="D1065" s="2">
        <v>26851</v>
      </c>
      <c r="E1065" s="2">
        <v>19126</v>
      </c>
      <c r="F1065" s="3">
        <v>2.6</v>
      </c>
      <c r="G1065" s="3">
        <v>10471</v>
      </c>
      <c r="H1065" s="3">
        <v>80.400000000000006</v>
      </c>
      <c r="I1065" s="3">
        <v>12.8</v>
      </c>
      <c r="J1065" s="3">
        <v>6.5</v>
      </c>
      <c r="K1065" s="3">
        <v>0.2</v>
      </c>
      <c r="L1065" s="3">
        <v>7.7</v>
      </c>
      <c r="M1065" t="str">
        <f>IF(acs2015_county_data[[#This Row],[PublicWork]]&gt;='Описательные характеристики'!$F$5,"да","нет")</f>
        <v>нет</v>
      </c>
      <c r="N1065" t="str">
        <f>IF(acs2015_county_data[[#This Row],[Unemployment]]&gt;='Описательные характеристики'!$I$5,"да","нет")</f>
        <v>да</v>
      </c>
    </row>
    <row r="1066" spans="1:14" x14ac:dyDescent="0.35">
      <c r="A1066">
        <v>21143</v>
      </c>
      <c r="B1066" t="s">
        <v>710</v>
      </c>
      <c r="C1066" t="s">
        <v>622</v>
      </c>
      <c r="D1066" s="2">
        <v>8402</v>
      </c>
      <c r="E1066" s="2">
        <v>24723</v>
      </c>
      <c r="F1066" s="3">
        <v>1.4</v>
      </c>
      <c r="G1066" s="3">
        <v>2655</v>
      </c>
      <c r="H1066" s="3">
        <v>74.5</v>
      </c>
      <c r="I1066" s="3">
        <v>20</v>
      </c>
      <c r="J1066" s="3">
        <v>5.3</v>
      </c>
      <c r="K1066" s="3">
        <v>0.2</v>
      </c>
      <c r="L1066" s="3">
        <v>7.6</v>
      </c>
      <c r="M1066" t="str">
        <f>IF(acs2015_county_data[[#This Row],[PublicWork]]&gt;='Описательные характеристики'!$F$5,"да","нет")</f>
        <v>да</v>
      </c>
      <c r="N1066" t="str">
        <f>IF(acs2015_county_data[[#This Row],[Unemployment]]&gt;='Описательные характеристики'!$I$5,"да","нет")</f>
        <v>да</v>
      </c>
    </row>
    <row r="1067" spans="1:14" x14ac:dyDescent="0.35">
      <c r="A1067">
        <v>21145</v>
      </c>
      <c r="B1067" t="s">
        <v>710</v>
      </c>
      <c r="C1067" t="s">
        <v>746</v>
      </c>
      <c r="D1067" s="2">
        <v>65408</v>
      </c>
      <c r="E1067" s="2">
        <v>28577</v>
      </c>
      <c r="F1067" s="3">
        <v>2.5</v>
      </c>
      <c r="G1067" s="3">
        <v>29043</v>
      </c>
      <c r="H1067" s="3">
        <v>79.3</v>
      </c>
      <c r="I1067" s="3">
        <v>13.5</v>
      </c>
      <c r="J1067" s="3">
        <v>7</v>
      </c>
      <c r="K1067" s="3">
        <v>0.2</v>
      </c>
      <c r="L1067" s="3">
        <v>6.1</v>
      </c>
      <c r="M1067" t="str">
        <f>IF(acs2015_county_data[[#This Row],[PublicWork]]&gt;='Описательные характеристики'!$F$5,"да","нет")</f>
        <v>нет</v>
      </c>
      <c r="N1067" t="str">
        <f>IF(acs2015_county_data[[#This Row],[Unemployment]]&gt;='Описательные характеристики'!$I$5,"да","нет")</f>
        <v>нет</v>
      </c>
    </row>
    <row r="1068" spans="1:14" x14ac:dyDescent="0.35">
      <c r="A1068">
        <v>21147</v>
      </c>
      <c r="B1068" t="s">
        <v>710</v>
      </c>
      <c r="C1068" t="s">
        <v>747</v>
      </c>
      <c r="D1068" s="2">
        <v>18001</v>
      </c>
      <c r="E1068" s="2">
        <v>10880</v>
      </c>
      <c r="F1068" s="3">
        <v>1.3</v>
      </c>
      <c r="G1068" s="3">
        <v>4377</v>
      </c>
      <c r="H1068" s="3">
        <v>77.8</v>
      </c>
      <c r="I1068" s="3">
        <v>15.7</v>
      </c>
      <c r="J1068" s="3">
        <v>5.7</v>
      </c>
      <c r="K1068" s="3">
        <v>0.8</v>
      </c>
      <c r="L1068" s="3">
        <v>19</v>
      </c>
      <c r="M1068" t="str">
        <f>IF(acs2015_county_data[[#This Row],[PublicWork]]&gt;='Описательные характеристики'!$F$5,"да","нет")</f>
        <v>нет</v>
      </c>
      <c r="N1068" t="str">
        <f>IF(acs2015_county_data[[#This Row],[Unemployment]]&gt;='Описательные характеристики'!$I$5,"да","нет")</f>
        <v>да</v>
      </c>
    </row>
    <row r="1069" spans="1:14" x14ac:dyDescent="0.35">
      <c r="A1069">
        <v>21149</v>
      </c>
      <c r="B1069" t="s">
        <v>710</v>
      </c>
      <c r="C1069" t="s">
        <v>534</v>
      </c>
      <c r="D1069" s="2">
        <v>9500</v>
      </c>
      <c r="E1069" s="2">
        <v>20910</v>
      </c>
      <c r="F1069" s="3">
        <v>5</v>
      </c>
      <c r="G1069" s="3">
        <v>3938</v>
      </c>
      <c r="H1069" s="3">
        <v>73.8</v>
      </c>
      <c r="I1069" s="3">
        <v>16.399999999999999</v>
      </c>
      <c r="J1069" s="3">
        <v>9.6</v>
      </c>
      <c r="K1069" s="3">
        <v>0.1</v>
      </c>
      <c r="L1069" s="3">
        <v>8.4</v>
      </c>
      <c r="M1069" t="str">
        <f>IF(acs2015_county_data[[#This Row],[PublicWork]]&gt;='Описательные характеристики'!$F$5,"да","нет")</f>
        <v>да</v>
      </c>
      <c r="N1069" t="str">
        <f>IF(acs2015_county_data[[#This Row],[Unemployment]]&gt;='Описательные характеристики'!$I$5,"да","нет")</f>
        <v>да</v>
      </c>
    </row>
    <row r="1070" spans="1:14" x14ac:dyDescent="0.35">
      <c r="A1070">
        <v>21151</v>
      </c>
      <c r="B1070" t="s">
        <v>710</v>
      </c>
      <c r="C1070" t="s">
        <v>57</v>
      </c>
      <c r="D1070" s="2">
        <v>85838</v>
      </c>
      <c r="E1070" s="2">
        <v>21977</v>
      </c>
      <c r="F1070" s="3">
        <v>2.6</v>
      </c>
      <c r="G1070" s="3">
        <v>39435</v>
      </c>
      <c r="H1070" s="3">
        <v>76.900000000000006</v>
      </c>
      <c r="I1070" s="3">
        <v>18.8</v>
      </c>
      <c r="J1070" s="3">
        <v>4.2</v>
      </c>
      <c r="K1070" s="3">
        <v>0.2</v>
      </c>
      <c r="L1070" s="3">
        <v>8.6</v>
      </c>
      <c r="M1070" t="str">
        <f>IF(acs2015_county_data[[#This Row],[PublicWork]]&gt;='Описательные характеристики'!$F$5,"да","нет")</f>
        <v>да</v>
      </c>
      <c r="N1070" t="str">
        <f>IF(acs2015_county_data[[#This Row],[Unemployment]]&gt;='Описательные характеристики'!$I$5,"да","нет")</f>
        <v>да</v>
      </c>
    </row>
    <row r="1071" spans="1:14" x14ac:dyDescent="0.35">
      <c r="A1071">
        <v>21153</v>
      </c>
      <c r="B1071" t="s">
        <v>710</v>
      </c>
      <c r="C1071" t="s">
        <v>748</v>
      </c>
      <c r="D1071" s="2">
        <v>12979</v>
      </c>
      <c r="E1071" s="2">
        <v>16046</v>
      </c>
      <c r="F1071" s="3">
        <v>2.2000000000000002</v>
      </c>
      <c r="G1071" s="3">
        <v>3663</v>
      </c>
      <c r="H1071" s="3">
        <v>74</v>
      </c>
      <c r="I1071" s="3">
        <v>22.7</v>
      </c>
      <c r="J1071" s="3">
        <v>2.9</v>
      </c>
      <c r="K1071" s="3">
        <v>0.4</v>
      </c>
      <c r="L1071" s="3">
        <v>12.2</v>
      </c>
      <c r="M1071" t="str">
        <f>IF(acs2015_county_data[[#This Row],[PublicWork]]&gt;='Описательные характеристики'!$F$5,"да","нет")</f>
        <v>да</v>
      </c>
      <c r="N1071" t="str">
        <f>IF(acs2015_county_data[[#This Row],[Unemployment]]&gt;='Описательные характеристики'!$I$5,"да","нет")</f>
        <v>да</v>
      </c>
    </row>
    <row r="1072" spans="1:14" x14ac:dyDescent="0.35">
      <c r="A1072">
        <v>21155</v>
      </c>
      <c r="B1072" t="s">
        <v>710</v>
      </c>
      <c r="C1072" t="s">
        <v>59</v>
      </c>
      <c r="D1072" s="2">
        <v>19717</v>
      </c>
      <c r="E1072" s="2">
        <v>19347</v>
      </c>
      <c r="F1072" s="3">
        <v>3.8</v>
      </c>
      <c r="G1072" s="3">
        <v>7818</v>
      </c>
      <c r="H1072" s="3">
        <v>76.400000000000006</v>
      </c>
      <c r="I1072" s="3">
        <v>15.1</v>
      </c>
      <c r="J1072" s="3">
        <v>8.1</v>
      </c>
      <c r="K1072" s="3">
        <v>0.4</v>
      </c>
      <c r="L1072" s="3">
        <v>9.1999999999999993</v>
      </c>
      <c r="M1072" t="str">
        <f>IF(acs2015_county_data[[#This Row],[PublicWork]]&gt;='Описательные характеристики'!$F$5,"да","нет")</f>
        <v>нет</v>
      </c>
      <c r="N1072" t="str">
        <f>IF(acs2015_county_data[[#This Row],[Unemployment]]&gt;='Описательные характеристики'!$I$5,"да","нет")</f>
        <v>да</v>
      </c>
    </row>
    <row r="1073" spans="1:14" x14ac:dyDescent="0.35">
      <c r="A1073">
        <v>21157</v>
      </c>
      <c r="B1073" t="s">
        <v>710</v>
      </c>
      <c r="C1073" t="s">
        <v>60</v>
      </c>
      <c r="D1073" s="2">
        <v>31181</v>
      </c>
      <c r="E1073" s="2">
        <v>23707</v>
      </c>
      <c r="F1073" s="3">
        <v>3.9</v>
      </c>
      <c r="G1073" s="3">
        <v>13051</v>
      </c>
      <c r="H1073" s="3">
        <v>78.099999999999994</v>
      </c>
      <c r="I1073" s="3">
        <v>15</v>
      </c>
      <c r="J1073" s="3">
        <v>6.6</v>
      </c>
      <c r="K1073" s="3">
        <v>0.2</v>
      </c>
      <c r="L1073" s="3">
        <v>7.7</v>
      </c>
      <c r="M1073" t="str">
        <f>IF(acs2015_county_data[[#This Row],[PublicWork]]&gt;='Описательные характеристики'!$F$5,"да","нет")</f>
        <v>нет</v>
      </c>
      <c r="N1073" t="str">
        <f>IF(acs2015_county_data[[#This Row],[Unemployment]]&gt;='Описательные характеристики'!$I$5,"да","нет")</f>
        <v>да</v>
      </c>
    </row>
    <row r="1074" spans="1:14" x14ac:dyDescent="0.35">
      <c r="A1074">
        <v>21159</v>
      </c>
      <c r="B1074" t="s">
        <v>710</v>
      </c>
      <c r="C1074" t="s">
        <v>334</v>
      </c>
      <c r="D1074" s="2">
        <v>12631</v>
      </c>
      <c r="E1074" s="2">
        <v>14179</v>
      </c>
      <c r="F1074" s="3">
        <v>1.4</v>
      </c>
      <c r="G1074" s="3">
        <v>2445</v>
      </c>
      <c r="H1074" s="3">
        <v>74.2</v>
      </c>
      <c r="I1074" s="3">
        <v>21</v>
      </c>
      <c r="J1074" s="3">
        <v>4.8</v>
      </c>
      <c r="K1074" s="3">
        <v>0</v>
      </c>
      <c r="L1074" s="3">
        <v>20.6</v>
      </c>
      <c r="M1074" t="str">
        <f>IF(acs2015_county_data[[#This Row],[PublicWork]]&gt;='Описательные характеристики'!$F$5,"да","нет")</f>
        <v>да</v>
      </c>
      <c r="N1074" t="str">
        <f>IF(acs2015_county_data[[#This Row],[Unemployment]]&gt;='Описательные характеристики'!$I$5,"да","нет")</f>
        <v>да</v>
      </c>
    </row>
    <row r="1075" spans="1:14" x14ac:dyDescent="0.35">
      <c r="A1075">
        <v>21161</v>
      </c>
      <c r="B1075" t="s">
        <v>710</v>
      </c>
      <c r="C1075" t="s">
        <v>536</v>
      </c>
      <c r="D1075" s="2">
        <v>17296</v>
      </c>
      <c r="E1075" s="2">
        <v>23773</v>
      </c>
      <c r="F1075" s="3">
        <v>2.1</v>
      </c>
      <c r="G1075" s="3">
        <v>7127</v>
      </c>
      <c r="H1075" s="3">
        <v>78</v>
      </c>
      <c r="I1075" s="3">
        <v>16.3</v>
      </c>
      <c r="J1075" s="3">
        <v>5.6</v>
      </c>
      <c r="K1075" s="3">
        <v>0.1</v>
      </c>
      <c r="L1075" s="3">
        <v>6.2</v>
      </c>
      <c r="M1075" t="str">
        <f>IF(acs2015_county_data[[#This Row],[PublicWork]]&gt;='Описательные характеристики'!$F$5,"да","нет")</f>
        <v>да</v>
      </c>
      <c r="N1075" t="str">
        <f>IF(acs2015_county_data[[#This Row],[Unemployment]]&gt;='Описательные характеристики'!$I$5,"да","нет")</f>
        <v>нет</v>
      </c>
    </row>
    <row r="1076" spans="1:14" x14ac:dyDescent="0.35">
      <c r="A1076">
        <v>21163</v>
      </c>
      <c r="B1076" t="s">
        <v>710</v>
      </c>
      <c r="C1076" t="s">
        <v>675</v>
      </c>
      <c r="D1076" s="2">
        <v>29098</v>
      </c>
      <c r="E1076" s="2">
        <v>23473</v>
      </c>
      <c r="F1076" s="3">
        <v>2</v>
      </c>
      <c r="G1076" s="3">
        <v>11311</v>
      </c>
      <c r="H1076" s="3">
        <v>75.2</v>
      </c>
      <c r="I1076" s="3">
        <v>21.5</v>
      </c>
      <c r="J1076" s="3">
        <v>3.3</v>
      </c>
      <c r="K1076" s="3">
        <v>0</v>
      </c>
      <c r="L1076" s="3">
        <v>11.5</v>
      </c>
      <c r="M1076" t="str">
        <f>IF(acs2015_county_data[[#This Row],[PublicWork]]&gt;='Описательные характеристики'!$F$5,"да","нет")</f>
        <v>да</v>
      </c>
      <c r="N1076" t="str">
        <f>IF(acs2015_county_data[[#This Row],[Unemployment]]&gt;='Описательные характеристики'!$I$5,"да","нет")</f>
        <v>да</v>
      </c>
    </row>
    <row r="1077" spans="1:14" x14ac:dyDescent="0.35">
      <c r="A1077">
        <v>21165</v>
      </c>
      <c r="B1077" t="s">
        <v>710</v>
      </c>
      <c r="C1077" t="s">
        <v>749</v>
      </c>
      <c r="D1077" s="2">
        <v>6343</v>
      </c>
      <c r="E1077" s="2">
        <v>16768</v>
      </c>
      <c r="F1077" s="3">
        <v>1.5</v>
      </c>
      <c r="G1077" s="3">
        <v>2200</v>
      </c>
      <c r="H1077" s="3">
        <v>68.2</v>
      </c>
      <c r="I1077" s="3">
        <v>25.5</v>
      </c>
      <c r="J1077" s="3">
        <v>6.4</v>
      </c>
      <c r="K1077" s="3">
        <v>0</v>
      </c>
      <c r="L1077" s="3">
        <v>14.7</v>
      </c>
      <c r="M1077" t="str">
        <f>IF(acs2015_county_data[[#This Row],[PublicWork]]&gt;='Описательные характеристики'!$F$5,"да","нет")</f>
        <v>да</v>
      </c>
      <c r="N1077" t="str">
        <f>IF(acs2015_county_data[[#This Row],[Unemployment]]&gt;='Описательные характеристики'!$I$5,"да","нет")</f>
        <v>да</v>
      </c>
    </row>
    <row r="1078" spans="1:14" x14ac:dyDescent="0.35">
      <c r="A1078">
        <v>21167</v>
      </c>
      <c r="B1078" t="s">
        <v>710</v>
      </c>
      <c r="C1078" t="s">
        <v>539</v>
      </c>
      <c r="D1078" s="2">
        <v>21342</v>
      </c>
      <c r="E1078" s="2">
        <v>22658</v>
      </c>
      <c r="F1078" s="3">
        <v>4.7</v>
      </c>
      <c r="G1078" s="3">
        <v>9331</v>
      </c>
      <c r="H1078" s="3">
        <v>75.8</v>
      </c>
      <c r="I1078" s="3">
        <v>16</v>
      </c>
      <c r="J1078" s="3">
        <v>7.1</v>
      </c>
      <c r="K1078" s="3">
        <v>1.1000000000000001</v>
      </c>
      <c r="L1078" s="3">
        <v>11.5</v>
      </c>
      <c r="M1078" t="str">
        <f>IF(acs2015_county_data[[#This Row],[PublicWork]]&gt;='Описательные характеристики'!$F$5,"да","нет")</f>
        <v>нет</v>
      </c>
      <c r="N1078" t="str">
        <f>IF(acs2015_county_data[[#This Row],[Unemployment]]&gt;='Описательные характеристики'!$I$5,"да","нет")</f>
        <v>да</v>
      </c>
    </row>
    <row r="1079" spans="1:14" x14ac:dyDescent="0.35">
      <c r="A1079">
        <v>21169</v>
      </c>
      <c r="B1079" t="s">
        <v>710</v>
      </c>
      <c r="C1079" t="s">
        <v>750</v>
      </c>
      <c r="D1079" s="2">
        <v>9985</v>
      </c>
      <c r="E1079" s="2">
        <v>17608</v>
      </c>
      <c r="F1079" s="3">
        <v>7</v>
      </c>
      <c r="G1079" s="3">
        <v>4014</v>
      </c>
      <c r="H1079" s="3">
        <v>70.5</v>
      </c>
      <c r="I1079" s="3">
        <v>14.9</v>
      </c>
      <c r="J1079" s="3">
        <v>13.8</v>
      </c>
      <c r="K1079" s="3">
        <v>0.9</v>
      </c>
      <c r="L1079" s="3">
        <v>7.4</v>
      </c>
      <c r="M1079" t="str">
        <f>IF(acs2015_county_data[[#This Row],[PublicWork]]&gt;='Описательные характеристики'!$F$5,"да","нет")</f>
        <v>нет</v>
      </c>
      <c r="N1079" t="str">
        <f>IF(acs2015_county_data[[#This Row],[Unemployment]]&gt;='Описательные характеристики'!$I$5,"да","нет")</f>
        <v>нет</v>
      </c>
    </row>
    <row r="1080" spans="1:14" x14ac:dyDescent="0.35">
      <c r="A1080">
        <v>21171</v>
      </c>
      <c r="B1080" t="s">
        <v>710</v>
      </c>
      <c r="C1080" t="s">
        <v>62</v>
      </c>
      <c r="D1080" s="2">
        <v>10765</v>
      </c>
      <c r="E1080" s="2">
        <v>17635</v>
      </c>
      <c r="F1080" s="3">
        <v>6.7</v>
      </c>
      <c r="G1080" s="3">
        <v>3943</v>
      </c>
      <c r="H1080" s="3">
        <v>72.099999999999994</v>
      </c>
      <c r="I1080" s="3">
        <v>15.3</v>
      </c>
      <c r="J1080" s="3">
        <v>11.4</v>
      </c>
      <c r="K1080" s="3">
        <v>1.2</v>
      </c>
      <c r="L1080" s="3">
        <v>9.5</v>
      </c>
      <c r="M1080" t="str">
        <f>IF(acs2015_county_data[[#This Row],[PublicWork]]&gt;='Описательные характеристики'!$F$5,"да","нет")</f>
        <v>нет</v>
      </c>
      <c r="N1080" t="str">
        <f>IF(acs2015_county_data[[#This Row],[Unemployment]]&gt;='Описательные характеристики'!$I$5,"да","нет")</f>
        <v>да</v>
      </c>
    </row>
    <row r="1081" spans="1:14" x14ac:dyDescent="0.35">
      <c r="A1081">
        <v>21173</v>
      </c>
      <c r="B1081" t="s">
        <v>710</v>
      </c>
      <c r="C1081" t="s">
        <v>158</v>
      </c>
      <c r="D1081" s="2">
        <v>27167</v>
      </c>
      <c r="E1081" s="2">
        <v>20850</v>
      </c>
      <c r="F1081" s="3">
        <v>1.6</v>
      </c>
      <c r="G1081" s="3">
        <v>10948</v>
      </c>
      <c r="H1081" s="3">
        <v>77.7</v>
      </c>
      <c r="I1081" s="3">
        <v>16.600000000000001</v>
      </c>
      <c r="J1081" s="3">
        <v>5.5</v>
      </c>
      <c r="K1081" s="3">
        <v>0.2</v>
      </c>
      <c r="L1081" s="3">
        <v>10.4</v>
      </c>
      <c r="M1081" t="str">
        <f>IF(acs2015_county_data[[#This Row],[PublicWork]]&gt;='Описательные характеристики'!$F$5,"да","нет")</f>
        <v>да</v>
      </c>
      <c r="N1081" t="str">
        <f>IF(acs2015_county_data[[#This Row],[Unemployment]]&gt;='Описательные характеристики'!$I$5,"да","нет")</f>
        <v>да</v>
      </c>
    </row>
    <row r="1082" spans="1:14" x14ac:dyDescent="0.35">
      <c r="A1082">
        <v>21175</v>
      </c>
      <c r="B1082" t="s">
        <v>710</v>
      </c>
      <c r="C1082" t="s">
        <v>63</v>
      </c>
      <c r="D1082" s="2">
        <v>13428</v>
      </c>
      <c r="E1082" s="2">
        <v>16007</v>
      </c>
      <c r="F1082" s="3">
        <v>2.4</v>
      </c>
      <c r="G1082" s="3">
        <v>3744</v>
      </c>
      <c r="H1082" s="3">
        <v>64.599999999999994</v>
      </c>
      <c r="I1082" s="3">
        <v>29.3</v>
      </c>
      <c r="J1082" s="3">
        <v>5.7</v>
      </c>
      <c r="K1082" s="3">
        <v>0.4</v>
      </c>
      <c r="L1082" s="3">
        <v>9.6</v>
      </c>
      <c r="M1082" t="str">
        <f>IF(acs2015_county_data[[#This Row],[PublicWork]]&gt;='Описательные характеристики'!$F$5,"да","нет")</f>
        <v>да</v>
      </c>
      <c r="N1082" t="str">
        <f>IF(acs2015_county_data[[#This Row],[Unemployment]]&gt;='Описательные характеристики'!$I$5,"да","нет")</f>
        <v>да</v>
      </c>
    </row>
    <row r="1083" spans="1:14" x14ac:dyDescent="0.35">
      <c r="A1083">
        <v>21177</v>
      </c>
      <c r="B1083" t="s">
        <v>710</v>
      </c>
      <c r="C1083" t="s">
        <v>751</v>
      </c>
      <c r="D1083" s="2">
        <v>31309</v>
      </c>
      <c r="E1083" s="2">
        <v>19609</v>
      </c>
      <c r="F1083" s="3">
        <v>1.6</v>
      </c>
      <c r="G1083" s="3">
        <v>11534</v>
      </c>
      <c r="H1083" s="3">
        <v>74.2</v>
      </c>
      <c r="I1083" s="3">
        <v>19.5</v>
      </c>
      <c r="J1083" s="3">
        <v>6</v>
      </c>
      <c r="K1083" s="3">
        <v>0.3</v>
      </c>
      <c r="L1083" s="3">
        <v>10.3</v>
      </c>
      <c r="M1083" t="str">
        <f>IF(acs2015_county_data[[#This Row],[PublicWork]]&gt;='Описательные характеристики'!$F$5,"да","нет")</f>
        <v>да</v>
      </c>
      <c r="N1083" t="str">
        <f>IF(acs2015_county_data[[#This Row],[Unemployment]]&gt;='Описательные характеристики'!$I$5,"да","нет")</f>
        <v>да</v>
      </c>
    </row>
    <row r="1084" spans="1:14" x14ac:dyDescent="0.35">
      <c r="A1084">
        <v>21179</v>
      </c>
      <c r="B1084" t="s">
        <v>710</v>
      </c>
      <c r="C1084" t="s">
        <v>752</v>
      </c>
      <c r="D1084" s="2">
        <v>44564</v>
      </c>
      <c r="E1084" s="2">
        <v>24699</v>
      </c>
      <c r="F1084" s="3">
        <v>3.2</v>
      </c>
      <c r="G1084" s="3">
        <v>20232</v>
      </c>
      <c r="H1084" s="3">
        <v>81.599999999999994</v>
      </c>
      <c r="I1084" s="3">
        <v>13</v>
      </c>
      <c r="J1084" s="3">
        <v>5.3</v>
      </c>
      <c r="K1084" s="3">
        <v>0.1</v>
      </c>
      <c r="L1084" s="3">
        <v>9.8000000000000007</v>
      </c>
      <c r="M1084" t="str">
        <f>IF(acs2015_county_data[[#This Row],[PublicWork]]&gt;='Описательные характеристики'!$F$5,"да","нет")</f>
        <v>нет</v>
      </c>
      <c r="N1084" t="str">
        <f>IF(acs2015_county_data[[#This Row],[Unemployment]]&gt;='Описательные характеристики'!$I$5,"да","нет")</f>
        <v>да</v>
      </c>
    </row>
    <row r="1085" spans="1:14" x14ac:dyDescent="0.35">
      <c r="A1085">
        <v>21181</v>
      </c>
      <c r="B1085" t="s">
        <v>710</v>
      </c>
      <c r="C1085" t="s">
        <v>753</v>
      </c>
      <c r="D1085" s="2">
        <v>7075</v>
      </c>
      <c r="E1085" s="2">
        <v>20039</v>
      </c>
      <c r="F1085" s="3">
        <v>4.0999999999999996</v>
      </c>
      <c r="G1085" s="3">
        <v>2877</v>
      </c>
      <c r="H1085" s="3">
        <v>77.599999999999994</v>
      </c>
      <c r="I1085" s="3">
        <v>14</v>
      </c>
      <c r="J1085" s="3">
        <v>8</v>
      </c>
      <c r="K1085" s="3">
        <v>0.3</v>
      </c>
      <c r="L1085" s="3">
        <v>7.7</v>
      </c>
      <c r="M1085" t="str">
        <f>IF(acs2015_county_data[[#This Row],[PublicWork]]&gt;='Описательные характеристики'!$F$5,"да","нет")</f>
        <v>нет</v>
      </c>
      <c r="N1085" t="str">
        <f>IF(acs2015_county_data[[#This Row],[Unemployment]]&gt;='Описательные характеристики'!$I$5,"да","нет")</f>
        <v>да</v>
      </c>
    </row>
    <row r="1086" spans="1:14" x14ac:dyDescent="0.35">
      <c r="A1086">
        <v>21183</v>
      </c>
      <c r="B1086" t="s">
        <v>710</v>
      </c>
      <c r="C1086" t="s">
        <v>578</v>
      </c>
      <c r="D1086" s="2">
        <v>24065</v>
      </c>
      <c r="E1086" s="2">
        <v>19254</v>
      </c>
      <c r="F1086" s="3">
        <v>1.3</v>
      </c>
      <c r="G1086" s="3">
        <v>8906</v>
      </c>
      <c r="H1086" s="3">
        <v>79.7</v>
      </c>
      <c r="I1086" s="3">
        <v>14.8</v>
      </c>
      <c r="J1086" s="3">
        <v>5.5</v>
      </c>
      <c r="K1086" s="3">
        <v>0</v>
      </c>
      <c r="L1086" s="3">
        <v>9.6</v>
      </c>
      <c r="M1086" t="str">
        <f>IF(acs2015_county_data[[#This Row],[PublicWork]]&gt;='Описательные характеристики'!$F$5,"да","нет")</f>
        <v>нет</v>
      </c>
      <c r="N1086" t="str">
        <f>IF(acs2015_county_data[[#This Row],[Unemployment]]&gt;='Описательные характеристики'!$I$5,"да","нет")</f>
        <v>да</v>
      </c>
    </row>
    <row r="1087" spans="1:14" x14ac:dyDescent="0.35">
      <c r="A1087">
        <v>21185</v>
      </c>
      <c r="B1087" t="s">
        <v>710</v>
      </c>
      <c r="C1087" t="s">
        <v>754</v>
      </c>
      <c r="D1087" s="2">
        <v>63037</v>
      </c>
      <c r="E1087" s="2">
        <v>34423</v>
      </c>
      <c r="F1087" s="3">
        <v>5.7</v>
      </c>
      <c r="G1087" s="3">
        <v>29304</v>
      </c>
      <c r="H1087" s="3">
        <v>82.8</v>
      </c>
      <c r="I1087" s="3">
        <v>11.9</v>
      </c>
      <c r="J1087" s="3">
        <v>5.2</v>
      </c>
      <c r="K1087" s="3">
        <v>0.2</v>
      </c>
      <c r="L1087" s="3">
        <v>4.3</v>
      </c>
      <c r="M1087" t="str">
        <f>IF(acs2015_county_data[[#This Row],[PublicWork]]&gt;='Описательные характеристики'!$F$5,"да","нет")</f>
        <v>нет</v>
      </c>
      <c r="N1087" t="str">
        <f>IF(acs2015_county_data[[#This Row],[Unemployment]]&gt;='Описательные характеристики'!$I$5,"да","нет")</f>
        <v>нет</v>
      </c>
    </row>
    <row r="1088" spans="1:14" x14ac:dyDescent="0.35">
      <c r="A1088">
        <v>21187</v>
      </c>
      <c r="B1088" t="s">
        <v>710</v>
      </c>
      <c r="C1088" t="s">
        <v>579</v>
      </c>
      <c r="D1088" s="2">
        <v>10711</v>
      </c>
      <c r="E1088" s="2">
        <v>22878</v>
      </c>
      <c r="F1088" s="3">
        <v>5.7</v>
      </c>
      <c r="G1088" s="3">
        <v>4351</v>
      </c>
      <c r="H1088" s="3">
        <v>69.099999999999994</v>
      </c>
      <c r="I1088" s="3">
        <v>22</v>
      </c>
      <c r="J1088" s="3">
        <v>8.4</v>
      </c>
      <c r="K1088" s="3">
        <v>0.4</v>
      </c>
      <c r="L1088" s="3">
        <v>8.6</v>
      </c>
      <c r="M1088" t="str">
        <f>IF(acs2015_county_data[[#This Row],[PublicWork]]&gt;='Описательные характеристики'!$F$5,"да","нет")</f>
        <v>да</v>
      </c>
      <c r="N1088" t="str">
        <f>IF(acs2015_county_data[[#This Row],[Unemployment]]&gt;='Описательные характеристики'!$I$5,"да","нет")</f>
        <v>да</v>
      </c>
    </row>
    <row r="1089" spans="1:14" x14ac:dyDescent="0.35">
      <c r="A1089">
        <v>21189</v>
      </c>
      <c r="B1089" t="s">
        <v>710</v>
      </c>
      <c r="C1089" t="s">
        <v>755</v>
      </c>
      <c r="D1089" s="2">
        <v>4616</v>
      </c>
      <c r="E1089" s="2">
        <v>15158</v>
      </c>
      <c r="F1089" s="3">
        <v>3.1</v>
      </c>
      <c r="G1089" s="3">
        <v>1211</v>
      </c>
      <c r="H1089" s="3">
        <v>53.2</v>
      </c>
      <c r="I1089" s="3">
        <v>35.5</v>
      </c>
      <c r="J1089" s="3">
        <v>11.3</v>
      </c>
      <c r="K1089" s="3">
        <v>0</v>
      </c>
      <c r="L1089" s="3">
        <v>8.8000000000000007</v>
      </c>
      <c r="M1089" t="str">
        <f>IF(acs2015_county_data[[#This Row],[PublicWork]]&gt;='Описательные характеристики'!$F$5,"да","нет")</f>
        <v>да</v>
      </c>
      <c r="N1089" t="str">
        <f>IF(acs2015_county_data[[#This Row],[Unemployment]]&gt;='Описательные характеристики'!$I$5,"да","нет")</f>
        <v>да</v>
      </c>
    </row>
    <row r="1090" spans="1:14" x14ac:dyDescent="0.35">
      <c r="A1090">
        <v>21191</v>
      </c>
      <c r="B1090" t="s">
        <v>710</v>
      </c>
      <c r="C1090" t="s">
        <v>756</v>
      </c>
      <c r="D1090" s="2">
        <v>14514</v>
      </c>
      <c r="E1090" s="2">
        <v>23725</v>
      </c>
      <c r="F1090" s="3">
        <v>2</v>
      </c>
      <c r="G1090" s="3">
        <v>6507</v>
      </c>
      <c r="H1090" s="3">
        <v>80.099999999999994</v>
      </c>
      <c r="I1090" s="3">
        <v>12</v>
      </c>
      <c r="J1090" s="3">
        <v>7.7</v>
      </c>
      <c r="K1090" s="3">
        <v>0.2</v>
      </c>
      <c r="L1090" s="3">
        <v>6.4</v>
      </c>
      <c r="M1090" t="str">
        <f>IF(acs2015_county_data[[#This Row],[PublicWork]]&gt;='Описательные характеристики'!$F$5,"да","нет")</f>
        <v>нет</v>
      </c>
      <c r="N1090" t="str">
        <f>IF(acs2015_county_data[[#This Row],[Unemployment]]&gt;='Описательные характеристики'!$I$5,"да","нет")</f>
        <v>нет</v>
      </c>
    </row>
    <row r="1091" spans="1:14" x14ac:dyDescent="0.35">
      <c r="A1091">
        <v>21193</v>
      </c>
      <c r="B1091" t="s">
        <v>710</v>
      </c>
      <c r="C1091" t="s">
        <v>64</v>
      </c>
      <c r="D1091" s="2">
        <v>28041</v>
      </c>
      <c r="E1091" s="2">
        <v>18910</v>
      </c>
      <c r="F1091" s="3">
        <v>2.5</v>
      </c>
      <c r="G1091" s="3">
        <v>9364</v>
      </c>
      <c r="H1091" s="3">
        <v>75.7</v>
      </c>
      <c r="I1091" s="3">
        <v>19.5</v>
      </c>
      <c r="J1091" s="3">
        <v>4.8</v>
      </c>
      <c r="K1091" s="3">
        <v>0</v>
      </c>
      <c r="L1091" s="3">
        <v>13.9</v>
      </c>
      <c r="M1091" t="str">
        <f>IF(acs2015_county_data[[#This Row],[PublicWork]]&gt;='Описательные характеристики'!$F$5,"да","нет")</f>
        <v>да</v>
      </c>
      <c r="N1091" t="str">
        <f>IF(acs2015_county_data[[#This Row],[Unemployment]]&gt;='Описательные характеристики'!$I$5,"да","нет")</f>
        <v>да</v>
      </c>
    </row>
    <row r="1092" spans="1:14" x14ac:dyDescent="0.35">
      <c r="A1092">
        <v>21195</v>
      </c>
      <c r="B1092" t="s">
        <v>710</v>
      </c>
      <c r="C1092" t="s">
        <v>66</v>
      </c>
      <c r="D1092" s="2">
        <v>63434</v>
      </c>
      <c r="E1092" s="2">
        <v>20061</v>
      </c>
      <c r="F1092" s="3">
        <v>2.2000000000000002</v>
      </c>
      <c r="G1092" s="3">
        <v>20861</v>
      </c>
      <c r="H1092" s="3">
        <v>76.3</v>
      </c>
      <c r="I1092" s="3">
        <v>19.3</v>
      </c>
      <c r="J1092" s="3">
        <v>4.4000000000000004</v>
      </c>
      <c r="K1092" s="3">
        <v>0.1</v>
      </c>
      <c r="L1092" s="3">
        <v>10.7</v>
      </c>
      <c r="M1092" t="str">
        <f>IF(acs2015_county_data[[#This Row],[PublicWork]]&gt;='Описательные характеристики'!$F$5,"да","нет")</f>
        <v>да</v>
      </c>
      <c r="N1092" t="str">
        <f>IF(acs2015_county_data[[#This Row],[Unemployment]]&gt;='Описательные характеристики'!$I$5,"да","нет")</f>
        <v>да</v>
      </c>
    </row>
    <row r="1093" spans="1:14" x14ac:dyDescent="0.35">
      <c r="A1093">
        <v>21197</v>
      </c>
      <c r="B1093" t="s">
        <v>710</v>
      </c>
      <c r="C1093" t="s">
        <v>757</v>
      </c>
      <c r="D1093" s="2">
        <v>12447</v>
      </c>
      <c r="E1093" s="2">
        <v>17241</v>
      </c>
      <c r="F1093" s="3">
        <v>1.8</v>
      </c>
      <c r="G1093" s="3">
        <v>4360</v>
      </c>
      <c r="H1093" s="3">
        <v>77.099999999999994</v>
      </c>
      <c r="I1093" s="3">
        <v>16.399999999999999</v>
      </c>
      <c r="J1093" s="3">
        <v>6.5</v>
      </c>
      <c r="K1093" s="3">
        <v>0</v>
      </c>
      <c r="L1093" s="3">
        <v>8.3000000000000007</v>
      </c>
      <c r="M1093" t="str">
        <f>IF(acs2015_county_data[[#This Row],[PublicWork]]&gt;='Описательные характеристики'!$F$5,"да","нет")</f>
        <v>да</v>
      </c>
      <c r="N1093" t="str">
        <f>IF(acs2015_county_data[[#This Row],[Unemployment]]&gt;='Описательные характеристики'!$I$5,"да","нет")</f>
        <v>да</v>
      </c>
    </row>
    <row r="1094" spans="1:14" x14ac:dyDescent="0.35">
      <c r="A1094">
        <v>21199</v>
      </c>
      <c r="B1094" t="s">
        <v>710</v>
      </c>
      <c r="C1094" t="s">
        <v>166</v>
      </c>
      <c r="D1094" s="2">
        <v>63635</v>
      </c>
      <c r="E1094" s="2">
        <v>20215</v>
      </c>
      <c r="F1094" s="3">
        <v>1.9</v>
      </c>
      <c r="G1094" s="3">
        <v>25669</v>
      </c>
      <c r="H1094" s="3">
        <v>78.8</v>
      </c>
      <c r="I1094" s="3">
        <v>15.3</v>
      </c>
      <c r="J1094" s="3">
        <v>5.6</v>
      </c>
      <c r="K1094" s="3">
        <v>0.3</v>
      </c>
      <c r="L1094" s="3">
        <v>9.1</v>
      </c>
      <c r="M1094" t="str">
        <f>IF(acs2015_county_data[[#This Row],[PublicWork]]&gt;='Описательные характеристики'!$F$5,"да","нет")</f>
        <v>нет</v>
      </c>
      <c r="N1094" t="str">
        <f>IF(acs2015_county_data[[#This Row],[Unemployment]]&gt;='Описательные характеристики'!$I$5,"да","нет")</f>
        <v>да</v>
      </c>
    </row>
    <row r="1095" spans="1:14" x14ac:dyDescent="0.35">
      <c r="A1095">
        <v>21201</v>
      </c>
      <c r="B1095" t="s">
        <v>710</v>
      </c>
      <c r="C1095" t="s">
        <v>758</v>
      </c>
      <c r="D1095" s="2">
        <v>2208</v>
      </c>
      <c r="E1095" s="2">
        <v>19246</v>
      </c>
      <c r="F1095" s="3">
        <v>5.5</v>
      </c>
      <c r="G1095" s="3">
        <v>806</v>
      </c>
      <c r="H1095" s="3">
        <v>78.400000000000006</v>
      </c>
      <c r="I1095" s="3">
        <v>18.399999999999999</v>
      </c>
      <c r="J1095" s="3">
        <v>3.2</v>
      </c>
      <c r="K1095" s="3">
        <v>0</v>
      </c>
      <c r="L1095" s="3">
        <v>6.7</v>
      </c>
      <c r="M1095" t="str">
        <f>IF(acs2015_county_data[[#This Row],[PublicWork]]&gt;='Описательные характеристики'!$F$5,"да","нет")</f>
        <v>да</v>
      </c>
      <c r="N1095" t="str">
        <f>IF(acs2015_county_data[[#This Row],[Unemployment]]&gt;='Описательные характеристики'!$I$5,"да","нет")</f>
        <v>нет</v>
      </c>
    </row>
    <row r="1096" spans="1:14" x14ac:dyDescent="0.35">
      <c r="A1096">
        <v>21203</v>
      </c>
      <c r="B1096" t="s">
        <v>710</v>
      </c>
      <c r="C1096" t="s">
        <v>759</v>
      </c>
      <c r="D1096" s="2">
        <v>16942</v>
      </c>
      <c r="E1096" s="2">
        <v>16963</v>
      </c>
      <c r="F1096" s="3">
        <v>2</v>
      </c>
      <c r="G1096" s="3">
        <v>6015</v>
      </c>
      <c r="H1096" s="3">
        <v>77.8</v>
      </c>
      <c r="I1096" s="3">
        <v>17.8</v>
      </c>
      <c r="J1096" s="3">
        <v>4.4000000000000004</v>
      </c>
      <c r="K1096" s="3">
        <v>0</v>
      </c>
      <c r="L1096" s="3">
        <v>11</v>
      </c>
      <c r="M1096" t="str">
        <f>IF(acs2015_county_data[[#This Row],[PublicWork]]&gt;='Описательные характеристики'!$F$5,"да","нет")</f>
        <v>да</v>
      </c>
      <c r="N1096" t="str">
        <f>IF(acs2015_county_data[[#This Row],[Unemployment]]&gt;='Описательные характеристики'!$I$5,"да","нет")</f>
        <v>да</v>
      </c>
    </row>
    <row r="1097" spans="1:14" x14ac:dyDescent="0.35">
      <c r="A1097">
        <v>21205</v>
      </c>
      <c r="B1097" t="s">
        <v>710</v>
      </c>
      <c r="C1097" t="s">
        <v>760</v>
      </c>
      <c r="D1097" s="2">
        <v>23608</v>
      </c>
      <c r="E1097" s="2">
        <v>18185</v>
      </c>
      <c r="F1097" s="3">
        <v>2.5</v>
      </c>
      <c r="G1097" s="3">
        <v>10022</v>
      </c>
      <c r="H1097" s="3">
        <v>69.400000000000006</v>
      </c>
      <c r="I1097" s="3">
        <v>24.6</v>
      </c>
      <c r="J1097" s="3">
        <v>5.6</v>
      </c>
      <c r="K1097" s="3">
        <v>0.4</v>
      </c>
      <c r="L1097" s="3">
        <v>6.5</v>
      </c>
      <c r="M1097" t="str">
        <f>IF(acs2015_county_data[[#This Row],[PublicWork]]&gt;='Описательные характеристики'!$F$5,"да","нет")</f>
        <v>да</v>
      </c>
      <c r="N1097" t="str">
        <f>IF(acs2015_county_data[[#This Row],[Unemployment]]&gt;='Описательные характеристики'!$I$5,"да","нет")</f>
        <v>нет</v>
      </c>
    </row>
    <row r="1098" spans="1:14" x14ac:dyDescent="0.35">
      <c r="A1098">
        <v>21207</v>
      </c>
      <c r="B1098" t="s">
        <v>710</v>
      </c>
      <c r="C1098" t="s">
        <v>68</v>
      </c>
      <c r="D1098" s="2">
        <v>17669</v>
      </c>
      <c r="E1098" s="2">
        <v>17010</v>
      </c>
      <c r="F1098" s="3">
        <v>2.8</v>
      </c>
      <c r="G1098" s="3">
        <v>6014</v>
      </c>
      <c r="H1098" s="3">
        <v>75.400000000000006</v>
      </c>
      <c r="I1098" s="3">
        <v>16.7</v>
      </c>
      <c r="J1098" s="3">
        <v>7.8</v>
      </c>
      <c r="K1098" s="3">
        <v>0</v>
      </c>
      <c r="L1098" s="3">
        <v>11.8</v>
      </c>
      <c r="M1098" t="str">
        <f>IF(acs2015_county_data[[#This Row],[PublicWork]]&gt;='Описательные характеристики'!$F$5,"да","нет")</f>
        <v>да</v>
      </c>
      <c r="N1098" t="str">
        <f>IF(acs2015_county_data[[#This Row],[Unemployment]]&gt;='Описательные характеристики'!$I$5,"да","нет")</f>
        <v>да</v>
      </c>
    </row>
    <row r="1099" spans="1:14" x14ac:dyDescent="0.35">
      <c r="A1099">
        <v>21209</v>
      </c>
      <c r="B1099" t="s">
        <v>710</v>
      </c>
      <c r="C1099" t="s">
        <v>169</v>
      </c>
      <c r="D1099" s="2">
        <v>50178</v>
      </c>
      <c r="E1099" s="2">
        <v>28232</v>
      </c>
      <c r="F1099" s="3">
        <v>3.7</v>
      </c>
      <c r="G1099" s="3">
        <v>25105</v>
      </c>
      <c r="H1099" s="3">
        <v>80</v>
      </c>
      <c r="I1099" s="3">
        <v>14.8</v>
      </c>
      <c r="J1099" s="3">
        <v>5</v>
      </c>
      <c r="K1099" s="3">
        <v>0.1</v>
      </c>
      <c r="L1099" s="3">
        <v>6.9</v>
      </c>
      <c r="M1099" t="str">
        <f>IF(acs2015_county_data[[#This Row],[PublicWork]]&gt;='Описательные характеристики'!$F$5,"да","нет")</f>
        <v>нет</v>
      </c>
      <c r="N1099" t="str">
        <f>IF(acs2015_county_data[[#This Row],[Unemployment]]&gt;='Описательные характеристики'!$I$5,"да","нет")</f>
        <v>нет</v>
      </c>
    </row>
    <row r="1100" spans="1:14" x14ac:dyDescent="0.35">
      <c r="A1100">
        <v>21211</v>
      </c>
      <c r="B1100" t="s">
        <v>710</v>
      </c>
      <c r="C1100" t="s">
        <v>70</v>
      </c>
      <c r="D1100" s="2">
        <v>44290</v>
      </c>
      <c r="E1100" s="2">
        <v>27631</v>
      </c>
      <c r="F1100" s="3">
        <v>3.8</v>
      </c>
      <c r="G1100" s="3">
        <v>21103</v>
      </c>
      <c r="H1100" s="3">
        <v>79.5</v>
      </c>
      <c r="I1100" s="3">
        <v>13.8</v>
      </c>
      <c r="J1100" s="3">
        <v>6.5</v>
      </c>
      <c r="K1100" s="3">
        <v>0.2</v>
      </c>
      <c r="L1100" s="3">
        <v>5.7</v>
      </c>
      <c r="M1100" t="str">
        <f>IF(acs2015_county_data[[#This Row],[PublicWork]]&gt;='Описательные характеристики'!$F$5,"да","нет")</f>
        <v>нет</v>
      </c>
      <c r="N1100" t="str">
        <f>IF(acs2015_county_data[[#This Row],[Unemployment]]&gt;='Описательные характеристики'!$I$5,"да","нет")</f>
        <v>нет</v>
      </c>
    </row>
    <row r="1101" spans="1:14" x14ac:dyDescent="0.35">
      <c r="A1101">
        <v>21213</v>
      </c>
      <c r="B1101" t="s">
        <v>710</v>
      </c>
      <c r="C1101" t="s">
        <v>761</v>
      </c>
      <c r="D1101" s="2">
        <v>17704</v>
      </c>
      <c r="E1101" s="2">
        <v>19397</v>
      </c>
      <c r="F1101" s="3">
        <v>1.9</v>
      </c>
      <c r="G1101" s="3">
        <v>7524</v>
      </c>
      <c r="H1101" s="3">
        <v>80.900000000000006</v>
      </c>
      <c r="I1101" s="3">
        <v>10.7</v>
      </c>
      <c r="J1101" s="3">
        <v>8.1999999999999993</v>
      </c>
      <c r="K1101" s="3">
        <v>0.2</v>
      </c>
      <c r="L1101" s="3">
        <v>7</v>
      </c>
      <c r="M1101" t="str">
        <f>IF(acs2015_county_data[[#This Row],[PublicWork]]&gt;='Описательные характеристики'!$F$5,"да","нет")</f>
        <v>нет</v>
      </c>
      <c r="N1101" t="str">
        <f>IF(acs2015_county_data[[#This Row],[Unemployment]]&gt;='Описательные характеристики'!$I$5,"да","нет")</f>
        <v>нет</v>
      </c>
    </row>
    <row r="1102" spans="1:14" x14ac:dyDescent="0.35">
      <c r="A1102">
        <v>21215</v>
      </c>
      <c r="B1102" t="s">
        <v>710</v>
      </c>
      <c r="C1102" t="s">
        <v>586</v>
      </c>
      <c r="D1102" s="2">
        <v>17577</v>
      </c>
      <c r="E1102" s="2">
        <v>27016</v>
      </c>
      <c r="F1102" s="3">
        <v>1.9</v>
      </c>
      <c r="G1102" s="3">
        <v>8691</v>
      </c>
      <c r="H1102" s="3">
        <v>85.1</v>
      </c>
      <c r="I1102" s="3">
        <v>10.1</v>
      </c>
      <c r="J1102" s="3">
        <v>4.8</v>
      </c>
      <c r="K1102" s="3">
        <v>0</v>
      </c>
      <c r="L1102" s="3">
        <v>6.4</v>
      </c>
      <c r="M1102" t="str">
        <f>IF(acs2015_county_data[[#This Row],[PublicWork]]&gt;='Описательные характеристики'!$F$5,"да","нет")</f>
        <v>нет</v>
      </c>
      <c r="N1102" t="str">
        <f>IF(acs2015_county_data[[#This Row],[Unemployment]]&gt;='Описательные характеристики'!$I$5,"да","нет")</f>
        <v>нет</v>
      </c>
    </row>
    <row r="1103" spans="1:14" x14ac:dyDescent="0.35">
      <c r="A1103">
        <v>21217</v>
      </c>
      <c r="B1103" t="s">
        <v>710</v>
      </c>
      <c r="C1103" t="s">
        <v>350</v>
      </c>
      <c r="D1103" s="2">
        <v>24993</v>
      </c>
      <c r="E1103" s="2">
        <v>18120</v>
      </c>
      <c r="F1103" s="3">
        <v>4.4000000000000004</v>
      </c>
      <c r="G1103" s="3">
        <v>10395</v>
      </c>
      <c r="H1103" s="3">
        <v>78.599999999999994</v>
      </c>
      <c r="I1103" s="3">
        <v>14.3</v>
      </c>
      <c r="J1103" s="3">
        <v>7.1</v>
      </c>
      <c r="K1103" s="3">
        <v>0</v>
      </c>
      <c r="L1103" s="3">
        <v>9.6</v>
      </c>
      <c r="M1103" t="str">
        <f>IF(acs2015_county_data[[#This Row],[PublicWork]]&gt;='Описательные характеристики'!$F$5,"да","нет")</f>
        <v>нет</v>
      </c>
      <c r="N1103" t="str">
        <f>IF(acs2015_county_data[[#This Row],[Unemployment]]&gt;='Описательные характеристики'!$I$5,"да","нет")</f>
        <v>да</v>
      </c>
    </row>
    <row r="1104" spans="1:14" x14ac:dyDescent="0.35">
      <c r="A1104">
        <v>21219</v>
      </c>
      <c r="B1104" t="s">
        <v>710</v>
      </c>
      <c r="C1104" t="s">
        <v>762</v>
      </c>
      <c r="D1104" s="2">
        <v>12524</v>
      </c>
      <c r="E1104" s="2">
        <v>19042</v>
      </c>
      <c r="F1104" s="3">
        <v>3.5</v>
      </c>
      <c r="G1104" s="3">
        <v>4648</v>
      </c>
      <c r="H1104" s="3">
        <v>73.7</v>
      </c>
      <c r="I1104" s="3">
        <v>15.4</v>
      </c>
      <c r="J1104" s="3">
        <v>10.3</v>
      </c>
      <c r="K1104" s="3">
        <v>0.6</v>
      </c>
      <c r="L1104" s="3">
        <v>8.5</v>
      </c>
      <c r="M1104" t="str">
        <f>IF(acs2015_county_data[[#This Row],[PublicWork]]&gt;='Описательные характеристики'!$F$5,"да","нет")</f>
        <v>нет</v>
      </c>
      <c r="N1104" t="str">
        <f>IF(acs2015_county_data[[#This Row],[Unemployment]]&gt;='Описательные характеристики'!$I$5,"да","нет")</f>
        <v>да</v>
      </c>
    </row>
    <row r="1105" spans="1:14" x14ac:dyDescent="0.35">
      <c r="A1105">
        <v>21221</v>
      </c>
      <c r="B1105" t="s">
        <v>710</v>
      </c>
      <c r="C1105" t="s">
        <v>763</v>
      </c>
      <c r="D1105" s="2">
        <v>14250</v>
      </c>
      <c r="E1105" s="2">
        <v>26001</v>
      </c>
      <c r="F1105" s="3">
        <v>2.6</v>
      </c>
      <c r="G1105" s="3">
        <v>5584</v>
      </c>
      <c r="H1105" s="3">
        <v>74.099999999999994</v>
      </c>
      <c r="I1105" s="3">
        <v>18.7</v>
      </c>
      <c r="J1105" s="3">
        <v>6.8</v>
      </c>
      <c r="K1105" s="3">
        <v>0.4</v>
      </c>
      <c r="L1105" s="3">
        <v>8.4</v>
      </c>
      <c r="M1105" t="str">
        <f>IF(acs2015_county_data[[#This Row],[PublicWork]]&gt;='Описательные характеристики'!$F$5,"да","нет")</f>
        <v>да</v>
      </c>
      <c r="N1105" t="str">
        <f>IF(acs2015_county_data[[#This Row],[Unemployment]]&gt;='Описательные характеристики'!$I$5,"да","нет")</f>
        <v>да</v>
      </c>
    </row>
    <row r="1106" spans="1:14" x14ac:dyDescent="0.35">
      <c r="A1106">
        <v>21223</v>
      </c>
      <c r="B1106" t="s">
        <v>710</v>
      </c>
      <c r="C1106" t="s">
        <v>764</v>
      </c>
      <c r="D1106" s="2">
        <v>8783</v>
      </c>
      <c r="E1106" s="2">
        <v>23465</v>
      </c>
      <c r="F1106" s="3">
        <v>2.2999999999999998</v>
      </c>
      <c r="G1106" s="3">
        <v>3598</v>
      </c>
      <c r="H1106" s="3">
        <v>83.1</v>
      </c>
      <c r="I1106" s="3">
        <v>11.1</v>
      </c>
      <c r="J1106" s="3">
        <v>5.9</v>
      </c>
      <c r="K1106" s="3">
        <v>0</v>
      </c>
      <c r="L1106" s="3">
        <v>14.6</v>
      </c>
      <c r="M1106" t="str">
        <f>IF(acs2015_county_data[[#This Row],[PublicWork]]&gt;='Описательные характеристики'!$F$5,"да","нет")</f>
        <v>нет</v>
      </c>
      <c r="N1106" t="str">
        <f>IF(acs2015_county_data[[#This Row],[Unemployment]]&gt;='Описательные характеристики'!$I$5,"да","нет")</f>
        <v>да</v>
      </c>
    </row>
    <row r="1107" spans="1:14" x14ac:dyDescent="0.35">
      <c r="A1107">
        <v>21225</v>
      </c>
      <c r="B1107" t="s">
        <v>710</v>
      </c>
      <c r="C1107" t="s">
        <v>175</v>
      </c>
      <c r="D1107" s="2">
        <v>15138</v>
      </c>
      <c r="E1107" s="2">
        <v>20164</v>
      </c>
      <c r="F1107" s="3">
        <v>1.1000000000000001</v>
      </c>
      <c r="G1107" s="3">
        <v>6085</v>
      </c>
      <c r="H1107" s="3">
        <v>71.2</v>
      </c>
      <c r="I1107" s="3">
        <v>22.6</v>
      </c>
      <c r="J1107" s="3">
        <v>6</v>
      </c>
      <c r="K1107" s="3">
        <v>0.2</v>
      </c>
      <c r="L1107" s="3">
        <v>7.8</v>
      </c>
      <c r="M1107" t="str">
        <f>IF(acs2015_county_data[[#This Row],[PublicWork]]&gt;='Описательные характеристики'!$F$5,"да","нет")</f>
        <v>да</v>
      </c>
      <c r="N1107" t="str">
        <f>IF(acs2015_county_data[[#This Row],[Unemployment]]&gt;='Описательные характеристики'!$I$5,"да","нет")</f>
        <v>да</v>
      </c>
    </row>
    <row r="1108" spans="1:14" x14ac:dyDescent="0.35">
      <c r="A1108">
        <v>21227</v>
      </c>
      <c r="B1108" t="s">
        <v>710</v>
      </c>
      <c r="C1108" t="s">
        <v>456</v>
      </c>
      <c r="D1108" s="2">
        <v>118950</v>
      </c>
      <c r="E1108" s="2">
        <v>23823</v>
      </c>
      <c r="F1108" s="3">
        <v>2.6</v>
      </c>
      <c r="G1108" s="3">
        <v>56780</v>
      </c>
      <c r="H1108" s="3">
        <v>78.599999999999994</v>
      </c>
      <c r="I1108" s="3">
        <v>16.3</v>
      </c>
      <c r="J1108" s="3">
        <v>4.9000000000000004</v>
      </c>
      <c r="K1108" s="3">
        <v>0.2</v>
      </c>
      <c r="L1108" s="3">
        <v>7.9</v>
      </c>
      <c r="M1108" t="str">
        <f>IF(acs2015_county_data[[#This Row],[PublicWork]]&gt;='Описательные характеристики'!$F$5,"да","нет")</f>
        <v>да</v>
      </c>
      <c r="N1108" t="str">
        <f>IF(acs2015_county_data[[#This Row],[Unemployment]]&gt;='Описательные характеристики'!$I$5,"да","нет")</f>
        <v>да</v>
      </c>
    </row>
    <row r="1109" spans="1:14" x14ac:dyDescent="0.35">
      <c r="A1109">
        <v>21229</v>
      </c>
      <c r="B1109" t="s">
        <v>710</v>
      </c>
      <c r="C1109" t="s">
        <v>75</v>
      </c>
      <c r="D1109" s="2">
        <v>11910</v>
      </c>
      <c r="E1109" s="2">
        <v>19793</v>
      </c>
      <c r="F1109" s="3">
        <v>1.5</v>
      </c>
      <c r="G1109" s="3">
        <v>5468</v>
      </c>
      <c r="H1109" s="3">
        <v>76.7</v>
      </c>
      <c r="I1109" s="3">
        <v>13.7</v>
      </c>
      <c r="J1109" s="3">
        <v>9.4</v>
      </c>
      <c r="K1109" s="3">
        <v>0.2</v>
      </c>
      <c r="L1109" s="3">
        <v>6.1</v>
      </c>
      <c r="M1109" t="str">
        <f>IF(acs2015_county_data[[#This Row],[PublicWork]]&gt;='Описательные характеристики'!$F$5,"да","нет")</f>
        <v>нет</v>
      </c>
      <c r="N1109" t="str">
        <f>IF(acs2015_county_data[[#This Row],[Unemployment]]&gt;='Описательные характеристики'!$I$5,"да","нет")</f>
        <v>нет</v>
      </c>
    </row>
    <row r="1110" spans="1:14" x14ac:dyDescent="0.35">
      <c r="A1110">
        <v>21231</v>
      </c>
      <c r="B1110" t="s">
        <v>710</v>
      </c>
      <c r="C1110" t="s">
        <v>457</v>
      </c>
      <c r="D1110" s="2">
        <v>20655</v>
      </c>
      <c r="E1110" s="2">
        <v>15475</v>
      </c>
      <c r="F1110" s="3">
        <v>4.3</v>
      </c>
      <c r="G1110" s="3">
        <v>6681</v>
      </c>
      <c r="H1110" s="3">
        <v>75.599999999999994</v>
      </c>
      <c r="I1110" s="3">
        <v>18.3</v>
      </c>
      <c r="J1110" s="3">
        <v>5.9</v>
      </c>
      <c r="K1110" s="3">
        <v>0.1</v>
      </c>
      <c r="L1110" s="3">
        <v>12.6</v>
      </c>
      <c r="M1110" t="str">
        <f>IF(acs2015_county_data[[#This Row],[PublicWork]]&gt;='Описательные характеристики'!$F$5,"да","нет")</f>
        <v>да</v>
      </c>
      <c r="N1110" t="str">
        <f>IF(acs2015_county_data[[#This Row],[Unemployment]]&gt;='Описательные характеристики'!$I$5,"да","нет")</f>
        <v>да</v>
      </c>
    </row>
    <row r="1111" spans="1:14" x14ac:dyDescent="0.35">
      <c r="A1111">
        <v>21233</v>
      </c>
      <c r="B1111" t="s">
        <v>710</v>
      </c>
      <c r="C1111" t="s">
        <v>458</v>
      </c>
      <c r="D1111" s="2">
        <v>13357</v>
      </c>
      <c r="E1111" s="2">
        <v>19891</v>
      </c>
      <c r="F1111" s="3">
        <v>1.9</v>
      </c>
      <c r="G1111" s="3">
        <v>5186</v>
      </c>
      <c r="H1111" s="3">
        <v>79.8</v>
      </c>
      <c r="I1111" s="3">
        <v>12.3</v>
      </c>
      <c r="J1111" s="3">
        <v>7.5</v>
      </c>
      <c r="K1111" s="3">
        <v>0.4</v>
      </c>
      <c r="L1111" s="3">
        <v>7.2</v>
      </c>
      <c r="M1111" t="str">
        <f>IF(acs2015_county_data[[#This Row],[PublicWork]]&gt;='Описательные характеристики'!$F$5,"да","нет")</f>
        <v>нет</v>
      </c>
      <c r="N1111" t="str">
        <f>IF(acs2015_county_data[[#This Row],[Unemployment]]&gt;='Описательные характеристики'!$I$5,"да","нет")</f>
        <v>нет</v>
      </c>
    </row>
    <row r="1112" spans="1:14" x14ac:dyDescent="0.35">
      <c r="A1112">
        <v>21235</v>
      </c>
      <c r="B1112" t="s">
        <v>710</v>
      </c>
      <c r="C1112" t="s">
        <v>597</v>
      </c>
      <c r="D1112" s="2">
        <v>35794</v>
      </c>
      <c r="E1112" s="2">
        <v>16748</v>
      </c>
      <c r="F1112" s="3">
        <v>1.9</v>
      </c>
      <c r="G1112" s="3">
        <v>12406</v>
      </c>
      <c r="H1112" s="3">
        <v>74.3</v>
      </c>
      <c r="I1112" s="3">
        <v>21.3</v>
      </c>
      <c r="J1112" s="3">
        <v>4.3</v>
      </c>
      <c r="K1112" s="3">
        <v>0.1</v>
      </c>
      <c r="L1112" s="3">
        <v>10.199999999999999</v>
      </c>
      <c r="M1112" t="str">
        <f>IF(acs2015_county_data[[#This Row],[PublicWork]]&gt;='Описательные характеристики'!$F$5,"да","нет")</f>
        <v>да</v>
      </c>
      <c r="N1112" t="str">
        <f>IF(acs2015_county_data[[#This Row],[Unemployment]]&gt;='Описательные характеристики'!$I$5,"да","нет")</f>
        <v>да</v>
      </c>
    </row>
    <row r="1113" spans="1:14" x14ac:dyDescent="0.35">
      <c r="A1113">
        <v>21237</v>
      </c>
      <c r="B1113" t="s">
        <v>710</v>
      </c>
      <c r="C1113" t="s">
        <v>765</v>
      </c>
      <c r="D1113" s="2">
        <v>7261</v>
      </c>
      <c r="E1113" s="2">
        <v>13901</v>
      </c>
      <c r="F1113" s="3">
        <v>5.0999999999999996</v>
      </c>
      <c r="G1113" s="3">
        <v>1967</v>
      </c>
      <c r="H1113" s="3">
        <v>65.599999999999994</v>
      </c>
      <c r="I1113" s="3">
        <v>30.8</v>
      </c>
      <c r="J1113" s="3">
        <v>3.7</v>
      </c>
      <c r="K1113" s="3">
        <v>0</v>
      </c>
      <c r="L1113" s="3">
        <v>9.6999999999999993</v>
      </c>
      <c r="M1113" t="str">
        <f>IF(acs2015_county_data[[#This Row],[PublicWork]]&gt;='Описательные характеристики'!$F$5,"да","нет")</f>
        <v>да</v>
      </c>
      <c r="N1113" t="str">
        <f>IF(acs2015_county_data[[#This Row],[Unemployment]]&gt;='Описательные характеристики'!$I$5,"да","нет")</f>
        <v>да</v>
      </c>
    </row>
    <row r="1114" spans="1:14" x14ac:dyDescent="0.35">
      <c r="A1114">
        <v>21239</v>
      </c>
      <c r="B1114" t="s">
        <v>710</v>
      </c>
      <c r="C1114" t="s">
        <v>557</v>
      </c>
      <c r="D1114" s="2">
        <v>25317</v>
      </c>
      <c r="E1114" s="2">
        <v>30490</v>
      </c>
      <c r="F1114" s="3">
        <v>4.7</v>
      </c>
      <c r="G1114" s="3">
        <v>12748</v>
      </c>
      <c r="H1114" s="3">
        <v>77.599999999999994</v>
      </c>
      <c r="I1114" s="3">
        <v>15</v>
      </c>
      <c r="J1114" s="3">
        <v>7.3</v>
      </c>
      <c r="K1114" s="3">
        <v>0.1</v>
      </c>
      <c r="L1114" s="3">
        <v>4.8</v>
      </c>
      <c r="M1114" t="str">
        <f>IF(acs2015_county_data[[#This Row],[PublicWork]]&gt;='Описательные характеристики'!$F$5,"да","нет")</f>
        <v>нет</v>
      </c>
      <c r="N1114" t="str">
        <f>IF(acs2015_county_data[[#This Row],[Unemployment]]&gt;='Описательные характеристики'!$I$5,"да","нет")</f>
        <v>нет</v>
      </c>
    </row>
    <row r="1115" spans="1:14" x14ac:dyDescent="0.35">
      <c r="A1115">
        <v>22001</v>
      </c>
      <c r="B1115" t="s">
        <v>766</v>
      </c>
      <c r="C1115" t="s">
        <v>767</v>
      </c>
      <c r="D1115" s="2">
        <v>62163</v>
      </c>
      <c r="E1115" s="2">
        <v>20552</v>
      </c>
      <c r="F1115" s="3">
        <v>2</v>
      </c>
      <c r="G1115" s="3">
        <v>24619</v>
      </c>
      <c r="H1115" s="3">
        <v>82.4</v>
      </c>
      <c r="I1115" s="3">
        <v>10.6</v>
      </c>
      <c r="J1115" s="3">
        <v>7</v>
      </c>
      <c r="K1115" s="3">
        <v>0</v>
      </c>
      <c r="L1115" s="3">
        <v>10.1</v>
      </c>
      <c r="M1115" t="str">
        <f>IF(acs2015_county_data[[#This Row],[PublicWork]]&gt;='Описательные характеристики'!$F$5,"да","нет")</f>
        <v>нет</v>
      </c>
      <c r="N1115" t="str">
        <f>IF(acs2015_county_data[[#This Row],[Unemployment]]&gt;='Описательные характеристики'!$I$5,"да","нет")</f>
        <v>да</v>
      </c>
    </row>
    <row r="1116" spans="1:14" x14ac:dyDescent="0.35">
      <c r="A1116">
        <v>22003</v>
      </c>
      <c r="B1116" t="s">
        <v>766</v>
      </c>
      <c r="C1116" t="s">
        <v>559</v>
      </c>
      <c r="D1116" s="2">
        <v>25653</v>
      </c>
      <c r="E1116" s="2">
        <v>19868</v>
      </c>
      <c r="F1116" s="3">
        <v>1.9</v>
      </c>
      <c r="G1116" s="3">
        <v>8269</v>
      </c>
      <c r="H1116" s="3">
        <v>69.8</v>
      </c>
      <c r="I1116" s="3">
        <v>26.2</v>
      </c>
      <c r="J1116" s="3">
        <v>3.8</v>
      </c>
      <c r="K1116" s="3">
        <v>0.2</v>
      </c>
      <c r="L1116" s="3">
        <v>8.9</v>
      </c>
      <c r="M1116" t="str">
        <f>IF(acs2015_county_data[[#This Row],[PublicWork]]&gt;='Описательные характеристики'!$F$5,"да","нет")</f>
        <v>да</v>
      </c>
      <c r="N1116" t="str">
        <f>IF(acs2015_county_data[[#This Row],[Unemployment]]&gt;='Описательные характеристики'!$I$5,"да","нет")</f>
        <v>да</v>
      </c>
    </row>
    <row r="1117" spans="1:14" x14ac:dyDescent="0.35">
      <c r="A1117">
        <v>22005</v>
      </c>
      <c r="B1117" t="s">
        <v>766</v>
      </c>
      <c r="C1117" t="s">
        <v>768</v>
      </c>
      <c r="D1117" s="2">
        <v>114738</v>
      </c>
      <c r="E1117" s="2">
        <v>29269</v>
      </c>
      <c r="F1117" s="3">
        <v>3.3</v>
      </c>
      <c r="G1117" s="3">
        <v>55380</v>
      </c>
      <c r="H1117" s="3">
        <v>81.599999999999994</v>
      </c>
      <c r="I1117" s="3">
        <v>13.4</v>
      </c>
      <c r="J1117" s="3">
        <v>4.9000000000000004</v>
      </c>
      <c r="K1117" s="3">
        <v>0.1</v>
      </c>
      <c r="L1117" s="3">
        <v>6.4</v>
      </c>
      <c r="M1117" t="str">
        <f>IF(acs2015_county_data[[#This Row],[PublicWork]]&gt;='Описательные характеристики'!$F$5,"да","нет")</f>
        <v>нет</v>
      </c>
      <c r="N1117" t="str">
        <f>IF(acs2015_county_data[[#This Row],[Unemployment]]&gt;='Описательные характеристики'!$I$5,"да","нет")</f>
        <v>нет</v>
      </c>
    </row>
    <row r="1118" spans="1:14" x14ac:dyDescent="0.35">
      <c r="A1118">
        <v>22007</v>
      </c>
      <c r="B1118" t="s">
        <v>766</v>
      </c>
      <c r="C1118" t="s">
        <v>769</v>
      </c>
      <c r="D1118" s="2">
        <v>23057</v>
      </c>
      <c r="E1118" s="2">
        <v>23886</v>
      </c>
      <c r="F1118" s="3">
        <v>1.3</v>
      </c>
      <c r="G1118" s="3">
        <v>9407</v>
      </c>
      <c r="H1118" s="3">
        <v>83.3</v>
      </c>
      <c r="I1118" s="3">
        <v>12.6</v>
      </c>
      <c r="J1118" s="3">
        <v>3.6</v>
      </c>
      <c r="K1118" s="3">
        <v>0.6</v>
      </c>
      <c r="L1118" s="3">
        <v>10.3</v>
      </c>
      <c r="M1118" t="str">
        <f>IF(acs2015_county_data[[#This Row],[PublicWork]]&gt;='Описательные характеристики'!$F$5,"да","нет")</f>
        <v>нет</v>
      </c>
      <c r="N1118" t="str">
        <f>IF(acs2015_county_data[[#This Row],[Unemployment]]&gt;='Описательные характеристики'!$I$5,"да","нет")</f>
        <v>да</v>
      </c>
    </row>
    <row r="1119" spans="1:14" x14ac:dyDescent="0.35">
      <c r="A1119">
        <v>22009</v>
      </c>
      <c r="B1119" t="s">
        <v>766</v>
      </c>
      <c r="C1119" t="s">
        <v>770</v>
      </c>
      <c r="D1119" s="2">
        <v>41389</v>
      </c>
      <c r="E1119" s="2">
        <v>18967</v>
      </c>
      <c r="F1119" s="3">
        <v>2.2000000000000002</v>
      </c>
      <c r="G1119" s="3">
        <v>14998</v>
      </c>
      <c r="H1119" s="3">
        <v>75.2</v>
      </c>
      <c r="I1119" s="3">
        <v>19.600000000000001</v>
      </c>
      <c r="J1119" s="3">
        <v>5</v>
      </c>
      <c r="K1119" s="3">
        <v>0.2</v>
      </c>
      <c r="L1119" s="3">
        <v>9.6</v>
      </c>
      <c r="M1119" t="str">
        <f>IF(acs2015_county_data[[#This Row],[PublicWork]]&gt;='Описательные характеристики'!$F$5,"да","нет")</f>
        <v>да</v>
      </c>
      <c r="N1119" t="str">
        <f>IF(acs2015_county_data[[#This Row],[Unemployment]]&gt;='Описательные характеристики'!$I$5,"да","нет")</f>
        <v>да</v>
      </c>
    </row>
    <row r="1120" spans="1:14" x14ac:dyDescent="0.35">
      <c r="A1120">
        <v>22011</v>
      </c>
      <c r="B1120" t="s">
        <v>766</v>
      </c>
      <c r="C1120" t="s">
        <v>771</v>
      </c>
      <c r="D1120" s="2">
        <v>36259</v>
      </c>
      <c r="E1120" s="2">
        <v>22961</v>
      </c>
      <c r="F1120" s="3">
        <v>1.3</v>
      </c>
      <c r="G1120" s="3">
        <v>14287</v>
      </c>
      <c r="H1120" s="3">
        <v>75.2</v>
      </c>
      <c r="I1120" s="3">
        <v>18.899999999999999</v>
      </c>
      <c r="J1120" s="3">
        <v>5.8</v>
      </c>
      <c r="K1120" s="3">
        <v>0</v>
      </c>
      <c r="L1120" s="3">
        <v>5.7</v>
      </c>
      <c r="M1120" t="str">
        <f>IF(acs2015_county_data[[#This Row],[PublicWork]]&gt;='Описательные характеристики'!$F$5,"да","нет")</f>
        <v>да</v>
      </c>
      <c r="N1120" t="str">
        <f>IF(acs2015_county_data[[#This Row],[Unemployment]]&gt;='Описательные характеристики'!$I$5,"да","нет")</f>
        <v>нет</v>
      </c>
    </row>
    <row r="1121" spans="1:14" x14ac:dyDescent="0.35">
      <c r="A1121">
        <v>22013</v>
      </c>
      <c r="B1121" t="s">
        <v>766</v>
      </c>
      <c r="C1121" t="s">
        <v>772</v>
      </c>
      <c r="D1121" s="2">
        <v>13977</v>
      </c>
      <c r="E1121" s="2">
        <v>20464</v>
      </c>
      <c r="F1121" s="3">
        <v>4.3</v>
      </c>
      <c r="G1121" s="3">
        <v>5177</v>
      </c>
      <c r="H1121" s="3">
        <v>67.8</v>
      </c>
      <c r="I1121" s="3">
        <v>23.7</v>
      </c>
      <c r="J1121" s="3">
        <v>7.4</v>
      </c>
      <c r="K1121" s="3">
        <v>1.1000000000000001</v>
      </c>
      <c r="L1121" s="3">
        <v>10.1</v>
      </c>
      <c r="M1121" t="str">
        <f>IF(acs2015_county_data[[#This Row],[PublicWork]]&gt;='Описательные характеристики'!$F$5,"да","нет")</f>
        <v>да</v>
      </c>
      <c r="N1121" t="str">
        <f>IF(acs2015_county_data[[#This Row],[Unemployment]]&gt;='Описательные характеристики'!$I$5,"да","нет")</f>
        <v>да</v>
      </c>
    </row>
    <row r="1122" spans="1:14" x14ac:dyDescent="0.35">
      <c r="A1122">
        <v>22015</v>
      </c>
      <c r="B1122" t="s">
        <v>766</v>
      </c>
      <c r="C1122" t="s">
        <v>773</v>
      </c>
      <c r="D1122" s="2">
        <v>123403</v>
      </c>
      <c r="E1122" s="2">
        <v>27572</v>
      </c>
      <c r="F1122" s="3">
        <v>2.7</v>
      </c>
      <c r="G1122" s="3">
        <v>56570</v>
      </c>
      <c r="H1122" s="3">
        <v>74.3</v>
      </c>
      <c r="I1122" s="3">
        <v>20.399999999999999</v>
      </c>
      <c r="J1122" s="3">
        <v>5.2</v>
      </c>
      <c r="K1122" s="3">
        <v>0.1</v>
      </c>
      <c r="L1122" s="3">
        <v>5.7</v>
      </c>
      <c r="M1122" t="str">
        <f>IF(acs2015_county_data[[#This Row],[PublicWork]]&gt;='Описательные характеристики'!$F$5,"да","нет")</f>
        <v>да</v>
      </c>
      <c r="N1122" t="str">
        <f>IF(acs2015_county_data[[#This Row],[Unemployment]]&gt;='Описательные характеристики'!$I$5,"да","нет")</f>
        <v>нет</v>
      </c>
    </row>
    <row r="1123" spans="1:14" x14ac:dyDescent="0.35">
      <c r="A1123">
        <v>22017</v>
      </c>
      <c r="B1123" t="s">
        <v>766</v>
      </c>
      <c r="C1123" t="s">
        <v>774</v>
      </c>
      <c r="D1123" s="2">
        <v>254742</v>
      </c>
      <c r="E1123" s="2">
        <v>24876</v>
      </c>
      <c r="F1123" s="3">
        <v>2.1</v>
      </c>
      <c r="G1123" s="3">
        <v>108738</v>
      </c>
      <c r="H1123" s="3">
        <v>80</v>
      </c>
      <c r="I1123" s="3">
        <v>15.5</v>
      </c>
      <c r="J1123" s="3">
        <v>4.4000000000000004</v>
      </c>
      <c r="K1123" s="3">
        <v>0.1</v>
      </c>
      <c r="L1123" s="3">
        <v>7</v>
      </c>
      <c r="M1123" t="str">
        <f>IF(acs2015_county_data[[#This Row],[PublicWork]]&gt;='Описательные характеристики'!$F$5,"да","нет")</f>
        <v>нет</v>
      </c>
      <c r="N1123" t="str">
        <f>IF(acs2015_county_data[[#This Row],[Unemployment]]&gt;='Описательные характеристики'!$I$5,"да","нет")</f>
        <v>нет</v>
      </c>
    </row>
    <row r="1124" spans="1:14" x14ac:dyDescent="0.35">
      <c r="A1124">
        <v>22019</v>
      </c>
      <c r="B1124" t="s">
        <v>766</v>
      </c>
      <c r="C1124" t="s">
        <v>775</v>
      </c>
      <c r="D1124" s="2">
        <v>195887</v>
      </c>
      <c r="E1124" s="2">
        <v>25005</v>
      </c>
      <c r="F1124" s="3">
        <v>1.8</v>
      </c>
      <c r="G1124" s="3">
        <v>86840</v>
      </c>
      <c r="H1124" s="3">
        <v>80.099999999999994</v>
      </c>
      <c r="I1124" s="3">
        <v>14.7</v>
      </c>
      <c r="J1124" s="3">
        <v>5</v>
      </c>
      <c r="K1124" s="3">
        <v>0.2</v>
      </c>
      <c r="L1124" s="3">
        <v>8.3000000000000007</v>
      </c>
      <c r="M1124" t="str">
        <f>IF(acs2015_county_data[[#This Row],[PublicWork]]&gt;='Описательные характеристики'!$F$5,"да","нет")</f>
        <v>нет</v>
      </c>
      <c r="N1124" t="str">
        <f>IF(acs2015_county_data[[#This Row],[Unemployment]]&gt;='Описательные характеристики'!$I$5,"да","нет")</f>
        <v>да</v>
      </c>
    </row>
    <row r="1125" spans="1:14" x14ac:dyDescent="0.35">
      <c r="A1125">
        <v>22021</v>
      </c>
      <c r="B1125" t="s">
        <v>766</v>
      </c>
      <c r="C1125" t="s">
        <v>721</v>
      </c>
      <c r="D1125" s="2">
        <v>9990</v>
      </c>
      <c r="E1125" s="2">
        <v>21493</v>
      </c>
      <c r="F1125" s="3">
        <v>3</v>
      </c>
      <c r="G1125" s="3">
        <v>3955</v>
      </c>
      <c r="H1125" s="3">
        <v>70.5</v>
      </c>
      <c r="I1125" s="3">
        <v>24.6</v>
      </c>
      <c r="J1125" s="3">
        <v>4.5999999999999996</v>
      </c>
      <c r="K1125" s="3">
        <v>0.3</v>
      </c>
      <c r="L1125" s="3">
        <v>10.199999999999999</v>
      </c>
      <c r="M1125" t="str">
        <f>IF(acs2015_county_data[[#This Row],[PublicWork]]&gt;='Описательные характеристики'!$F$5,"да","нет")</f>
        <v>да</v>
      </c>
      <c r="N1125" t="str">
        <f>IF(acs2015_county_data[[#This Row],[Unemployment]]&gt;='Описательные характеристики'!$I$5,"да","нет")</f>
        <v>да</v>
      </c>
    </row>
    <row r="1126" spans="1:14" x14ac:dyDescent="0.35">
      <c r="A1126">
        <v>22023</v>
      </c>
      <c r="B1126" t="s">
        <v>766</v>
      </c>
      <c r="C1126" t="s">
        <v>776</v>
      </c>
      <c r="D1126" s="2">
        <v>6706</v>
      </c>
      <c r="E1126" s="2">
        <v>29679</v>
      </c>
      <c r="F1126" s="3">
        <v>1.9</v>
      </c>
      <c r="G1126" s="3">
        <v>3077</v>
      </c>
      <c r="H1126" s="3">
        <v>70.2</v>
      </c>
      <c r="I1126" s="3">
        <v>22.3</v>
      </c>
      <c r="J1126" s="3">
        <v>7.2</v>
      </c>
      <c r="K1126" s="3">
        <v>0.3</v>
      </c>
      <c r="L1126" s="3">
        <v>6.3</v>
      </c>
      <c r="M1126" t="str">
        <f>IF(acs2015_county_data[[#This Row],[PublicWork]]&gt;='Описательные характеристики'!$F$5,"да","нет")</f>
        <v>да</v>
      </c>
      <c r="N1126" t="str">
        <f>IF(acs2015_county_data[[#This Row],[Unemployment]]&gt;='Описательные характеристики'!$I$5,"да","нет")</f>
        <v>нет</v>
      </c>
    </row>
    <row r="1127" spans="1:14" x14ac:dyDescent="0.35">
      <c r="A1127">
        <v>22025</v>
      </c>
      <c r="B1127" t="s">
        <v>766</v>
      </c>
      <c r="C1127" t="s">
        <v>777</v>
      </c>
      <c r="D1127" s="2">
        <v>10247</v>
      </c>
      <c r="E1127" s="2">
        <v>21851</v>
      </c>
      <c r="F1127" s="3">
        <v>0.8</v>
      </c>
      <c r="G1127" s="3">
        <v>3749</v>
      </c>
      <c r="H1127" s="3">
        <v>69.8</v>
      </c>
      <c r="I1127" s="3">
        <v>20.2</v>
      </c>
      <c r="J1127" s="3">
        <v>10</v>
      </c>
      <c r="K1127" s="3">
        <v>0</v>
      </c>
      <c r="L1127" s="3">
        <v>8.3000000000000007</v>
      </c>
      <c r="M1127" t="str">
        <f>IF(acs2015_county_data[[#This Row],[PublicWork]]&gt;='Описательные характеристики'!$F$5,"да","нет")</f>
        <v>да</v>
      </c>
      <c r="N1127" t="str">
        <f>IF(acs2015_county_data[[#This Row],[Unemployment]]&gt;='Описательные характеристики'!$I$5,"да","нет")</f>
        <v>да</v>
      </c>
    </row>
    <row r="1128" spans="1:14" x14ac:dyDescent="0.35">
      <c r="A1128">
        <v>22027</v>
      </c>
      <c r="B1128" t="s">
        <v>766</v>
      </c>
      <c r="C1128" t="s">
        <v>778</v>
      </c>
      <c r="D1128" s="2">
        <v>16639</v>
      </c>
      <c r="E1128" s="2">
        <v>17547</v>
      </c>
      <c r="F1128" s="3">
        <v>1.5</v>
      </c>
      <c r="G1128" s="3">
        <v>5494</v>
      </c>
      <c r="H1128" s="3">
        <v>70.8</v>
      </c>
      <c r="I1128" s="3">
        <v>23.8</v>
      </c>
      <c r="J1128" s="3">
        <v>5.4</v>
      </c>
      <c r="K1128" s="3">
        <v>0</v>
      </c>
      <c r="L1128" s="3">
        <v>13.5</v>
      </c>
      <c r="M1128" t="str">
        <f>IF(acs2015_county_data[[#This Row],[PublicWork]]&gt;='Описательные характеристики'!$F$5,"да","нет")</f>
        <v>да</v>
      </c>
      <c r="N1128" t="str">
        <f>IF(acs2015_county_data[[#This Row],[Unemployment]]&gt;='Описательные характеристики'!$I$5,"да","нет")</f>
        <v>да</v>
      </c>
    </row>
    <row r="1129" spans="1:14" x14ac:dyDescent="0.35">
      <c r="A1129">
        <v>22029</v>
      </c>
      <c r="B1129" t="s">
        <v>766</v>
      </c>
      <c r="C1129" t="s">
        <v>779</v>
      </c>
      <c r="D1129" s="2">
        <v>20449</v>
      </c>
      <c r="E1129" s="2">
        <v>17498</v>
      </c>
      <c r="F1129" s="3">
        <v>2</v>
      </c>
      <c r="G1129" s="3">
        <v>7078</v>
      </c>
      <c r="H1129" s="3">
        <v>72</v>
      </c>
      <c r="I1129" s="3">
        <v>21.8</v>
      </c>
      <c r="J1129" s="3">
        <v>6.1</v>
      </c>
      <c r="K1129" s="3">
        <v>0</v>
      </c>
      <c r="L1129" s="3">
        <v>11.7</v>
      </c>
      <c r="M1129" t="str">
        <f>IF(acs2015_county_data[[#This Row],[PublicWork]]&gt;='Описательные характеристики'!$F$5,"да","нет")</f>
        <v>да</v>
      </c>
      <c r="N1129" t="str">
        <f>IF(acs2015_county_data[[#This Row],[Unemployment]]&gt;='Описательные характеристики'!$I$5,"да","нет")</f>
        <v>да</v>
      </c>
    </row>
    <row r="1130" spans="1:14" x14ac:dyDescent="0.35">
      <c r="A1130">
        <v>22031</v>
      </c>
      <c r="B1130" t="s">
        <v>766</v>
      </c>
      <c r="C1130" t="s">
        <v>780</v>
      </c>
      <c r="D1130" s="2">
        <v>26965</v>
      </c>
      <c r="E1130" s="2">
        <v>22513</v>
      </c>
      <c r="F1130" s="3">
        <v>1.8</v>
      </c>
      <c r="G1130" s="3">
        <v>10521</v>
      </c>
      <c r="H1130" s="3">
        <v>81</v>
      </c>
      <c r="I1130" s="3">
        <v>15.1</v>
      </c>
      <c r="J1130" s="3">
        <v>3.8</v>
      </c>
      <c r="K1130" s="3">
        <v>0.2</v>
      </c>
      <c r="L1130" s="3">
        <v>9.3000000000000007</v>
      </c>
      <c r="M1130" t="str">
        <f>IF(acs2015_county_data[[#This Row],[PublicWork]]&gt;='Описательные характеристики'!$F$5,"да","нет")</f>
        <v>нет</v>
      </c>
      <c r="N1130" t="str">
        <f>IF(acs2015_county_data[[#This Row],[Unemployment]]&gt;='Описательные характеристики'!$I$5,"да","нет")</f>
        <v>да</v>
      </c>
    </row>
    <row r="1131" spans="1:14" x14ac:dyDescent="0.35">
      <c r="A1131">
        <v>22033</v>
      </c>
      <c r="B1131" t="s">
        <v>766</v>
      </c>
      <c r="C1131" t="s">
        <v>781</v>
      </c>
      <c r="D1131" s="2">
        <v>444690</v>
      </c>
      <c r="E1131" s="2">
        <v>27944</v>
      </c>
      <c r="F1131" s="3">
        <v>2.7</v>
      </c>
      <c r="G1131" s="3">
        <v>215513</v>
      </c>
      <c r="H1131" s="3">
        <v>77.2</v>
      </c>
      <c r="I1131" s="3">
        <v>18</v>
      </c>
      <c r="J1131" s="3">
        <v>4.7</v>
      </c>
      <c r="K1131" s="3">
        <v>0.1</v>
      </c>
      <c r="L1131" s="3">
        <v>7.6</v>
      </c>
      <c r="M1131" t="str">
        <f>IF(acs2015_county_data[[#This Row],[PublicWork]]&gt;='Описательные характеристики'!$F$5,"да","нет")</f>
        <v>да</v>
      </c>
      <c r="N1131" t="str">
        <f>IF(acs2015_county_data[[#This Row],[Unemployment]]&gt;='Описательные характеристики'!$I$5,"да","нет")</f>
        <v>да</v>
      </c>
    </row>
    <row r="1132" spans="1:14" x14ac:dyDescent="0.35">
      <c r="A1132">
        <v>22035</v>
      </c>
      <c r="B1132" t="s">
        <v>766</v>
      </c>
      <c r="C1132" t="s">
        <v>782</v>
      </c>
      <c r="D1132" s="2">
        <v>7501</v>
      </c>
      <c r="E1132" s="2">
        <v>11313</v>
      </c>
      <c r="F1132" s="3">
        <v>3.6</v>
      </c>
      <c r="G1132" s="3">
        <v>1882</v>
      </c>
      <c r="H1132" s="3">
        <v>74.099999999999994</v>
      </c>
      <c r="I1132" s="3">
        <v>21.8</v>
      </c>
      <c r="J1132" s="3">
        <v>4.0999999999999996</v>
      </c>
      <c r="K1132" s="3">
        <v>0</v>
      </c>
      <c r="L1132" s="3">
        <v>19.2</v>
      </c>
      <c r="M1132" t="str">
        <f>IF(acs2015_county_data[[#This Row],[PublicWork]]&gt;='Описательные характеристики'!$F$5,"да","нет")</f>
        <v>да</v>
      </c>
      <c r="N1132" t="str">
        <f>IF(acs2015_county_data[[#This Row],[Unemployment]]&gt;='Описательные характеристики'!$I$5,"да","нет")</f>
        <v>да</v>
      </c>
    </row>
    <row r="1133" spans="1:14" x14ac:dyDescent="0.35">
      <c r="A1133">
        <v>22037</v>
      </c>
      <c r="B1133" t="s">
        <v>766</v>
      </c>
      <c r="C1133" t="s">
        <v>783</v>
      </c>
      <c r="D1133" s="2">
        <v>19855</v>
      </c>
      <c r="E1133" s="2">
        <v>21348</v>
      </c>
      <c r="F1133" s="3">
        <v>2.7</v>
      </c>
      <c r="G1133" s="3">
        <v>7165</v>
      </c>
      <c r="H1133" s="3">
        <v>68.3</v>
      </c>
      <c r="I1133" s="3">
        <v>26.1</v>
      </c>
      <c r="J1133" s="3">
        <v>5.6</v>
      </c>
      <c r="K1133" s="3">
        <v>0</v>
      </c>
      <c r="L1133" s="3">
        <v>6.5</v>
      </c>
      <c r="M1133" t="str">
        <f>IF(acs2015_county_data[[#This Row],[PublicWork]]&gt;='Описательные характеристики'!$F$5,"да","нет")</f>
        <v>да</v>
      </c>
      <c r="N1133" t="str">
        <f>IF(acs2015_county_data[[#This Row],[Unemployment]]&gt;='Описательные характеристики'!$I$5,"да","нет")</f>
        <v>нет</v>
      </c>
    </row>
    <row r="1134" spans="1:14" x14ac:dyDescent="0.35">
      <c r="A1134">
        <v>22039</v>
      </c>
      <c r="B1134" t="s">
        <v>766</v>
      </c>
      <c r="C1134" t="s">
        <v>784</v>
      </c>
      <c r="D1134" s="2">
        <v>33768</v>
      </c>
      <c r="E1134" s="2">
        <v>18484</v>
      </c>
      <c r="F1134" s="3">
        <v>1.9</v>
      </c>
      <c r="G1134" s="3">
        <v>10978</v>
      </c>
      <c r="H1134" s="3">
        <v>78.599999999999994</v>
      </c>
      <c r="I1134" s="3">
        <v>14.5</v>
      </c>
      <c r="J1134" s="3">
        <v>6.9</v>
      </c>
      <c r="K1134" s="3">
        <v>0</v>
      </c>
      <c r="L1134" s="3">
        <v>10.4</v>
      </c>
      <c r="M1134" t="str">
        <f>IF(acs2015_county_data[[#This Row],[PublicWork]]&gt;='Описательные характеристики'!$F$5,"да","нет")</f>
        <v>нет</v>
      </c>
      <c r="N1134" t="str">
        <f>IF(acs2015_county_data[[#This Row],[Unemployment]]&gt;='Описательные характеристики'!$I$5,"да","нет")</f>
        <v>да</v>
      </c>
    </row>
    <row r="1135" spans="1:14" x14ac:dyDescent="0.35">
      <c r="A1135">
        <v>22041</v>
      </c>
      <c r="B1135" t="s">
        <v>766</v>
      </c>
      <c r="C1135" t="s">
        <v>43</v>
      </c>
      <c r="D1135" s="2">
        <v>20550</v>
      </c>
      <c r="E1135" s="2">
        <v>17324</v>
      </c>
      <c r="F1135" s="3">
        <v>2.6</v>
      </c>
      <c r="G1135" s="3">
        <v>7062</v>
      </c>
      <c r="H1135" s="3">
        <v>71.8</v>
      </c>
      <c r="I1135" s="3">
        <v>16.3</v>
      </c>
      <c r="J1135" s="3">
        <v>11.6</v>
      </c>
      <c r="K1135" s="3">
        <v>0.3</v>
      </c>
      <c r="L1135" s="3">
        <v>11.5</v>
      </c>
      <c r="M1135" t="str">
        <f>IF(acs2015_county_data[[#This Row],[PublicWork]]&gt;='Описательные характеристики'!$F$5,"да","нет")</f>
        <v>да</v>
      </c>
      <c r="N1135" t="str">
        <f>IF(acs2015_county_data[[#This Row],[Unemployment]]&gt;='Описательные характеристики'!$I$5,"да","нет")</f>
        <v>да</v>
      </c>
    </row>
    <row r="1136" spans="1:14" x14ac:dyDescent="0.35">
      <c r="A1136">
        <v>22043</v>
      </c>
      <c r="B1136" t="s">
        <v>766</v>
      </c>
      <c r="C1136" t="s">
        <v>1995</v>
      </c>
      <c r="D1136" s="2">
        <v>22362</v>
      </c>
      <c r="E1136" s="2">
        <v>17987</v>
      </c>
      <c r="F1136" s="3">
        <v>2.6</v>
      </c>
      <c r="G1136" s="3">
        <v>7068</v>
      </c>
      <c r="H1136" s="3">
        <v>72.7</v>
      </c>
      <c r="I1136" s="3">
        <v>21.7</v>
      </c>
      <c r="J1136" s="3">
        <v>5.5</v>
      </c>
      <c r="K1136" s="3">
        <v>0.1</v>
      </c>
      <c r="L1136" s="3">
        <v>9.1999999999999993</v>
      </c>
      <c r="M1136" t="str">
        <f>IF(acs2015_county_data[[#This Row],[PublicWork]]&gt;='Описательные характеристики'!$F$5,"да","нет")</f>
        <v>да</v>
      </c>
      <c r="N1136" t="str">
        <f>IF(acs2015_county_data[[#This Row],[Unemployment]]&gt;='Описательные характеристики'!$I$5,"да","нет")</f>
        <v>да</v>
      </c>
    </row>
    <row r="1137" spans="1:14" x14ac:dyDescent="0.35">
      <c r="A1137">
        <v>22045</v>
      </c>
      <c r="B1137" t="s">
        <v>766</v>
      </c>
      <c r="C1137" t="s">
        <v>785</v>
      </c>
      <c r="D1137" s="2">
        <v>73938</v>
      </c>
      <c r="E1137" s="2">
        <v>23977</v>
      </c>
      <c r="F1137" s="3">
        <v>1.6</v>
      </c>
      <c r="G1137" s="3">
        <v>31517</v>
      </c>
      <c r="H1137" s="3">
        <v>81.7</v>
      </c>
      <c r="I1137" s="3">
        <v>11.8</v>
      </c>
      <c r="J1137" s="3">
        <v>6.5</v>
      </c>
      <c r="K1137" s="3">
        <v>0.1</v>
      </c>
      <c r="L1137" s="3">
        <v>10.6</v>
      </c>
      <c r="M1137" t="str">
        <f>IF(acs2015_county_data[[#This Row],[PublicWork]]&gt;='Описательные характеристики'!$F$5,"да","нет")</f>
        <v>нет</v>
      </c>
      <c r="N1137" t="str">
        <f>IF(acs2015_county_data[[#This Row],[Unemployment]]&gt;='Описательные характеристики'!$I$5,"да","нет")</f>
        <v>да</v>
      </c>
    </row>
    <row r="1138" spans="1:14" x14ac:dyDescent="0.35">
      <c r="A1138">
        <v>22047</v>
      </c>
      <c r="B1138" t="s">
        <v>766</v>
      </c>
      <c r="C1138" t="s">
        <v>786</v>
      </c>
      <c r="D1138" s="2">
        <v>33229</v>
      </c>
      <c r="E1138" s="2">
        <v>21428</v>
      </c>
      <c r="F1138" s="3">
        <v>1.5</v>
      </c>
      <c r="G1138" s="3">
        <v>13049</v>
      </c>
      <c r="H1138" s="3">
        <v>76.900000000000006</v>
      </c>
      <c r="I1138" s="3">
        <v>19.2</v>
      </c>
      <c r="J1138" s="3">
        <v>3.9</v>
      </c>
      <c r="K1138" s="3">
        <v>0</v>
      </c>
      <c r="L1138" s="3">
        <v>7.9</v>
      </c>
      <c r="M1138" t="str">
        <f>IF(acs2015_county_data[[#This Row],[PublicWork]]&gt;='Описательные характеристики'!$F$5,"да","нет")</f>
        <v>да</v>
      </c>
      <c r="N1138" t="str">
        <f>IF(acs2015_county_data[[#This Row],[Unemployment]]&gt;='Описательные характеристики'!$I$5,"да","нет")</f>
        <v>да</v>
      </c>
    </row>
    <row r="1139" spans="1:14" x14ac:dyDescent="0.35">
      <c r="A1139">
        <v>22049</v>
      </c>
      <c r="B1139" t="s">
        <v>766</v>
      </c>
      <c r="C1139" t="s">
        <v>49</v>
      </c>
      <c r="D1139" s="2">
        <v>16109</v>
      </c>
      <c r="E1139" s="2">
        <v>18986</v>
      </c>
      <c r="F1139" s="3">
        <v>5.6</v>
      </c>
      <c r="G1139" s="3">
        <v>5536</v>
      </c>
      <c r="H1139" s="3">
        <v>75</v>
      </c>
      <c r="I1139" s="3">
        <v>19.7</v>
      </c>
      <c r="J1139" s="3">
        <v>5.0999999999999996</v>
      </c>
      <c r="K1139" s="3">
        <v>0.3</v>
      </c>
      <c r="L1139" s="3">
        <v>6.9</v>
      </c>
      <c r="M1139" t="str">
        <f>IF(acs2015_county_data[[#This Row],[PublicWork]]&gt;='Описательные характеристики'!$F$5,"да","нет")</f>
        <v>да</v>
      </c>
      <c r="N1139" t="str">
        <f>IF(acs2015_county_data[[#This Row],[Unemployment]]&gt;='Описательные характеристики'!$I$5,"да","нет")</f>
        <v>нет</v>
      </c>
    </row>
    <row r="1140" spans="1:14" x14ac:dyDescent="0.35">
      <c r="A1140">
        <v>22051</v>
      </c>
      <c r="B1140" t="s">
        <v>766</v>
      </c>
      <c r="C1140" t="s">
        <v>50</v>
      </c>
      <c r="D1140" s="2">
        <v>435092</v>
      </c>
      <c r="E1140" s="2">
        <v>27127</v>
      </c>
      <c r="F1140" s="3">
        <v>2.2000000000000002</v>
      </c>
      <c r="G1140" s="3">
        <v>210346</v>
      </c>
      <c r="H1140" s="3">
        <v>82</v>
      </c>
      <c r="I1140" s="3">
        <v>12</v>
      </c>
      <c r="J1140" s="3">
        <v>5.8</v>
      </c>
      <c r="K1140" s="3">
        <v>0.1</v>
      </c>
      <c r="L1140" s="3">
        <v>6.7</v>
      </c>
      <c r="M1140" t="str">
        <f>IF(acs2015_county_data[[#This Row],[PublicWork]]&gt;='Описательные характеристики'!$F$5,"да","нет")</f>
        <v>нет</v>
      </c>
      <c r="N1140" t="str">
        <f>IF(acs2015_county_data[[#This Row],[Unemployment]]&gt;='Описательные характеристики'!$I$5,"да","нет")</f>
        <v>нет</v>
      </c>
    </row>
    <row r="1141" spans="1:14" x14ac:dyDescent="0.35">
      <c r="A1141">
        <v>22053</v>
      </c>
      <c r="B1141" t="s">
        <v>766</v>
      </c>
      <c r="C1141" t="s">
        <v>787</v>
      </c>
      <c r="D1141" s="2">
        <v>31434</v>
      </c>
      <c r="E1141" s="2">
        <v>22260</v>
      </c>
      <c r="F1141" s="3">
        <v>2</v>
      </c>
      <c r="G1141" s="3">
        <v>12657</v>
      </c>
      <c r="H1141" s="3">
        <v>73.7</v>
      </c>
      <c r="I1141" s="3">
        <v>20.3</v>
      </c>
      <c r="J1141" s="3">
        <v>5.8</v>
      </c>
      <c r="K1141" s="3">
        <v>0.2</v>
      </c>
      <c r="L1141" s="3">
        <v>9.1999999999999993</v>
      </c>
      <c r="M1141" t="str">
        <f>IF(acs2015_county_data[[#This Row],[PublicWork]]&gt;='Описательные характеристики'!$F$5,"да","нет")</f>
        <v>да</v>
      </c>
      <c r="N1141" t="str">
        <f>IF(acs2015_county_data[[#This Row],[Unemployment]]&gt;='Описательные характеристики'!$I$5,"да","нет")</f>
        <v>да</v>
      </c>
    </row>
    <row r="1142" spans="1:14" x14ac:dyDescent="0.35">
      <c r="A1142">
        <v>22055</v>
      </c>
      <c r="B1142" t="s">
        <v>766</v>
      </c>
      <c r="C1142" t="s">
        <v>151</v>
      </c>
      <c r="D1142" s="2">
        <v>231811</v>
      </c>
      <c r="E1142" s="2">
        <v>30240</v>
      </c>
      <c r="F1142" s="3">
        <v>2.6</v>
      </c>
      <c r="G1142" s="3">
        <v>116522</v>
      </c>
      <c r="H1142" s="3">
        <v>82</v>
      </c>
      <c r="I1142" s="3">
        <v>11.2</v>
      </c>
      <c r="J1142" s="3">
        <v>6.6</v>
      </c>
      <c r="K1142" s="3">
        <v>0.2</v>
      </c>
      <c r="L1142" s="3">
        <v>6.3</v>
      </c>
      <c r="M1142" t="str">
        <f>IF(acs2015_county_data[[#This Row],[PublicWork]]&gt;='Описательные характеристики'!$F$5,"да","нет")</f>
        <v>нет</v>
      </c>
      <c r="N1142" t="str">
        <f>IF(acs2015_county_data[[#This Row],[Unemployment]]&gt;='Описательные характеристики'!$I$5,"да","нет")</f>
        <v>нет</v>
      </c>
    </row>
    <row r="1143" spans="1:14" x14ac:dyDescent="0.35">
      <c r="A1143">
        <v>22057</v>
      </c>
      <c r="B1143" t="s">
        <v>766</v>
      </c>
      <c r="C1143" t="s">
        <v>788</v>
      </c>
      <c r="D1143" s="2">
        <v>97474</v>
      </c>
      <c r="E1143" s="2">
        <v>25303</v>
      </c>
      <c r="F1143" s="3">
        <v>2.5</v>
      </c>
      <c r="G1143" s="3">
        <v>43542</v>
      </c>
      <c r="H1143" s="3">
        <v>82.1</v>
      </c>
      <c r="I1143" s="3">
        <v>12</v>
      </c>
      <c r="J1143" s="3">
        <v>5.8</v>
      </c>
      <c r="K1143" s="3">
        <v>0.2</v>
      </c>
      <c r="L1143" s="3">
        <v>7</v>
      </c>
      <c r="M1143" t="str">
        <f>IF(acs2015_county_data[[#This Row],[PublicWork]]&gt;='Описательные характеристики'!$F$5,"да","нет")</f>
        <v>нет</v>
      </c>
      <c r="N1143" t="str">
        <f>IF(acs2015_county_data[[#This Row],[Unemployment]]&gt;='Описательные характеристики'!$I$5,"да","нет")</f>
        <v>нет</v>
      </c>
    </row>
    <row r="1144" spans="1:14" x14ac:dyDescent="0.35">
      <c r="A1144">
        <v>22059</v>
      </c>
      <c r="B1144" t="s">
        <v>766</v>
      </c>
      <c r="C1144" t="s">
        <v>530</v>
      </c>
      <c r="D1144" s="2">
        <v>14899</v>
      </c>
      <c r="E1144" s="2">
        <v>20818</v>
      </c>
      <c r="F1144" s="3">
        <v>3.4</v>
      </c>
      <c r="G1144" s="3">
        <v>5354</v>
      </c>
      <c r="H1144" s="3">
        <v>73.3</v>
      </c>
      <c r="I1144" s="3">
        <v>20.399999999999999</v>
      </c>
      <c r="J1144" s="3">
        <v>6.1</v>
      </c>
      <c r="K1144" s="3">
        <v>0.3</v>
      </c>
      <c r="L1144" s="3">
        <v>6.3</v>
      </c>
      <c r="M1144" t="str">
        <f>IF(acs2015_county_data[[#This Row],[PublicWork]]&gt;='Описательные характеристики'!$F$5,"да","нет")</f>
        <v>да</v>
      </c>
      <c r="N1144" t="str">
        <f>IF(acs2015_county_data[[#This Row],[Unemployment]]&gt;='Описательные характеристики'!$I$5,"да","нет")</f>
        <v>нет</v>
      </c>
    </row>
    <row r="1145" spans="1:14" x14ac:dyDescent="0.35">
      <c r="A1145">
        <v>22061</v>
      </c>
      <c r="B1145" t="s">
        <v>766</v>
      </c>
      <c r="C1145" t="s">
        <v>152</v>
      </c>
      <c r="D1145" s="2">
        <v>47349</v>
      </c>
      <c r="E1145" s="2">
        <v>21003</v>
      </c>
      <c r="F1145" s="3">
        <v>3.2</v>
      </c>
      <c r="G1145" s="3">
        <v>20541</v>
      </c>
      <c r="H1145" s="3">
        <v>70.2</v>
      </c>
      <c r="I1145" s="3">
        <v>25.1</v>
      </c>
      <c r="J1145" s="3">
        <v>4.5999999999999996</v>
      </c>
      <c r="K1145" s="3">
        <v>0.1</v>
      </c>
      <c r="L1145" s="3">
        <v>11.9</v>
      </c>
      <c r="M1145" t="str">
        <f>IF(acs2015_county_data[[#This Row],[PublicWork]]&gt;='Описательные характеристики'!$F$5,"да","нет")</f>
        <v>да</v>
      </c>
      <c r="N1145" t="str">
        <f>IF(acs2015_county_data[[#This Row],[Unemployment]]&gt;='Описательные характеристики'!$I$5,"да","нет")</f>
        <v>да</v>
      </c>
    </row>
    <row r="1146" spans="1:14" x14ac:dyDescent="0.35">
      <c r="A1146">
        <v>22063</v>
      </c>
      <c r="B1146" t="s">
        <v>766</v>
      </c>
      <c r="C1146" t="s">
        <v>531</v>
      </c>
      <c r="D1146" s="2">
        <v>133949</v>
      </c>
      <c r="E1146" s="2">
        <v>25999</v>
      </c>
      <c r="F1146" s="3">
        <v>2.7</v>
      </c>
      <c r="G1146" s="3">
        <v>61631</v>
      </c>
      <c r="H1146" s="3">
        <v>80.099999999999994</v>
      </c>
      <c r="I1146" s="3">
        <v>15.4</v>
      </c>
      <c r="J1146" s="3">
        <v>4.4000000000000004</v>
      </c>
      <c r="K1146" s="3">
        <v>0.1</v>
      </c>
      <c r="L1146" s="3">
        <v>7</v>
      </c>
      <c r="M1146" t="str">
        <f>IF(acs2015_county_data[[#This Row],[PublicWork]]&gt;='Описательные характеристики'!$F$5,"да","нет")</f>
        <v>нет</v>
      </c>
      <c r="N1146" t="str">
        <f>IF(acs2015_county_data[[#This Row],[Unemployment]]&gt;='Описательные характеристики'!$I$5,"да","нет")</f>
        <v>нет</v>
      </c>
    </row>
    <row r="1147" spans="1:14" x14ac:dyDescent="0.35">
      <c r="A1147">
        <v>22065</v>
      </c>
      <c r="B1147" t="s">
        <v>766</v>
      </c>
      <c r="C1147" t="s">
        <v>57</v>
      </c>
      <c r="D1147" s="2">
        <v>11873</v>
      </c>
      <c r="E1147" s="2">
        <v>14205</v>
      </c>
      <c r="F1147" s="3">
        <v>1.1000000000000001</v>
      </c>
      <c r="G1147" s="3">
        <v>3967</v>
      </c>
      <c r="H1147" s="3">
        <v>72.400000000000006</v>
      </c>
      <c r="I1147" s="3">
        <v>22.8</v>
      </c>
      <c r="J1147" s="3">
        <v>4.5999999999999996</v>
      </c>
      <c r="K1147" s="3">
        <v>0.1</v>
      </c>
      <c r="L1147" s="3">
        <v>16.899999999999999</v>
      </c>
      <c r="M1147" t="str">
        <f>IF(acs2015_county_data[[#This Row],[PublicWork]]&gt;='Описательные характеристики'!$F$5,"да","нет")</f>
        <v>да</v>
      </c>
      <c r="N1147" t="str">
        <f>IF(acs2015_county_data[[#This Row],[Unemployment]]&gt;='Описательные характеристики'!$I$5,"да","нет")</f>
        <v>да</v>
      </c>
    </row>
    <row r="1148" spans="1:14" x14ac:dyDescent="0.35">
      <c r="A1148">
        <v>22067</v>
      </c>
      <c r="B1148" t="s">
        <v>766</v>
      </c>
      <c r="C1148" t="s">
        <v>789</v>
      </c>
      <c r="D1148" s="2">
        <v>27012</v>
      </c>
      <c r="E1148" s="2">
        <v>18209</v>
      </c>
      <c r="F1148" s="3">
        <v>0.8</v>
      </c>
      <c r="G1148" s="3">
        <v>9888</v>
      </c>
      <c r="H1148" s="3">
        <v>84.4</v>
      </c>
      <c r="I1148" s="3">
        <v>12.1</v>
      </c>
      <c r="J1148" s="3">
        <v>3.4</v>
      </c>
      <c r="K1148" s="3">
        <v>0.1</v>
      </c>
      <c r="L1148" s="3">
        <v>8</v>
      </c>
      <c r="M1148" t="str">
        <f>IF(acs2015_county_data[[#This Row],[PublicWork]]&gt;='Описательные характеристики'!$F$5,"да","нет")</f>
        <v>нет</v>
      </c>
      <c r="N1148" t="str">
        <f>IF(acs2015_county_data[[#This Row],[Unemployment]]&gt;='Описательные характеристики'!$I$5,"да","нет")</f>
        <v>да</v>
      </c>
    </row>
    <row r="1149" spans="1:14" x14ac:dyDescent="0.35">
      <c r="A1149">
        <v>22069</v>
      </c>
      <c r="B1149" t="s">
        <v>766</v>
      </c>
      <c r="C1149" t="s">
        <v>790</v>
      </c>
      <c r="D1149" s="2">
        <v>39330</v>
      </c>
      <c r="E1149" s="2">
        <v>19883</v>
      </c>
      <c r="F1149" s="3">
        <v>2.2000000000000002</v>
      </c>
      <c r="G1149" s="3">
        <v>14446</v>
      </c>
      <c r="H1149" s="3">
        <v>70.599999999999994</v>
      </c>
      <c r="I1149" s="3">
        <v>23.7</v>
      </c>
      <c r="J1149" s="3">
        <v>5.7</v>
      </c>
      <c r="K1149" s="3">
        <v>0</v>
      </c>
      <c r="L1149" s="3">
        <v>12.2</v>
      </c>
      <c r="M1149" t="str">
        <f>IF(acs2015_county_data[[#This Row],[PublicWork]]&gt;='Описательные характеристики'!$F$5,"да","нет")</f>
        <v>да</v>
      </c>
      <c r="N1149" t="str">
        <f>IF(acs2015_county_data[[#This Row],[Unemployment]]&gt;='Описательные характеристики'!$I$5,"да","нет")</f>
        <v>да</v>
      </c>
    </row>
    <row r="1150" spans="1:14" x14ac:dyDescent="0.35">
      <c r="A1150">
        <v>22071</v>
      </c>
      <c r="B1150" t="s">
        <v>766</v>
      </c>
      <c r="C1150" t="s">
        <v>791</v>
      </c>
      <c r="D1150" s="2">
        <v>376738</v>
      </c>
      <c r="E1150" s="2">
        <v>27721</v>
      </c>
      <c r="F1150" s="3">
        <v>3.7</v>
      </c>
      <c r="G1150" s="3">
        <v>170454</v>
      </c>
      <c r="H1150" s="3">
        <v>79.599999999999994</v>
      </c>
      <c r="I1150" s="3">
        <v>13.9</v>
      </c>
      <c r="J1150" s="3">
        <v>6.4</v>
      </c>
      <c r="K1150" s="3">
        <v>0.1</v>
      </c>
      <c r="L1150" s="3">
        <v>10.3</v>
      </c>
      <c r="M1150" t="str">
        <f>IF(acs2015_county_data[[#This Row],[PublicWork]]&gt;='Описательные характеристики'!$F$5,"да","нет")</f>
        <v>нет</v>
      </c>
      <c r="N1150" t="str">
        <f>IF(acs2015_county_data[[#This Row],[Unemployment]]&gt;='Описательные характеристики'!$I$5,"да","нет")</f>
        <v>да</v>
      </c>
    </row>
    <row r="1151" spans="1:14" x14ac:dyDescent="0.35">
      <c r="A1151">
        <v>22073</v>
      </c>
      <c r="B1151" t="s">
        <v>766</v>
      </c>
      <c r="C1151" t="s">
        <v>161</v>
      </c>
      <c r="D1151" s="2">
        <v>155769</v>
      </c>
      <c r="E1151" s="2">
        <v>21770</v>
      </c>
      <c r="F1151" s="3">
        <v>2</v>
      </c>
      <c r="G1151" s="3">
        <v>64578</v>
      </c>
      <c r="H1151" s="3">
        <v>79.8</v>
      </c>
      <c r="I1151" s="3">
        <v>15.7</v>
      </c>
      <c r="J1151" s="3">
        <v>4.4000000000000004</v>
      </c>
      <c r="K1151" s="3">
        <v>0.1</v>
      </c>
      <c r="L1151" s="3">
        <v>8</v>
      </c>
      <c r="M1151" t="str">
        <f>IF(acs2015_county_data[[#This Row],[PublicWork]]&gt;='Описательные характеристики'!$F$5,"да","нет")</f>
        <v>нет</v>
      </c>
      <c r="N1151" t="str">
        <f>IF(acs2015_county_data[[#This Row],[Unemployment]]&gt;='Описательные характеристики'!$I$5,"да","нет")</f>
        <v>да</v>
      </c>
    </row>
    <row r="1152" spans="1:14" x14ac:dyDescent="0.35">
      <c r="A1152">
        <v>22075</v>
      </c>
      <c r="B1152" t="s">
        <v>766</v>
      </c>
      <c r="C1152" t="s">
        <v>792</v>
      </c>
      <c r="D1152" s="2">
        <v>23599</v>
      </c>
      <c r="E1152" s="2">
        <v>24837</v>
      </c>
      <c r="F1152" s="3">
        <v>1.7</v>
      </c>
      <c r="G1152" s="3">
        <v>9777</v>
      </c>
      <c r="H1152" s="3">
        <v>72.2</v>
      </c>
      <c r="I1152" s="3">
        <v>18.7</v>
      </c>
      <c r="J1152" s="3">
        <v>9</v>
      </c>
      <c r="K1152" s="3">
        <v>0.1</v>
      </c>
      <c r="L1152" s="3">
        <v>4.7</v>
      </c>
      <c r="M1152" t="str">
        <f>IF(acs2015_county_data[[#This Row],[PublicWork]]&gt;='Описательные характеристики'!$F$5,"да","нет")</f>
        <v>да</v>
      </c>
      <c r="N1152" t="str">
        <f>IF(acs2015_county_data[[#This Row],[Unemployment]]&gt;='Описательные характеристики'!$I$5,"да","нет")</f>
        <v>нет</v>
      </c>
    </row>
    <row r="1153" spans="1:14" x14ac:dyDescent="0.35">
      <c r="A1153">
        <v>22077</v>
      </c>
      <c r="B1153" t="s">
        <v>766</v>
      </c>
      <c r="C1153" t="s">
        <v>793</v>
      </c>
      <c r="D1153" s="2">
        <v>22498</v>
      </c>
      <c r="E1153" s="2">
        <v>25024</v>
      </c>
      <c r="F1153" s="3">
        <v>2.7</v>
      </c>
      <c r="G1153" s="3">
        <v>9105</v>
      </c>
      <c r="H1153" s="3">
        <v>77.400000000000006</v>
      </c>
      <c r="I1153" s="3">
        <v>16.5</v>
      </c>
      <c r="J1153" s="3">
        <v>5.7</v>
      </c>
      <c r="K1153" s="3">
        <v>0.4</v>
      </c>
      <c r="L1153" s="3">
        <v>8.3000000000000007</v>
      </c>
      <c r="M1153" t="str">
        <f>IF(acs2015_county_data[[#This Row],[PublicWork]]&gt;='Описательные характеристики'!$F$5,"да","нет")</f>
        <v>да</v>
      </c>
      <c r="N1153" t="str">
        <f>IF(acs2015_county_data[[#This Row],[Unemployment]]&gt;='Описательные характеристики'!$I$5,"да","нет")</f>
        <v>да</v>
      </c>
    </row>
    <row r="1154" spans="1:14" x14ac:dyDescent="0.35">
      <c r="A1154">
        <v>22079</v>
      </c>
      <c r="B1154" t="s">
        <v>766</v>
      </c>
      <c r="C1154" t="s">
        <v>794</v>
      </c>
      <c r="D1154" s="2">
        <v>132225</v>
      </c>
      <c r="E1154" s="2">
        <v>21671</v>
      </c>
      <c r="F1154" s="3">
        <v>1.8</v>
      </c>
      <c r="G1154" s="3">
        <v>52620</v>
      </c>
      <c r="H1154" s="3">
        <v>74.400000000000006</v>
      </c>
      <c r="I1154" s="3">
        <v>20.7</v>
      </c>
      <c r="J1154" s="3">
        <v>4.7</v>
      </c>
      <c r="K1154" s="3">
        <v>0.2</v>
      </c>
      <c r="L1154" s="3">
        <v>8.6</v>
      </c>
      <c r="M1154" t="str">
        <f>IF(acs2015_county_data[[#This Row],[PublicWork]]&gt;='Описательные характеристики'!$F$5,"да","нет")</f>
        <v>да</v>
      </c>
      <c r="N1154" t="str">
        <f>IF(acs2015_county_data[[#This Row],[Unemployment]]&gt;='Описательные характеристики'!$I$5,"да","нет")</f>
        <v>да</v>
      </c>
    </row>
    <row r="1155" spans="1:14" x14ac:dyDescent="0.35">
      <c r="A1155">
        <v>22081</v>
      </c>
      <c r="B1155" t="s">
        <v>766</v>
      </c>
      <c r="C1155" t="s">
        <v>795</v>
      </c>
      <c r="D1155" s="2">
        <v>8838</v>
      </c>
      <c r="E1155" s="2">
        <v>23016</v>
      </c>
      <c r="F1155" s="3">
        <v>2.5</v>
      </c>
      <c r="G1155" s="3">
        <v>3241</v>
      </c>
      <c r="H1155" s="3">
        <v>75.3</v>
      </c>
      <c r="I1155" s="3">
        <v>20.5</v>
      </c>
      <c r="J1155" s="3">
        <v>4.2</v>
      </c>
      <c r="K1155" s="3">
        <v>0</v>
      </c>
      <c r="L1155" s="3">
        <v>9.1999999999999993</v>
      </c>
      <c r="M1155" t="str">
        <f>IF(acs2015_county_data[[#This Row],[PublicWork]]&gt;='Описательные характеристики'!$F$5,"да","нет")</f>
        <v>да</v>
      </c>
      <c r="N1155" t="str">
        <f>IF(acs2015_county_data[[#This Row],[Unemployment]]&gt;='Описательные характеристики'!$I$5,"да","нет")</f>
        <v>да</v>
      </c>
    </row>
    <row r="1156" spans="1:14" x14ac:dyDescent="0.35">
      <c r="A1156">
        <v>22083</v>
      </c>
      <c r="B1156" t="s">
        <v>766</v>
      </c>
      <c r="C1156" t="s">
        <v>544</v>
      </c>
      <c r="D1156" s="2">
        <v>20777</v>
      </c>
      <c r="E1156" s="2">
        <v>19699</v>
      </c>
      <c r="F1156" s="3">
        <v>2.2000000000000002</v>
      </c>
      <c r="G1156" s="3">
        <v>8038</v>
      </c>
      <c r="H1156" s="3">
        <v>78.7</v>
      </c>
      <c r="I1156" s="3">
        <v>16</v>
      </c>
      <c r="J1156" s="3">
        <v>5.2</v>
      </c>
      <c r="K1156" s="3">
        <v>0.1</v>
      </c>
      <c r="L1156" s="3">
        <v>9.6</v>
      </c>
      <c r="M1156" t="str">
        <f>IF(acs2015_county_data[[#This Row],[PublicWork]]&gt;='Описательные характеристики'!$F$5,"да","нет")</f>
        <v>нет</v>
      </c>
      <c r="N1156" t="str">
        <f>IF(acs2015_county_data[[#This Row],[Unemployment]]&gt;='Описательные характеристики'!$I$5,"да","нет")</f>
        <v>да</v>
      </c>
    </row>
    <row r="1157" spans="1:14" x14ac:dyDescent="0.35">
      <c r="A1157">
        <v>22085</v>
      </c>
      <c r="B1157" t="s">
        <v>766</v>
      </c>
      <c r="C1157" t="s">
        <v>796</v>
      </c>
      <c r="D1157" s="2">
        <v>24248</v>
      </c>
      <c r="E1157" s="2">
        <v>22605</v>
      </c>
      <c r="F1157" s="3">
        <v>3.1</v>
      </c>
      <c r="G1157" s="3">
        <v>8803</v>
      </c>
      <c r="H1157" s="3">
        <v>79.099999999999994</v>
      </c>
      <c r="I1157" s="3">
        <v>15.2</v>
      </c>
      <c r="J1157" s="3">
        <v>5.5</v>
      </c>
      <c r="K1157" s="3">
        <v>0.2</v>
      </c>
      <c r="L1157" s="3">
        <v>10.6</v>
      </c>
      <c r="M1157" t="str">
        <f>IF(acs2015_county_data[[#This Row],[PublicWork]]&gt;='Описательные характеристики'!$F$5,"да","нет")</f>
        <v>нет</v>
      </c>
      <c r="N1157" t="str">
        <f>IF(acs2015_county_data[[#This Row],[Unemployment]]&gt;='Описательные характеристики'!$I$5,"да","нет")</f>
        <v>да</v>
      </c>
    </row>
    <row r="1158" spans="1:14" x14ac:dyDescent="0.35">
      <c r="A1158">
        <v>22087</v>
      </c>
      <c r="B1158" t="s">
        <v>766</v>
      </c>
      <c r="C1158" t="s">
        <v>797</v>
      </c>
      <c r="D1158" s="2">
        <v>42858</v>
      </c>
      <c r="E1158" s="2">
        <v>20160</v>
      </c>
      <c r="F1158" s="3">
        <v>1.4</v>
      </c>
      <c r="G1158" s="3">
        <v>17494</v>
      </c>
      <c r="H1158" s="3">
        <v>75.7</v>
      </c>
      <c r="I1158" s="3">
        <v>14.4</v>
      </c>
      <c r="J1158" s="3">
        <v>9.9</v>
      </c>
      <c r="K1158" s="3">
        <v>0</v>
      </c>
      <c r="L1158" s="3">
        <v>12.2</v>
      </c>
      <c r="M1158" t="str">
        <f>IF(acs2015_county_data[[#This Row],[PublicWork]]&gt;='Описательные характеристики'!$F$5,"да","нет")</f>
        <v>нет</v>
      </c>
      <c r="N1158" t="str">
        <f>IF(acs2015_county_data[[#This Row],[Unemployment]]&gt;='Описательные характеристики'!$I$5,"да","нет")</f>
        <v>да</v>
      </c>
    </row>
    <row r="1159" spans="1:14" x14ac:dyDescent="0.35">
      <c r="A1159">
        <v>22089</v>
      </c>
      <c r="B1159" t="s">
        <v>766</v>
      </c>
      <c r="C1159" t="s">
        <v>798</v>
      </c>
      <c r="D1159" s="2">
        <v>52639</v>
      </c>
      <c r="E1159" s="2">
        <v>27247</v>
      </c>
      <c r="F1159" s="3">
        <v>2</v>
      </c>
      <c r="G1159" s="3">
        <v>24804</v>
      </c>
      <c r="H1159" s="3">
        <v>79.8</v>
      </c>
      <c r="I1159" s="3">
        <v>14.1</v>
      </c>
      <c r="J1159" s="3">
        <v>6</v>
      </c>
      <c r="K1159" s="3">
        <v>0.1</v>
      </c>
      <c r="L1159" s="3">
        <v>7.7</v>
      </c>
      <c r="M1159" t="str">
        <f>IF(acs2015_county_data[[#This Row],[PublicWork]]&gt;='Описательные характеристики'!$F$5,"да","нет")</f>
        <v>нет</v>
      </c>
      <c r="N1159" t="str">
        <f>IF(acs2015_county_data[[#This Row],[Unemployment]]&gt;='Описательные характеристики'!$I$5,"да","нет")</f>
        <v>да</v>
      </c>
    </row>
    <row r="1160" spans="1:14" x14ac:dyDescent="0.35">
      <c r="A1160">
        <v>22091</v>
      </c>
      <c r="B1160" t="s">
        <v>766</v>
      </c>
      <c r="C1160" t="s">
        <v>799</v>
      </c>
      <c r="D1160" s="2">
        <v>10818</v>
      </c>
      <c r="E1160" s="2">
        <v>18620</v>
      </c>
      <c r="F1160" s="3">
        <v>0.3</v>
      </c>
      <c r="G1160" s="3">
        <v>3619</v>
      </c>
      <c r="H1160" s="3">
        <v>80.7</v>
      </c>
      <c r="I1160" s="3">
        <v>16.100000000000001</v>
      </c>
      <c r="J1160" s="3">
        <v>2.7</v>
      </c>
      <c r="K1160" s="3">
        <v>0.4</v>
      </c>
      <c r="L1160" s="3">
        <v>14.4</v>
      </c>
      <c r="M1160" t="str">
        <f>IF(acs2015_county_data[[#This Row],[PublicWork]]&gt;='Описательные характеристики'!$F$5,"да","нет")</f>
        <v>нет</v>
      </c>
      <c r="N1160" t="str">
        <f>IF(acs2015_county_data[[#This Row],[Unemployment]]&gt;='Описательные характеристики'!$I$5,"да","нет")</f>
        <v>да</v>
      </c>
    </row>
    <row r="1161" spans="1:14" x14ac:dyDescent="0.35">
      <c r="A1161">
        <v>22093</v>
      </c>
      <c r="B1161" t="s">
        <v>766</v>
      </c>
      <c r="C1161" t="s">
        <v>800</v>
      </c>
      <c r="D1161" s="2">
        <v>21650</v>
      </c>
      <c r="E1161" s="2">
        <v>24071</v>
      </c>
      <c r="F1161" s="3">
        <v>1.1000000000000001</v>
      </c>
      <c r="G1161" s="3">
        <v>9035</v>
      </c>
      <c r="H1161" s="3">
        <v>83.8</v>
      </c>
      <c r="I1161" s="3">
        <v>12.8</v>
      </c>
      <c r="J1161" s="3">
        <v>3.4</v>
      </c>
      <c r="K1161" s="3">
        <v>0</v>
      </c>
      <c r="L1161" s="3">
        <v>11</v>
      </c>
      <c r="M1161" t="str">
        <f>IF(acs2015_county_data[[#This Row],[PublicWork]]&gt;='Описательные характеристики'!$F$5,"да","нет")</f>
        <v>нет</v>
      </c>
      <c r="N1161" t="str">
        <f>IF(acs2015_county_data[[#This Row],[Unemployment]]&gt;='Описательные характеристики'!$I$5,"да","нет")</f>
        <v>да</v>
      </c>
    </row>
    <row r="1162" spans="1:14" x14ac:dyDescent="0.35">
      <c r="A1162">
        <v>22095</v>
      </c>
      <c r="B1162" t="s">
        <v>766</v>
      </c>
      <c r="C1162" t="s">
        <v>801</v>
      </c>
      <c r="D1162" s="2">
        <v>44161</v>
      </c>
      <c r="E1162" s="2">
        <v>22660</v>
      </c>
      <c r="F1162" s="3">
        <v>1.1000000000000001</v>
      </c>
      <c r="G1162" s="3">
        <v>19661</v>
      </c>
      <c r="H1162" s="3">
        <v>84.1</v>
      </c>
      <c r="I1162" s="3">
        <v>11.9</v>
      </c>
      <c r="J1162" s="3">
        <v>3.9</v>
      </c>
      <c r="K1162" s="3">
        <v>0.1</v>
      </c>
      <c r="L1162" s="3">
        <v>9.1999999999999993</v>
      </c>
      <c r="M1162" t="str">
        <f>IF(acs2015_county_data[[#This Row],[PublicWork]]&gt;='Описательные характеристики'!$F$5,"да","нет")</f>
        <v>нет</v>
      </c>
      <c r="N1162" t="str">
        <f>IF(acs2015_county_data[[#This Row],[Unemployment]]&gt;='Описательные характеристики'!$I$5,"да","нет")</f>
        <v>да</v>
      </c>
    </row>
    <row r="1163" spans="1:14" x14ac:dyDescent="0.35">
      <c r="A1163">
        <v>22097</v>
      </c>
      <c r="B1163" t="s">
        <v>766</v>
      </c>
      <c r="C1163" t="s">
        <v>802</v>
      </c>
      <c r="D1163" s="2">
        <v>83613</v>
      </c>
      <c r="E1163" s="2">
        <v>19156</v>
      </c>
      <c r="F1163" s="3">
        <v>2.8</v>
      </c>
      <c r="G1163" s="3">
        <v>31154</v>
      </c>
      <c r="H1163" s="3">
        <v>77.7</v>
      </c>
      <c r="I1163" s="3">
        <v>16.2</v>
      </c>
      <c r="J1163" s="3">
        <v>5.9</v>
      </c>
      <c r="K1163" s="3">
        <v>0.1</v>
      </c>
      <c r="L1163" s="3">
        <v>6.1</v>
      </c>
      <c r="M1163" t="str">
        <f>IF(acs2015_county_data[[#This Row],[PublicWork]]&gt;='Описательные характеристики'!$F$5,"да","нет")</f>
        <v>да</v>
      </c>
      <c r="N1163" t="str">
        <f>IF(acs2015_county_data[[#This Row],[Unemployment]]&gt;='Описательные характеристики'!$I$5,"да","нет")</f>
        <v>нет</v>
      </c>
    </row>
    <row r="1164" spans="1:14" x14ac:dyDescent="0.35">
      <c r="A1164">
        <v>22099</v>
      </c>
      <c r="B1164" t="s">
        <v>766</v>
      </c>
      <c r="C1164" t="s">
        <v>803</v>
      </c>
      <c r="D1164" s="2">
        <v>53126</v>
      </c>
      <c r="E1164" s="2">
        <v>22983</v>
      </c>
      <c r="F1164" s="3">
        <v>1.3</v>
      </c>
      <c r="G1164" s="3">
        <v>23921</v>
      </c>
      <c r="H1164" s="3">
        <v>81.7</v>
      </c>
      <c r="I1164" s="3">
        <v>13.7</v>
      </c>
      <c r="J1164" s="3">
        <v>4.4000000000000004</v>
      </c>
      <c r="K1164" s="3">
        <v>0.3</v>
      </c>
      <c r="L1164" s="3">
        <v>7.2</v>
      </c>
      <c r="M1164" t="str">
        <f>IF(acs2015_county_data[[#This Row],[PublicWork]]&gt;='Описательные характеристики'!$F$5,"да","нет")</f>
        <v>нет</v>
      </c>
      <c r="N1164" t="str">
        <f>IF(acs2015_county_data[[#This Row],[Unemployment]]&gt;='Описательные характеристики'!$I$5,"да","нет")</f>
        <v>нет</v>
      </c>
    </row>
    <row r="1165" spans="1:14" x14ac:dyDescent="0.35">
      <c r="A1165">
        <v>22101</v>
      </c>
      <c r="B1165" t="s">
        <v>766</v>
      </c>
      <c r="C1165" t="s">
        <v>804</v>
      </c>
      <c r="D1165" s="2">
        <v>53441</v>
      </c>
      <c r="E1165" s="2">
        <v>21847</v>
      </c>
      <c r="F1165" s="3">
        <v>1.4</v>
      </c>
      <c r="G1165" s="3">
        <v>21161</v>
      </c>
      <c r="H1165" s="3">
        <v>80.400000000000006</v>
      </c>
      <c r="I1165" s="3">
        <v>14.9</v>
      </c>
      <c r="J1165" s="3">
        <v>4.7</v>
      </c>
      <c r="K1165" s="3">
        <v>0</v>
      </c>
      <c r="L1165" s="3">
        <v>12.2</v>
      </c>
      <c r="M1165" t="str">
        <f>IF(acs2015_county_data[[#This Row],[PublicWork]]&gt;='Описательные характеристики'!$F$5,"да","нет")</f>
        <v>нет</v>
      </c>
      <c r="N1165" t="str">
        <f>IF(acs2015_county_data[[#This Row],[Unemployment]]&gt;='Описательные характеристики'!$I$5,"да","нет")</f>
        <v>да</v>
      </c>
    </row>
    <row r="1166" spans="1:14" x14ac:dyDescent="0.35">
      <c r="A1166">
        <v>22103</v>
      </c>
      <c r="B1166" t="s">
        <v>766</v>
      </c>
      <c r="C1166" t="s">
        <v>805</v>
      </c>
      <c r="D1166" s="2">
        <v>242960</v>
      </c>
      <c r="E1166" s="2">
        <v>31022</v>
      </c>
      <c r="F1166" s="3">
        <v>3.3</v>
      </c>
      <c r="G1166" s="3">
        <v>110923</v>
      </c>
      <c r="H1166" s="3">
        <v>78.7</v>
      </c>
      <c r="I1166" s="3">
        <v>14.2</v>
      </c>
      <c r="J1166" s="3">
        <v>6.9</v>
      </c>
      <c r="K1166" s="3">
        <v>0.2</v>
      </c>
      <c r="L1166" s="3">
        <v>7.6</v>
      </c>
      <c r="M1166" t="str">
        <f>IF(acs2015_county_data[[#This Row],[PublicWork]]&gt;='Описательные характеристики'!$F$5,"да","нет")</f>
        <v>нет</v>
      </c>
      <c r="N1166" t="str">
        <f>IF(acs2015_county_data[[#This Row],[Unemployment]]&gt;='Описательные характеристики'!$I$5,"да","нет")</f>
        <v>да</v>
      </c>
    </row>
    <row r="1167" spans="1:14" x14ac:dyDescent="0.35">
      <c r="A1167">
        <v>22105</v>
      </c>
      <c r="B1167" t="s">
        <v>766</v>
      </c>
      <c r="C1167" t="s">
        <v>806</v>
      </c>
      <c r="D1167" s="2">
        <v>125486</v>
      </c>
      <c r="E1167" s="2">
        <v>21671</v>
      </c>
      <c r="F1167" s="3">
        <v>2.9</v>
      </c>
      <c r="G1167" s="3">
        <v>53685</v>
      </c>
      <c r="H1167" s="3">
        <v>78.8</v>
      </c>
      <c r="I1167" s="3">
        <v>16.3</v>
      </c>
      <c r="J1167" s="3">
        <v>4.9000000000000004</v>
      </c>
      <c r="K1167" s="3">
        <v>0</v>
      </c>
      <c r="L1167" s="3">
        <v>10.7</v>
      </c>
      <c r="M1167" t="str">
        <f>IF(acs2015_county_data[[#This Row],[PublicWork]]&gt;='Описательные характеристики'!$F$5,"да","нет")</f>
        <v>да</v>
      </c>
      <c r="N1167" t="str">
        <f>IF(acs2015_county_data[[#This Row],[Unemployment]]&gt;='Описательные характеристики'!$I$5,"да","нет")</f>
        <v>да</v>
      </c>
    </row>
    <row r="1168" spans="1:14" x14ac:dyDescent="0.35">
      <c r="A1168">
        <v>22107</v>
      </c>
      <c r="B1168" t="s">
        <v>766</v>
      </c>
      <c r="C1168" t="s">
        <v>807</v>
      </c>
      <c r="D1168" s="2">
        <v>4893</v>
      </c>
      <c r="E1168" s="2">
        <v>16912</v>
      </c>
      <c r="F1168" s="3">
        <v>1.7</v>
      </c>
      <c r="G1168" s="3">
        <v>1636</v>
      </c>
      <c r="H1168" s="3">
        <v>68.7</v>
      </c>
      <c r="I1168" s="3">
        <v>22.3</v>
      </c>
      <c r="J1168" s="3">
        <v>9</v>
      </c>
      <c r="K1168" s="3">
        <v>0</v>
      </c>
      <c r="L1168" s="3">
        <v>15.6</v>
      </c>
      <c r="M1168" t="str">
        <f>IF(acs2015_county_data[[#This Row],[PublicWork]]&gt;='Описательные характеристики'!$F$5,"да","нет")</f>
        <v>да</v>
      </c>
      <c r="N1168" t="str">
        <f>IF(acs2015_county_data[[#This Row],[Unemployment]]&gt;='Описательные характеристики'!$I$5,"да","нет")</f>
        <v>да</v>
      </c>
    </row>
    <row r="1169" spans="1:14" x14ac:dyDescent="0.35">
      <c r="A1169">
        <v>22109</v>
      </c>
      <c r="B1169" t="s">
        <v>766</v>
      </c>
      <c r="C1169" t="s">
        <v>808</v>
      </c>
      <c r="D1169" s="2">
        <v>112742</v>
      </c>
      <c r="E1169" s="2">
        <v>23626</v>
      </c>
      <c r="F1169" s="3">
        <v>2.4</v>
      </c>
      <c r="G1169" s="3">
        <v>48450</v>
      </c>
      <c r="H1169" s="3">
        <v>82.8</v>
      </c>
      <c r="I1169" s="3">
        <v>11.9</v>
      </c>
      <c r="J1169" s="3">
        <v>5.2</v>
      </c>
      <c r="K1169" s="3">
        <v>0.2</v>
      </c>
      <c r="L1169" s="3">
        <v>5.5</v>
      </c>
      <c r="M1169" t="str">
        <f>IF(acs2015_county_data[[#This Row],[PublicWork]]&gt;='Описательные характеристики'!$F$5,"да","нет")</f>
        <v>нет</v>
      </c>
      <c r="N1169" t="str">
        <f>IF(acs2015_county_data[[#This Row],[Unemployment]]&gt;='Описательные характеристики'!$I$5,"да","нет")</f>
        <v>нет</v>
      </c>
    </row>
    <row r="1170" spans="1:14" x14ac:dyDescent="0.35">
      <c r="A1170">
        <v>22111</v>
      </c>
      <c r="B1170" t="s">
        <v>766</v>
      </c>
      <c r="C1170" t="s">
        <v>175</v>
      </c>
      <c r="D1170" s="2">
        <v>22533</v>
      </c>
      <c r="E1170" s="2">
        <v>19676</v>
      </c>
      <c r="F1170" s="3">
        <v>2.7</v>
      </c>
      <c r="G1170" s="3">
        <v>8096</v>
      </c>
      <c r="H1170" s="3">
        <v>84.3</v>
      </c>
      <c r="I1170" s="3">
        <v>10.7</v>
      </c>
      <c r="J1170" s="3">
        <v>4.9000000000000004</v>
      </c>
      <c r="K1170" s="3">
        <v>0.2</v>
      </c>
      <c r="L1170" s="3">
        <v>7.7</v>
      </c>
      <c r="M1170" t="str">
        <f>IF(acs2015_county_data[[#This Row],[PublicWork]]&gt;='Описательные характеристики'!$F$5,"да","нет")</f>
        <v>нет</v>
      </c>
      <c r="N1170" t="str">
        <f>IF(acs2015_county_data[[#This Row],[Unemployment]]&gt;='Описательные характеристики'!$I$5,"да","нет")</f>
        <v>да</v>
      </c>
    </row>
    <row r="1171" spans="1:14" x14ac:dyDescent="0.35">
      <c r="A1171">
        <v>22113</v>
      </c>
      <c r="B1171" t="s">
        <v>766</v>
      </c>
      <c r="C1171" t="s">
        <v>551</v>
      </c>
      <c r="D1171" s="2">
        <v>59110</v>
      </c>
      <c r="E1171" s="2">
        <v>23261</v>
      </c>
      <c r="F1171" s="3">
        <v>2.5</v>
      </c>
      <c r="G1171" s="3">
        <v>25011</v>
      </c>
      <c r="H1171" s="3">
        <v>80.3</v>
      </c>
      <c r="I1171" s="3">
        <v>12.9</v>
      </c>
      <c r="J1171" s="3">
        <v>6.8</v>
      </c>
      <c r="K1171" s="3">
        <v>0</v>
      </c>
      <c r="L1171" s="3">
        <v>8.5</v>
      </c>
      <c r="M1171" t="str">
        <f>IF(acs2015_county_data[[#This Row],[PublicWork]]&gt;='Описательные характеристики'!$F$5,"да","нет")</f>
        <v>нет</v>
      </c>
      <c r="N1171" t="str">
        <f>IF(acs2015_county_data[[#This Row],[Unemployment]]&gt;='Описательные характеристики'!$I$5,"да","нет")</f>
        <v>да</v>
      </c>
    </row>
    <row r="1172" spans="1:14" x14ac:dyDescent="0.35">
      <c r="A1172">
        <v>22115</v>
      </c>
      <c r="B1172" t="s">
        <v>766</v>
      </c>
      <c r="C1172" t="s">
        <v>809</v>
      </c>
      <c r="D1172" s="2">
        <v>52476</v>
      </c>
      <c r="E1172" s="2">
        <v>21578</v>
      </c>
      <c r="F1172" s="3">
        <v>2.2000000000000002</v>
      </c>
      <c r="G1172" s="3">
        <v>17705</v>
      </c>
      <c r="H1172" s="3">
        <v>62.4</v>
      </c>
      <c r="I1172" s="3">
        <v>32.4</v>
      </c>
      <c r="J1172" s="3">
        <v>4.9000000000000004</v>
      </c>
      <c r="K1172" s="3">
        <v>0.4</v>
      </c>
      <c r="L1172" s="3">
        <v>7.5</v>
      </c>
      <c r="M1172" t="str">
        <f>IF(acs2015_county_data[[#This Row],[PublicWork]]&gt;='Описательные характеристики'!$F$5,"да","нет")</f>
        <v>да</v>
      </c>
      <c r="N1172" t="str">
        <f>IF(acs2015_county_data[[#This Row],[Unemployment]]&gt;='Описательные характеристики'!$I$5,"да","нет")</f>
        <v>нет</v>
      </c>
    </row>
    <row r="1173" spans="1:14" x14ac:dyDescent="0.35">
      <c r="A1173">
        <v>22117</v>
      </c>
      <c r="B1173" t="s">
        <v>766</v>
      </c>
      <c r="C1173" t="s">
        <v>75</v>
      </c>
      <c r="D1173" s="2">
        <v>46556</v>
      </c>
      <c r="E1173" s="2">
        <v>17745</v>
      </c>
      <c r="F1173" s="3">
        <v>2.7</v>
      </c>
      <c r="G1173" s="3">
        <v>15327</v>
      </c>
      <c r="H1173" s="3">
        <v>72.7</v>
      </c>
      <c r="I1173" s="3">
        <v>20.100000000000001</v>
      </c>
      <c r="J1173" s="3">
        <v>6.9</v>
      </c>
      <c r="K1173" s="3">
        <v>0.3</v>
      </c>
      <c r="L1173" s="3">
        <v>15</v>
      </c>
      <c r="M1173" t="str">
        <f>IF(acs2015_county_data[[#This Row],[PublicWork]]&gt;='Описательные характеристики'!$F$5,"да","нет")</f>
        <v>да</v>
      </c>
      <c r="N1173" t="str">
        <f>IF(acs2015_county_data[[#This Row],[Unemployment]]&gt;='Описательные характеристики'!$I$5,"да","нет")</f>
        <v>да</v>
      </c>
    </row>
    <row r="1174" spans="1:14" x14ac:dyDescent="0.35">
      <c r="A1174">
        <v>22119</v>
      </c>
      <c r="B1174" t="s">
        <v>766</v>
      </c>
      <c r="C1174" t="s">
        <v>458</v>
      </c>
      <c r="D1174" s="2">
        <v>40617</v>
      </c>
      <c r="E1174" s="2">
        <v>20248</v>
      </c>
      <c r="F1174" s="3">
        <v>1.2</v>
      </c>
      <c r="G1174" s="3">
        <v>15313</v>
      </c>
      <c r="H1174" s="3">
        <v>79.400000000000006</v>
      </c>
      <c r="I1174" s="3">
        <v>15.5</v>
      </c>
      <c r="J1174" s="3">
        <v>5.0999999999999996</v>
      </c>
      <c r="K1174" s="3">
        <v>0</v>
      </c>
      <c r="L1174" s="3">
        <v>7.6</v>
      </c>
      <c r="M1174" t="str">
        <f>IF(acs2015_county_data[[#This Row],[PublicWork]]&gt;='Описательные характеристики'!$F$5,"да","нет")</f>
        <v>нет</v>
      </c>
      <c r="N1174" t="str">
        <f>IF(acs2015_county_data[[#This Row],[Unemployment]]&gt;='Описательные характеристики'!$I$5,"да","нет")</f>
        <v>да</v>
      </c>
    </row>
    <row r="1175" spans="1:14" x14ac:dyDescent="0.35">
      <c r="A1175">
        <v>22121</v>
      </c>
      <c r="B1175" t="s">
        <v>766</v>
      </c>
      <c r="C1175" t="s">
        <v>810</v>
      </c>
      <c r="D1175" s="2">
        <v>24669</v>
      </c>
      <c r="E1175" s="2">
        <v>26118</v>
      </c>
      <c r="F1175" s="3">
        <v>1.3</v>
      </c>
      <c r="G1175" s="3">
        <v>11757</v>
      </c>
      <c r="H1175" s="3">
        <v>76.5</v>
      </c>
      <c r="I1175" s="3">
        <v>17.899999999999999</v>
      </c>
      <c r="J1175" s="3">
        <v>5.6</v>
      </c>
      <c r="K1175" s="3">
        <v>0</v>
      </c>
      <c r="L1175" s="3">
        <v>6.5</v>
      </c>
      <c r="M1175" t="str">
        <f>IF(acs2015_county_data[[#This Row],[PublicWork]]&gt;='Описательные характеристики'!$F$5,"да","нет")</f>
        <v>да</v>
      </c>
      <c r="N1175" t="str">
        <f>IF(acs2015_county_data[[#This Row],[Unemployment]]&gt;='Описательные характеристики'!$I$5,"да","нет")</f>
        <v>нет</v>
      </c>
    </row>
    <row r="1176" spans="1:14" x14ac:dyDescent="0.35">
      <c r="A1176">
        <v>22123</v>
      </c>
      <c r="B1176" t="s">
        <v>766</v>
      </c>
      <c r="C1176" t="s">
        <v>811</v>
      </c>
      <c r="D1176" s="2">
        <v>11454</v>
      </c>
      <c r="E1176" s="2">
        <v>19353</v>
      </c>
      <c r="F1176" s="3">
        <v>1.3</v>
      </c>
      <c r="G1176" s="3">
        <v>3917</v>
      </c>
      <c r="H1176" s="3">
        <v>74.900000000000006</v>
      </c>
      <c r="I1176" s="3">
        <v>19.5</v>
      </c>
      <c r="J1176" s="3">
        <v>5.2</v>
      </c>
      <c r="K1176" s="3">
        <v>0.4</v>
      </c>
      <c r="L1176" s="3">
        <v>11.9</v>
      </c>
      <c r="M1176" t="str">
        <f>IF(acs2015_county_data[[#This Row],[PublicWork]]&gt;='Описательные характеристики'!$F$5,"да","нет")</f>
        <v>да</v>
      </c>
      <c r="N1176" t="str">
        <f>IF(acs2015_county_data[[#This Row],[Unemployment]]&gt;='Описательные характеристики'!$I$5,"да","нет")</f>
        <v>да</v>
      </c>
    </row>
    <row r="1177" spans="1:14" x14ac:dyDescent="0.35">
      <c r="A1177">
        <v>22125</v>
      </c>
      <c r="B1177" t="s">
        <v>766</v>
      </c>
      <c r="C1177" t="s">
        <v>812</v>
      </c>
      <c r="D1177" s="2">
        <v>15415</v>
      </c>
      <c r="E1177" s="2">
        <v>22122</v>
      </c>
      <c r="F1177" s="3">
        <v>2.6</v>
      </c>
      <c r="G1177" s="3">
        <v>5021</v>
      </c>
      <c r="H1177" s="3">
        <v>60.1</v>
      </c>
      <c r="I1177" s="3">
        <v>33.799999999999997</v>
      </c>
      <c r="J1177" s="3">
        <v>5.9</v>
      </c>
      <c r="K1177" s="3">
        <v>0.2</v>
      </c>
      <c r="L1177" s="3">
        <v>8.5</v>
      </c>
      <c r="M1177" t="str">
        <f>IF(acs2015_county_data[[#This Row],[PublicWork]]&gt;='Описательные характеристики'!$F$5,"да","нет")</f>
        <v>да</v>
      </c>
      <c r="N1177" t="str">
        <f>IF(acs2015_county_data[[#This Row],[Unemployment]]&gt;='Описательные характеристики'!$I$5,"да","нет")</f>
        <v>да</v>
      </c>
    </row>
    <row r="1178" spans="1:14" x14ac:dyDescent="0.35">
      <c r="A1178">
        <v>22127</v>
      </c>
      <c r="B1178" t="s">
        <v>766</v>
      </c>
      <c r="C1178" t="s">
        <v>813</v>
      </c>
      <c r="D1178" s="2">
        <v>14855</v>
      </c>
      <c r="E1178" s="2">
        <v>17877</v>
      </c>
      <c r="F1178" s="3">
        <v>1.1000000000000001</v>
      </c>
      <c r="G1178" s="3">
        <v>4920</v>
      </c>
      <c r="H1178" s="3">
        <v>71.099999999999994</v>
      </c>
      <c r="I1178" s="3">
        <v>21.6</v>
      </c>
      <c r="J1178" s="3">
        <v>7.2</v>
      </c>
      <c r="K1178" s="3">
        <v>0.2</v>
      </c>
      <c r="L1178" s="3">
        <v>6.3</v>
      </c>
      <c r="M1178" t="str">
        <f>IF(acs2015_county_data[[#This Row],[PublicWork]]&gt;='Описательные характеристики'!$F$5,"да","нет")</f>
        <v>да</v>
      </c>
      <c r="N1178" t="str">
        <f>IF(acs2015_county_data[[#This Row],[Unemployment]]&gt;='Описательные характеристики'!$I$5,"да","нет")</f>
        <v>нет</v>
      </c>
    </row>
    <row r="1179" spans="1:14" x14ac:dyDescent="0.35">
      <c r="A1179">
        <v>23001</v>
      </c>
      <c r="B1179" t="s">
        <v>814</v>
      </c>
      <c r="C1179" t="s">
        <v>815</v>
      </c>
      <c r="D1179" s="2">
        <v>107393</v>
      </c>
      <c r="E1179" s="2">
        <v>25011</v>
      </c>
      <c r="F1179" s="3">
        <v>3.4</v>
      </c>
      <c r="G1179" s="3">
        <v>52961</v>
      </c>
      <c r="H1179" s="3">
        <v>81.900000000000006</v>
      </c>
      <c r="I1179" s="3">
        <v>12.2</v>
      </c>
      <c r="J1179" s="3">
        <v>5.7</v>
      </c>
      <c r="K1179" s="3">
        <v>0.2</v>
      </c>
      <c r="L1179" s="3">
        <v>7.2</v>
      </c>
      <c r="M1179" t="str">
        <f>IF(acs2015_county_data[[#This Row],[PublicWork]]&gt;='Описательные характеристики'!$F$5,"да","нет")</f>
        <v>нет</v>
      </c>
      <c r="N1179" t="str">
        <f>IF(acs2015_county_data[[#This Row],[Unemployment]]&gt;='Описательные характеристики'!$I$5,"да","нет")</f>
        <v>нет</v>
      </c>
    </row>
    <row r="1180" spans="1:14" x14ac:dyDescent="0.35">
      <c r="A1180">
        <v>23003</v>
      </c>
      <c r="B1180" t="s">
        <v>814</v>
      </c>
      <c r="C1180" t="s">
        <v>816</v>
      </c>
      <c r="D1180" s="2">
        <v>70005</v>
      </c>
      <c r="E1180" s="2">
        <v>21763</v>
      </c>
      <c r="F1180" s="3">
        <v>4.4000000000000004</v>
      </c>
      <c r="G1180" s="3">
        <v>30612</v>
      </c>
      <c r="H1180" s="3">
        <v>73.7</v>
      </c>
      <c r="I1180" s="3">
        <v>17.2</v>
      </c>
      <c r="J1180" s="3">
        <v>9</v>
      </c>
      <c r="K1180" s="3">
        <v>0.1</v>
      </c>
      <c r="L1180" s="3">
        <v>7.5</v>
      </c>
      <c r="M1180" t="str">
        <f>IF(acs2015_county_data[[#This Row],[PublicWork]]&gt;='Описательные характеристики'!$F$5,"да","нет")</f>
        <v>да</v>
      </c>
      <c r="N1180" t="str">
        <f>IF(acs2015_county_data[[#This Row],[Unemployment]]&gt;='Описательные характеристики'!$I$5,"да","нет")</f>
        <v>нет</v>
      </c>
    </row>
    <row r="1181" spans="1:14" x14ac:dyDescent="0.35">
      <c r="A1181">
        <v>23005</v>
      </c>
      <c r="B1181" t="s">
        <v>814</v>
      </c>
      <c r="C1181" t="s">
        <v>513</v>
      </c>
      <c r="D1181" s="2">
        <v>286119</v>
      </c>
      <c r="E1181" s="2">
        <v>34081</v>
      </c>
      <c r="F1181" s="3">
        <v>6</v>
      </c>
      <c r="G1181" s="3">
        <v>152196</v>
      </c>
      <c r="H1181" s="3">
        <v>81</v>
      </c>
      <c r="I1181" s="3">
        <v>11.1</v>
      </c>
      <c r="J1181" s="3">
        <v>7.9</v>
      </c>
      <c r="K1181" s="3">
        <v>0.1</v>
      </c>
      <c r="L1181" s="3">
        <v>5.4</v>
      </c>
      <c r="M1181" t="str">
        <f>IF(acs2015_county_data[[#This Row],[PublicWork]]&gt;='Описательные характеристики'!$F$5,"да","нет")</f>
        <v>нет</v>
      </c>
      <c r="N1181" t="str">
        <f>IF(acs2015_county_data[[#This Row],[Unemployment]]&gt;='Описательные характеристики'!$I$5,"да","нет")</f>
        <v>нет</v>
      </c>
    </row>
    <row r="1182" spans="1:14" x14ac:dyDescent="0.35">
      <c r="A1182">
        <v>23007</v>
      </c>
      <c r="B1182" t="s">
        <v>814</v>
      </c>
      <c r="C1182" t="s">
        <v>43</v>
      </c>
      <c r="D1182" s="2">
        <v>30402</v>
      </c>
      <c r="E1182" s="2">
        <v>22980</v>
      </c>
      <c r="F1182" s="3">
        <v>5.6</v>
      </c>
      <c r="G1182" s="3">
        <v>14386</v>
      </c>
      <c r="H1182" s="3">
        <v>74.7</v>
      </c>
      <c r="I1182" s="3">
        <v>14.9</v>
      </c>
      <c r="J1182" s="3">
        <v>10.3</v>
      </c>
      <c r="K1182" s="3">
        <v>0.1</v>
      </c>
      <c r="L1182" s="3">
        <v>7.7</v>
      </c>
      <c r="M1182" t="str">
        <f>IF(acs2015_county_data[[#This Row],[PublicWork]]&gt;='Описательные характеристики'!$F$5,"да","нет")</f>
        <v>нет</v>
      </c>
      <c r="N1182" t="str">
        <f>IF(acs2015_county_data[[#This Row],[Unemployment]]&gt;='Описательные характеристики'!$I$5,"да","нет")</f>
        <v>да</v>
      </c>
    </row>
    <row r="1183" spans="1:14" x14ac:dyDescent="0.35">
      <c r="A1183">
        <v>23009</v>
      </c>
      <c r="B1183" t="s">
        <v>814</v>
      </c>
      <c r="C1183" t="s">
        <v>406</v>
      </c>
      <c r="D1183" s="2">
        <v>54658</v>
      </c>
      <c r="E1183" s="2">
        <v>28432</v>
      </c>
      <c r="F1183" s="3">
        <v>7.9</v>
      </c>
      <c r="G1183" s="3">
        <v>26665</v>
      </c>
      <c r="H1183" s="3">
        <v>70.5</v>
      </c>
      <c r="I1183" s="3">
        <v>13.6</v>
      </c>
      <c r="J1183" s="3">
        <v>15.8</v>
      </c>
      <c r="K1183" s="3">
        <v>0.1</v>
      </c>
      <c r="L1183" s="3">
        <v>7.7</v>
      </c>
      <c r="M1183" t="str">
        <f>IF(acs2015_county_data[[#This Row],[PublicWork]]&gt;='Описательные характеристики'!$F$5,"да","нет")</f>
        <v>нет</v>
      </c>
      <c r="N1183" t="str">
        <f>IF(acs2015_county_data[[#This Row],[Unemployment]]&gt;='Описательные характеристики'!$I$5,"да","нет")</f>
        <v>да</v>
      </c>
    </row>
    <row r="1184" spans="1:14" x14ac:dyDescent="0.35">
      <c r="A1184">
        <v>23011</v>
      </c>
      <c r="B1184" t="s">
        <v>814</v>
      </c>
      <c r="C1184" t="s">
        <v>817</v>
      </c>
      <c r="D1184" s="2">
        <v>121112</v>
      </c>
      <c r="E1184" s="2">
        <v>25957</v>
      </c>
      <c r="F1184" s="3">
        <v>4.2</v>
      </c>
      <c r="G1184" s="3">
        <v>57787</v>
      </c>
      <c r="H1184" s="3">
        <v>71.900000000000006</v>
      </c>
      <c r="I1184" s="3">
        <v>20.100000000000001</v>
      </c>
      <c r="J1184" s="3">
        <v>7.8</v>
      </c>
      <c r="K1184" s="3">
        <v>0.2</v>
      </c>
      <c r="L1184" s="3">
        <v>7.7</v>
      </c>
      <c r="M1184" t="str">
        <f>IF(acs2015_county_data[[#This Row],[PublicWork]]&gt;='Описательные характеристики'!$F$5,"да","нет")</f>
        <v>да</v>
      </c>
      <c r="N1184" t="str">
        <f>IF(acs2015_county_data[[#This Row],[Unemployment]]&gt;='Описательные характеристики'!$I$5,"да","нет")</f>
        <v>да</v>
      </c>
    </row>
    <row r="1185" spans="1:14" x14ac:dyDescent="0.35">
      <c r="A1185">
        <v>23013</v>
      </c>
      <c r="B1185" t="s">
        <v>814</v>
      </c>
      <c r="C1185" t="s">
        <v>529</v>
      </c>
      <c r="D1185" s="2">
        <v>39723</v>
      </c>
      <c r="E1185" s="2">
        <v>28144</v>
      </c>
      <c r="F1185" s="3">
        <v>6.4</v>
      </c>
      <c r="G1185" s="3">
        <v>19270</v>
      </c>
      <c r="H1185" s="3">
        <v>73.2</v>
      </c>
      <c r="I1185" s="3">
        <v>12.4</v>
      </c>
      <c r="J1185" s="3">
        <v>14.3</v>
      </c>
      <c r="K1185" s="3">
        <v>0.1</v>
      </c>
      <c r="L1185" s="3">
        <v>5.7</v>
      </c>
      <c r="M1185" t="str">
        <f>IF(acs2015_county_data[[#This Row],[PublicWork]]&gt;='Описательные характеристики'!$F$5,"да","нет")</f>
        <v>нет</v>
      </c>
      <c r="N1185" t="str">
        <f>IF(acs2015_county_data[[#This Row],[Unemployment]]&gt;='Описательные характеристики'!$I$5,"да","нет")</f>
        <v>нет</v>
      </c>
    </row>
    <row r="1186" spans="1:14" x14ac:dyDescent="0.35">
      <c r="A1186">
        <v>23015</v>
      </c>
      <c r="B1186" t="s">
        <v>814</v>
      </c>
      <c r="C1186" t="s">
        <v>152</v>
      </c>
      <c r="D1186" s="2">
        <v>34156</v>
      </c>
      <c r="E1186" s="2">
        <v>29078</v>
      </c>
      <c r="F1186" s="3">
        <v>6.1</v>
      </c>
      <c r="G1186" s="3">
        <v>16480</v>
      </c>
      <c r="H1186" s="3">
        <v>73.2</v>
      </c>
      <c r="I1186" s="3">
        <v>13.7</v>
      </c>
      <c r="J1186" s="3">
        <v>12.9</v>
      </c>
      <c r="K1186" s="3">
        <v>0.1</v>
      </c>
      <c r="L1186" s="3">
        <v>4.2</v>
      </c>
      <c r="M1186" t="str">
        <f>IF(acs2015_county_data[[#This Row],[PublicWork]]&gt;='Описательные характеристики'!$F$5,"да","нет")</f>
        <v>нет</v>
      </c>
      <c r="N1186" t="str">
        <f>IF(acs2015_county_data[[#This Row],[Unemployment]]&gt;='Описательные характеристики'!$I$5,"да","нет")</f>
        <v>нет</v>
      </c>
    </row>
    <row r="1187" spans="1:14" x14ac:dyDescent="0.35">
      <c r="A1187">
        <v>23017</v>
      </c>
      <c r="B1187" t="s">
        <v>814</v>
      </c>
      <c r="C1187" t="s">
        <v>818</v>
      </c>
      <c r="D1187" s="2">
        <v>57421</v>
      </c>
      <c r="E1187" s="2">
        <v>21280</v>
      </c>
      <c r="F1187" s="3">
        <v>5.8</v>
      </c>
      <c r="G1187" s="3">
        <v>25041</v>
      </c>
      <c r="H1187" s="3">
        <v>76.7</v>
      </c>
      <c r="I1187" s="3">
        <v>12.8</v>
      </c>
      <c r="J1187" s="3">
        <v>10.199999999999999</v>
      </c>
      <c r="K1187" s="3">
        <v>0.4</v>
      </c>
      <c r="L1187" s="3">
        <v>9.1999999999999993</v>
      </c>
      <c r="M1187" t="str">
        <f>IF(acs2015_county_data[[#This Row],[PublicWork]]&gt;='Описательные характеристики'!$F$5,"да","нет")</f>
        <v>нет</v>
      </c>
      <c r="N1187" t="str">
        <f>IF(acs2015_county_data[[#This Row],[Unemployment]]&gt;='Описательные характеристики'!$I$5,"да","нет")</f>
        <v>да</v>
      </c>
    </row>
    <row r="1188" spans="1:14" x14ac:dyDescent="0.35">
      <c r="A1188">
        <v>23019</v>
      </c>
      <c r="B1188" t="s">
        <v>814</v>
      </c>
      <c r="C1188" t="s">
        <v>819</v>
      </c>
      <c r="D1188" s="2">
        <v>153437</v>
      </c>
      <c r="E1188" s="2">
        <v>24149</v>
      </c>
      <c r="F1188" s="3">
        <v>4.0999999999999996</v>
      </c>
      <c r="G1188" s="3">
        <v>71852</v>
      </c>
      <c r="H1188" s="3">
        <v>77.900000000000006</v>
      </c>
      <c r="I1188" s="3">
        <v>15.9</v>
      </c>
      <c r="J1188" s="3">
        <v>6.2</v>
      </c>
      <c r="K1188" s="3">
        <v>0.1</v>
      </c>
      <c r="L1188" s="3">
        <v>7.8</v>
      </c>
      <c r="M1188" t="str">
        <f>IF(acs2015_county_data[[#This Row],[PublicWork]]&gt;='Описательные характеристики'!$F$5,"да","нет")</f>
        <v>нет</v>
      </c>
      <c r="N1188" t="str">
        <f>IF(acs2015_county_data[[#This Row],[Unemployment]]&gt;='Описательные характеристики'!$I$5,"да","нет")</f>
        <v>да</v>
      </c>
    </row>
    <row r="1189" spans="1:14" x14ac:dyDescent="0.35">
      <c r="A1189">
        <v>23021</v>
      </c>
      <c r="B1189" t="s">
        <v>814</v>
      </c>
      <c r="C1189" t="s">
        <v>820</v>
      </c>
      <c r="D1189" s="2">
        <v>17156</v>
      </c>
      <c r="E1189" s="2">
        <v>22856</v>
      </c>
      <c r="F1189" s="3">
        <v>6.3</v>
      </c>
      <c r="G1189" s="3">
        <v>6632</v>
      </c>
      <c r="H1189" s="3">
        <v>74.099999999999994</v>
      </c>
      <c r="I1189" s="3">
        <v>14.4</v>
      </c>
      <c r="J1189" s="3">
        <v>11.3</v>
      </c>
      <c r="K1189" s="3">
        <v>0.1</v>
      </c>
      <c r="L1189" s="3">
        <v>10.5</v>
      </c>
      <c r="M1189" t="str">
        <f>IF(acs2015_county_data[[#This Row],[PublicWork]]&gt;='Описательные характеристики'!$F$5,"да","нет")</f>
        <v>нет</v>
      </c>
      <c r="N1189" t="str">
        <f>IF(acs2015_county_data[[#This Row],[Unemployment]]&gt;='Описательные характеристики'!$I$5,"да","нет")</f>
        <v>да</v>
      </c>
    </row>
    <row r="1190" spans="1:14" x14ac:dyDescent="0.35">
      <c r="A1190">
        <v>23023</v>
      </c>
      <c r="B1190" t="s">
        <v>814</v>
      </c>
      <c r="C1190" t="s">
        <v>821</v>
      </c>
      <c r="D1190" s="2">
        <v>35092</v>
      </c>
      <c r="E1190" s="2">
        <v>30062</v>
      </c>
      <c r="F1190" s="3">
        <v>5.2</v>
      </c>
      <c r="G1190" s="3">
        <v>17689</v>
      </c>
      <c r="H1190" s="3">
        <v>76.5</v>
      </c>
      <c r="I1190" s="3">
        <v>14.4</v>
      </c>
      <c r="J1190" s="3">
        <v>9.1</v>
      </c>
      <c r="K1190" s="3">
        <v>0</v>
      </c>
      <c r="L1190" s="3">
        <v>5.7</v>
      </c>
      <c r="M1190" t="str">
        <f>IF(acs2015_county_data[[#This Row],[PublicWork]]&gt;='Описательные характеристики'!$F$5,"да","нет")</f>
        <v>нет</v>
      </c>
      <c r="N1190" t="str">
        <f>IF(acs2015_county_data[[#This Row],[Unemployment]]&gt;='Описательные характеристики'!$I$5,"да","нет")</f>
        <v>нет</v>
      </c>
    </row>
    <row r="1191" spans="1:14" x14ac:dyDescent="0.35">
      <c r="A1191">
        <v>23025</v>
      </c>
      <c r="B1191" t="s">
        <v>814</v>
      </c>
      <c r="C1191" t="s">
        <v>822</v>
      </c>
      <c r="D1191" s="2">
        <v>51577</v>
      </c>
      <c r="E1191" s="2">
        <v>21729</v>
      </c>
      <c r="F1191" s="3">
        <v>4</v>
      </c>
      <c r="G1191" s="3">
        <v>22275</v>
      </c>
      <c r="H1191" s="3">
        <v>78.599999999999994</v>
      </c>
      <c r="I1191" s="3">
        <v>12.7</v>
      </c>
      <c r="J1191" s="3">
        <v>8.6</v>
      </c>
      <c r="K1191" s="3">
        <v>0.1</v>
      </c>
      <c r="L1191" s="3">
        <v>9.5</v>
      </c>
      <c r="M1191" t="str">
        <f>IF(acs2015_county_data[[#This Row],[PublicWork]]&gt;='Описательные характеристики'!$F$5,"да","нет")</f>
        <v>нет</v>
      </c>
      <c r="N1191" t="str">
        <f>IF(acs2015_county_data[[#This Row],[Unemployment]]&gt;='Описательные характеристики'!$I$5,"да","нет")</f>
        <v>да</v>
      </c>
    </row>
    <row r="1192" spans="1:14" x14ac:dyDescent="0.35">
      <c r="A1192">
        <v>23027</v>
      </c>
      <c r="B1192" t="s">
        <v>814</v>
      </c>
      <c r="C1192" t="s">
        <v>823</v>
      </c>
      <c r="D1192" s="2">
        <v>38976</v>
      </c>
      <c r="E1192" s="2">
        <v>24473</v>
      </c>
      <c r="F1192" s="3">
        <v>8.5</v>
      </c>
      <c r="G1192" s="3">
        <v>18381</v>
      </c>
      <c r="H1192" s="3">
        <v>71.900000000000006</v>
      </c>
      <c r="I1192" s="3">
        <v>14.3</v>
      </c>
      <c r="J1192" s="3">
        <v>13.5</v>
      </c>
      <c r="K1192" s="3">
        <v>0.3</v>
      </c>
      <c r="L1192" s="3">
        <v>7.5</v>
      </c>
      <c r="M1192" t="str">
        <f>IF(acs2015_county_data[[#This Row],[PublicWork]]&gt;='Описательные характеристики'!$F$5,"да","нет")</f>
        <v>нет</v>
      </c>
      <c r="N1192" t="str">
        <f>IF(acs2015_county_data[[#This Row],[Unemployment]]&gt;='Описательные характеристики'!$I$5,"да","нет")</f>
        <v>нет</v>
      </c>
    </row>
    <row r="1193" spans="1:14" x14ac:dyDescent="0.35">
      <c r="A1193">
        <v>23029</v>
      </c>
      <c r="B1193" t="s">
        <v>814</v>
      </c>
      <c r="C1193" t="s">
        <v>75</v>
      </c>
      <c r="D1193" s="2">
        <v>32191</v>
      </c>
      <c r="E1193" s="2">
        <v>21977</v>
      </c>
      <c r="F1193" s="3">
        <v>7</v>
      </c>
      <c r="G1193" s="3">
        <v>12954</v>
      </c>
      <c r="H1193" s="3">
        <v>64</v>
      </c>
      <c r="I1193" s="3">
        <v>19.8</v>
      </c>
      <c r="J1193" s="3">
        <v>16.100000000000001</v>
      </c>
      <c r="K1193" s="3">
        <v>0.2</v>
      </c>
      <c r="L1193" s="3">
        <v>9.8000000000000007</v>
      </c>
      <c r="M1193" t="str">
        <f>IF(acs2015_county_data[[#This Row],[PublicWork]]&gt;='Описательные характеристики'!$F$5,"да","нет")</f>
        <v>да</v>
      </c>
      <c r="N1193" t="str">
        <f>IF(acs2015_county_data[[#This Row],[Unemployment]]&gt;='Описательные характеристики'!$I$5,"да","нет")</f>
        <v>да</v>
      </c>
    </row>
    <row r="1194" spans="1:14" x14ac:dyDescent="0.35">
      <c r="A1194">
        <v>23031</v>
      </c>
      <c r="B1194" t="s">
        <v>814</v>
      </c>
      <c r="C1194" t="s">
        <v>824</v>
      </c>
      <c r="D1194" s="2">
        <v>199682</v>
      </c>
      <c r="E1194" s="2">
        <v>30705</v>
      </c>
      <c r="F1194" s="3">
        <v>6.1</v>
      </c>
      <c r="G1194" s="3">
        <v>103506</v>
      </c>
      <c r="H1194" s="3">
        <v>78.099999999999994</v>
      </c>
      <c r="I1194" s="3">
        <v>14</v>
      </c>
      <c r="J1194" s="3">
        <v>7.7</v>
      </c>
      <c r="K1194" s="3">
        <v>0.2</v>
      </c>
      <c r="L1194" s="3">
        <v>5.9</v>
      </c>
      <c r="M1194" t="str">
        <f>IF(acs2015_county_data[[#This Row],[PublicWork]]&gt;='Описательные характеристики'!$F$5,"да","нет")</f>
        <v>нет</v>
      </c>
      <c r="N1194" t="str">
        <f>IF(acs2015_county_data[[#This Row],[Unemployment]]&gt;='Описательные характеристики'!$I$5,"да","нет")</f>
        <v>нет</v>
      </c>
    </row>
    <row r="1195" spans="1:14" x14ac:dyDescent="0.35">
      <c r="A1195">
        <v>24001</v>
      </c>
      <c r="B1195" t="s">
        <v>825</v>
      </c>
      <c r="C1195" t="s">
        <v>826</v>
      </c>
      <c r="D1195" s="2">
        <v>73549</v>
      </c>
      <c r="E1195" s="2">
        <v>21674</v>
      </c>
      <c r="F1195" s="3">
        <v>1.9</v>
      </c>
      <c r="G1195" s="3">
        <v>29810</v>
      </c>
      <c r="H1195" s="3">
        <v>72.599999999999994</v>
      </c>
      <c r="I1195" s="3">
        <v>22.4</v>
      </c>
      <c r="J1195" s="3">
        <v>4.7</v>
      </c>
      <c r="K1195" s="3">
        <v>0.2</v>
      </c>
      <c r="L1195" s="3">
        <v>10</v>
      </c>
      <c r="M1195" t="str">
        <f>IF(acs2015_county_data[[#This Row],[PublicWork]]&gt;='Описательные характеристики'!$F$5,"да","нет")</f>
        <v>да</v>
      </c>
      <c r="N1195" t="str">
        <f>IF(acs2015_county_data[[#This Row],[Unemployment]]&gt;='Описательные характеристики'!$I$5,"да","нет")</f>
        <v>да</v>
      </c>
    </row>
    <row r="1196" spans="1:14" x14ac:dyDescent="0.35">
      <c r="A1196">
        <v>24003</v>
      </c>
      <c r="B1196" t="s">
        <v>825</v>
      </c>
      <c r="C1196" t="s">
        <v>827</v>
      </c>
      <c r="D1196" s="2">
        <v>555280</v>
      </c>
      <c r="E1196" s="2">
        <v>41706</v>
      </c>
      <c r="F1196" s="3">
        <v>4.8</v>
      </c>
      <c r="G1196" s="3">
        <v>284092</v>
      </c>
      <c r="H1196" s="3">
        <v>71.599999999999994</v>
      </c>
      <c r="I1196" s="3">
        <v>24</v>
      </c>
      <c r="J1196" s="3">
        <v>4.3</v>
      </c>
      <c r="K1196" s="3">
        <v>0.2</v>
      </c>
      <c r="L1196" s="3">
        <v>5.9</v>
      </c>
      <c r="M1196" t="str">
        <f>IF(acs2015_county_data[[#This Row],[PublicWork]]&gt;='Описательные характеристики'!$F$5,"да","нет")</f>
        <v>да</v>
      </c>
      <c r="N1196" t="str">
        <f>IF(acs2015_county_data[[#This Row],[Unemployment]]&gt;='Описательные характеристики'!$I$5,"да","нет")</f>
        <v>нет</v>
      </c>
    </row>
    <row r="1197" spans="1:14" x14ac:dyDescent="0.35">
      <c r="A1197">
        <v>24005</v>
      </c>
      <c r="B1197" t="s">
        <v>825</v>
      </c>
      <c r="C1197" t="s">
        <v>828</v>
      </c>
      <c r="D1197" s="2">
        <v>822959</v>
      </c>
      <c r="E1197" s="2">
        <v>35011</v>
      </c>
      <c r="F1197" s="3">
        <v>3.7</v>
      </c>
      <c r="G1197" s="3">
        <v>412199</v>
      </c>
      <c r="H1197" s="3">
        <v>77</v>
      </c>
      <c r="I1197" s="3">
        <v>18.3</v>
      </c>
      <c r="J1197" s="3">
        <v>4.5999999999999996</v>
      </c>
      <c r="K1197" s="3">
        <v>0.1</v>
      </c>
      <c r="L1197" s="3">
        <v>6.9</v>
      </c>
      <c r="M1197" t="str">
        <f>IF(acs2015_county_data[[#This Row],[PublicWork]]&gt;='Описательные характеристики'!$F$5,"да","нет")</f>
        <v>да</v>
      </c>
      <c r="N1197" t="str">
        <f>IF(acs2015_county_data[[#This Row],[Unemployment]]&gt;='Описательные характеристики'!$I$5,"да","нет")</f>
        <v>нет</v>
      </c>
    </row>
    <row r="1198" spans="1:14" x14ac:dyDescent="0.35">
      <c r="A1198">
        <v>24009</v>
      </c>
      <c r="B1198" t="s">
        <v>825</v>
      </c>
      <c r="C1198" t="s">
        <v>829</v>
      </c>
      <c r="D1198" s="2">
        <v>90114</v>
      </c>
      <c r="E1198" s="2">
        <v>39011</v>
      </c>
      <c r="F1198" s="3">
        <v>4.3</v>
      </c>
      <c r="G1198" s="3">
        <v>45249</v>
      </c>
      <c r="H1198" s="3">
        <v>68.400000000000006</v>
      </c>
      <c r="I1198" s="3">
        <v>27.5</v>
      </c>
      <c r="J1198" s="3">
        <v>4</v>
      </c>
      <c r="K1198" s="3">
        <v>0.1</v>
      </c>
      <c r="L1198" s="3">
        <v>7.6</v>
      </c>
      <c r="M1198" t="str">
        <f>IF(acs2015_county_data[[#This Row],[PublicWork]]&gt;='Описательные характеристики'!$F$5,"да","нет")</f>
        <v>да</v>
      </c>
      <c r="N1198" t="str">
        <f>IF(acs2015_county_data[[#This Row],[Unemployment]]&gt;='Описательные характеристики'!$I$5,"да","нет")</f>
        <v>да</v>
      </c>
    </row>
    <row r="1199" spans="1:14" x14ac:dyDescent="0.35">
      <c r="A1199">
        <v>24011</v>
      </c>
      <c r="B1199" t="s">
        <v>825</v>
      </c>
      <c r="C1199" t="s">
        <v>830</v>
      </c>
      <c r="D1199" s="2">
        <v>32661</v>
      </c>
      <c r="E1199" s="2">
        <v>24943</v>
      </c>
      <c r="F1199" s="3">
        <v>4.0999999999999996</v>
      </c>
      <c r="G1199" s="3">
        <v>15306</v>
      </c>
      <c r="H1199" s="3">
        <v>74.8</v>
      </c>
      <c r="I1199" s="3">
        <v>16.399999999999999</v>
      </c>
      <c r="J1199" s="3">
        <v>8.6999999999999993</v>
      </c>
      <c r="K1199" s="3">
        <v>0.2</v>
      </c>
      <c r="L1199" s="3">
        <v>8.8000000000000007</v>
      </c>
      <c r="M1199" t="str">
        <f>IF(acs2015_county_data[[#This Row],[PublicWork]]&gt;='Описательные характеристики'!$F$5,"да","нет")</f>
        <v>да</v>
      </c>
      <c r="N1199" t="str">
        <f>IF(acs2015_county_data[[#This Row],[Unemployment]]&gt;='Описательные характеристики'!$I$5,"да","нет")</f>
        <v>да</v>
      </c>
    </row>
    <row r="1200" spans="1:14" x14ac:dyDescent="0.35">
      <c r="A1200">
        <v>24013</v>
      </c>
      <c r="B1200" t="s">
        <v>825</v>
      </c>
      <c r="C1200" t="s">
        <v>129</v>
      </c>
      <c r="D1200" s="2">
        <v>167444</v>
      </c>
      <c r="E1200" s="2">
        <v>36936</v>
      </c>
      <c r="F1200" s="3">
        <v>4.5</v>
      </c>
      <c r="G1200" s="3">
        <v>88196</v>
      </c>
      <c r="H1200" s="3">
        <v>76.3</v>
      </c>
      <c r="I1200" s="3">
        <v>18.2</v>
      </c>
      <c r="J1200" s="3">
        <v>5.4</v>
      </c>
      <c r="K1200" s="3">
        <v>0</v>
      </c>
      <c r="L1200" s="3">
        <v>4.5999999999999996</v>
      </c>
      <c r="M1200" t="str">
        <f>IF(acs2015_county_data[[#This Row],[PublicWork]]&gt;='Описательные характеристики'!$F$5,"да","нет")</f>
        <v>да</v>
      </c>
      <c r="N1200" t="str">
        <f>IF(acs2015_county_data[[#This Row],[Unemployment]]&gt;='Описательные характеристики'!$I$5,"да","нет")</f>
        <v>нет</v>
      </c>
    </row>
    <row r="1201" spans="1:14" x14ac:dyDescent="0.35">
      <c r="A1201">
        <v>24015</v>
      </c>
      <c r="B1201" t="s">
        <v>825</v>
      </c>
      <c r="C1201" t="s">
        <v>831</v>
      </c>
      <c r="D1201" s="2">
        <v>101960</v>
      </c>
      <c r="E1201" s="2">
        <v>29538</v>
      </c>
      <c r="F1201" s="3">
        <v>4.7</v>
      </c>
      <c r="G1201" s="3">
        <v>48849</v>
      </c>
      <c r="H1201" s="3">
        <v>77.5</v>
      </c>
      <c r="I1201" s="3">
        <v>17.899999999999999</v>
      </c>
      <c r="J1201" s="3">
        <v>4.5999999999999996</v>
      </c>
      <c r="K1201" s="3">
        <v>0</v>
      </c>
      <c r="L1201" s="3">
        <v>7.5</v>
      </c>
      <c r="M1201" t="str">
        <f>IF(acs2015_county_data[[#This Row],[PublicWork]]&gt;='Описательные характеристики'!$F$5,"да","нет")</f>
        <v>да</v>
      </c>
      <c r="N1201" t="str">
        <f>IF(acs2015_county_data[[#This Row],[Unemployment]]&gt;='Описательные характеристики'!$I$5,"да","нет")</f>
        <v>нет</v>
      </c>
    </row>
    <row r="1202" spans="1:14" x14ac:dyDescent="0.35">
      <c r="A1202">
        <v>24017</v>
      </c>
      <c r="B1202" t="s">
        <v>825</v>
      </c>
      <c r="C1202" t="s">
        <v>832</v>
      </c>
      <c r="D1202" s="2">
        <v>152754</v>
      </c>
      <c r="E1202" s="2">
        <v>36809</v>
      </c>
      <c r="F1202" s="3">
        <v>3.3</v>
      </c>
      <c r="G1202" s="3">
        <v>76622</v>
      </c>
      <c r="H1202" s="3">
        <v>64.3</v>
      </c>
      <c r="I1202" s="3">
        <v>32.6</v>
      </c>
      <c r="J1202" s="3">
        <v>2.9</v>
      </c>
      <c r="K1202" s="3">
        <v>0.2</v>
      </c>
      <c r="L1202" s="3">
        <v>6.3</v>
      </c>
      <c r="M1202" t="str">
        <f>IF(acs2015_county_data[[#This Row],[PublicWork]]&gt;='Описательные характеристики'!$F$5,"да","нет")</f>
        <v>да</v>
      </c>
      <c r="N1202" t="str">
        <f>IF(acs2015_county_data[[#This Row],[Unemployment]]&gt;='Описательные характеристики'!$I$5,"да","нет")</f>
        <v>нет</v>
      </c>
    </row>
    <row r="1203" spans="1:14" x14ac:dyDescent="0.35">
      <c r="A1203">
        <v>24019</v>
      </c>
      <c r="B1203" t="s">
        <v>825</v>
      </c>
      <c r="C1203" t="s">
        <v>833</v>
      </c>
      <c r="D1203" s="2">
        <v>32534</v>
      </c>
      <c r="E1203" s="2">
        <v>27870</v>
      </c>
      <c r="F1203" s="3">
        <v>3.2</v>
      </c>
      <c r="G1203" s="3">
        <v>15354</v>
      </c>
      <c r="H1203" s="3">
        <v>73.900000000000006</v>
      </c>
      <c r="I1203" s="3">
        <v>19.399999999999999</v>
      </c>
      <c r="J1203" s="3">
        <v>6.5</v>
      </c>
      <c r="K1203" s="3">
        <v>0.2</v>
      </c>
      <c r="L1203" s="3">
        <v>10.4</v>
      </c>
      <c r="M1203" t="str">
        <f>IF(acs2015_county_data[[#This Row],[PublicWork]]&gt;='Описательные характеристики'!$F$5,"да","нет")</f>
        <v>да</v>
      </c>
      <c r="N1203" t="str">
        <f>IF(acs2015_county_data[[#This Row],[Unemployment]]&gt;='Описательные характеристики'!$I$5,"да","нет")</f>
        <v>да</v>
      </c>
    </row>
    <row r="1204" spans="1:14" x14ac:dyDescent="0.35">
      <c r="A1204">
        <v>24021</v>
      </c>
      <c r="B1204" t="s">
        <v>825</v>
      </c>
      <c r="C1204" t="s">
        <v>834</v>
      </c>
      <c r="D1204" s="2">
        <v>241373</v>
      </c>
      <c r="E1204" s="2">
        <v>37449</v>
      </c>
      <c r="F1204" s="3">
        <v>6.3</v>
      </c>
      <c r="G1204" s="3">
        <v>127105</v>
      </c>
      <c r="H1204" s="3">
        <v>73.900000000000006</v>
      </c>
      <c r="I1204" s="3">
        <v>20.7</v>
      </c>
      <c r="J1204" s="3">
        <v>5.2</v>
      </c>
      <c r="K1204" s="3">
        <v>0.2</v>
      </c>
      <c r="L1204" s="3">
        <v>5.8</v>
      </c>
      <c r="M1204" t="str">
        <f>IF(acs2015_county_data[[#This Row],[PublicWork]]&gt;='Описательные характеристики'!$F$5,"да","нет")</f>
        <v>да</v>
      </c>
      <c r="N1204" t="str">
        <f>IF(acs2015_county_data[[#This Row],[Unemployment]]&gt;='Описательные характеристики'!$I$5,"да","нет")</f>
        <v>нет</v>
      </c>
    </row>
    <row r="1205" spans="1:14" x14ac:dyDescent="0.35">
      <c r="A1205">
        <v>24023</v>
      </c>
      <c r="B1205" t="s">
        <v>825</v>
      </c>
      <c r="C1205" t="s">
        <v>835</v>
      </c>
      <c r="D1205" s="2">
        <v>29813</v>
      </c>
      <c r="E1205" s="2">
        <v>25348</v>
      </c>
      <c r="F1205" s="3">
        <v>5.9</v>
      </c>
      <c r="G1205" s="3">
        <v>13830</v>
      </c>
      <c r="H1205" s="3">
        <v>75.3</v>
      </c>
      <c r="I1205" s="3">
        <v>15.2</v>
      </c>
      <c r="J1205" s="3">
        <v>8.8000000000000007</v>
      </c>
      <c r="K1205" s="3">
        <v>0.7</v>
      </c>
      <c r="L1205" s="3">
        <v>7</v>
      </c>
      <c r="M1205" t="str">
        <f>IF(acs2015_county_data[[#This Row],[PublicWork]]&gt;='Описательные характеристики'!$F$5,"да","нет")</f>
        <v>нет</v>
      </c>
      <c r="N1205" t="str">
        <f>IF(acs2015_county_data[[#This Row],[Unemployment]]&gt;='Описательные характеристики'!$I$5,"да","нет")</f>
        <v>нет</v>
      </c>
    </row>
    <row r="1206" spans="1:14" x14ac:dyDescent="0.35">
      <c r="A1206">
        <v>24025</v>
      </c>
      <c r="B1206" t="s">
        <v>825</v>
      </c>
      <c r="C1206" t="s">
        <v>836</v>
      </c>
      <c r="D1206" s="2">
        <v>248966</v>
      </c>
      <c r="E1206" s="2">
        <v>35746</v>
      </c>
      <c r="F1206" s="3">
        <v>3.9</v>
      </c>
      <c r="G1206" s="3">
        <v>127274</v>
      </c>
      <c r="H1206" s="3">
        <v>74.400000000000006</v>
      </c>
      <c r="I1206" s="3">
        <v>21.2</v>
      </c>
      <c r="J1206" s="3">
        <v>4.2</v>
      </c>
      <c r="K1206" s="3">
        <v>0.2</v>
      </c>
      <c r="L1206" s="3">
        <v>6.4</v>
      </c>
      <c r="M1206" t="str">
        <f>IF(acs2015_county_data[[#This Row],[PublicWork]]&gt;='Описательные характеристики'!$F$5,"да","нет")</f>
        <v>да</v>
      </c>
      <c r="N1206" t="str">
        <f>IF(acs2015_county_data[[#This Row],[Unemployment]]&gt;='Описательные характеристики'!$I$5,"да","нет")</f>
        <v>нет</v>
      </c>
    </row>
    <row r="1207" spans="1:14" x14ac:dyDescent="0.35">
      <c r="A1207">
        <v>24027</v>
      </c>
      <c r="B1207" t="s">
        <v>825</v>
      </c>
      <c r="C1207" t="s">
        <v>147</v>
      </c>
      <c r="D1207" s="2">
        <v>304115</v>
      </c>
      <c r="E1207" s="2">
        <v>48104</v>
      </c>
      <c r="F1207" s="3">
        <v>5.5</v>
      </c>
      <c r="G1207" s="3">
        <v>163278</v>
      </c>
      <c r="H1207" s="3">
        <v>71.900000000000006</v>
      </c>
      <c r="I1207" s="3">
        <v>23.3</v>
      </c>
      <c r="J1207" s="3">
        <v>4.5999999999999996</v>
      </c>
      <c r="K1207" s="3">
        <v>0.1</v>
      </c>
      <c r="L1207" s="3">
        <v>4.9000000000000004</v>
      </c>
      <c r="M1207" t="str">
        <f>IF(acs2015_county_data[[#This Row],[PublicWork]]&gt;='Описательные характеристики'!$F$5,"да","нет")</f>
        <v>да</v>
      </c>
      <c r="N1207" t="str">
        <f>IF(acs2015_county_data[[#This Row],[Unemployment]]&gt;='Описательные характеристики'!$I$5,"да","нет")</f>
        <v>нет</v>
      </c>
    </row>
    <row r="1208" spans="1:14" x14ac:dyDescent="0.35">
      <c r="A1208">
        <v>24029</v>
      </c>
      <c r="B1208" t="s">
        <v>825</v>
      </c>
      <c r="C1208" t="s">
        <v>301</v>
      </c>
      <c r="D1208" s="2">
        <v>19923</v>
      </c>
      <c r="E1208" s="2">
        <v>30081</v>
      </c>
      <c r="F1208" s="3">
        <v>8.6</v>
      </c>
      <c r="G1208" s="3">
        <v>8984</v>
      </c>
      <c r="H1208" s="3">
        <v>76.099999999999994</v>
      </c>
      <c r="I1208" s="3">
        <v>13.3</v>
      </c>
      <c r="J1208" s="3">
        <v>10.1</v>
      </c>
      <c r="K1208" s="3">
        <v>0.5</v>
      </c>
      <c r="L1208" s="3">
        <v>7.2</v>
      </c>
      <c r="M1208" t="str">
        <f>IF(acs2015_county_data[[#This Row],[PublicWork]]&gt;='Описательные характеристики'!$F$5,"да","нет")</f>
        <v>нет</v>
      </c>
      <c r="N1208" t="str">
        <f>IF(acs2015_county_data[[#This Row],[Unemployment]]&gt;='Описательные характеристики'!$I$5,"да","нет")</f>
        <v>нет</v>
      </c>
    </row>
    <row r="1209" spans="1:14" x14ac:dyDescent="0.35">
      <c r="A1209">
        <v>24031</v>
      </c>
      <c r="B1209" t="s">
        <v>825</v>
      </c>
      <c r="C1209" t="s">
        <v>158</v>
      </c>
      <c r="D1209" s="2">
        <v>1017859</v>
      </c>
      <c r="E1209" s="2">
        <v>49110</v>
      </c>
      <c r="F1209" s="3">
        <v>5.6</v>
      </c>
      <c r="G1209" s="3">
        <v>540333</v>
      </c>
      <c r="H1209" s="3">
        <v>71.8</v>
      </c>
      <c r="I1209" s="3">
        <v>21.7</v>
      </c>
      <c r="J1209" s="3">
        <v>6.4</v>
      </c>
      <c r="K1209" s="3">
        <v>0.1</v>
      </c>
      <c r="L1209" s="3">
        <v>6.1</v>
      </c>
      <c r="M1209" t="str">
        <f>IF(acs2015_county_data[[#This Row],[PublicWork]]&gt;='Описательные характеристики'!$F$5,"да","нет")</f>
        <v>да</v>
      </c>
      <c r="N1209" t="str">
        <f>IF(acs2015_county_data[[#This Row],[Unemployment]]&gt;='Описательные характеристики'!$I$5,"да","нет")</f>
        <v>нет</v>
      </c>
    </row>
    <row r="1210" spans="1:14" x14ac:dyDescent="0.35">
      <c r="A1210">
        <v>24033</v>
      </c>
      <c r="B1210" t="s">
        <v>825</v>
      </c>
      <c r="C1210" t="s">
        <v>837</v>
      </c>
      <c r="D1210" s="2">
        <v>892816</v>
      </c>
      <c r="E1210" s="2">
        <v>32639</v>
      </c>
      <c r="F1210" s="3">
        <v>2.6</v>
      </c>
      <c r="G1210" s="3">
        <v>465639</v>
      </c>
      <c r="H1210" s="3">
        <v>69.099999999999994</v>
      </c>
      <c r="I1210" s="3">
        <v>27.2</v>
      </c>
      <c r="J1210" s="3">
        <v>3.6</v>
      </c>
      <c r="K1210" s="3">
        <v>0.1</v>
      </c>
      <c r="L1210" s="3">
        <v>8.6999999999999993</v>
      </c>
      <c r="M1210" t="str">
        <f>IF(acs2015_county_data[[#This Row],[PublicWork]]&gt;='Описательные характеристики'!$F$5,"да","нет")</f>
        <v>да</v>
      </c>
      <c r="N1210" t="str">
        <f>IF(acs2015_county_data[[#This Row],[Unemployment]]&gt;='Описательные характеристики'!$I$5,"да","нет")</f>
        <v>да</v>
      </c>
    </row>
    <row r="1211" spans="1:14" x14ac:dyDescent="0.35">
      <c r="A1211">
        <v>24035</v>
      </c>
      <c r="B1211" t="s">
        <v>825</v>
      </c>
      <c r="C1211" t="s">
        <v>838</v>
      </c>
      <c r="D1211" s="2">
        <v>48600</v>
      </c>
      <c r="E1211" s="2">
        <v>38733</v>
      </c>
      <c r="F1211" s="3">
        <v>6.4</v>
      </c>
      <c r="G1211" s="3">
        <v>25305</v>
      </c>
      <c r="H1211" s="3">
        <v>72.599999999999994</v>
      </c>
      <c r="I1211" s="3">
        <v>19.8</v>
      </c>
      <c r="J1211" s="3">
        <v>7.6</v>
      </c>
      <c r="K1211" s="3">
        <v>0.1</v>
      </c>
      <c r="L1211" s="3">
        <v>5.3</v>
      </c>
      <c r="M1211" t="str">
        <f>IF(acs2015_county_data[[#This Row],[PublicWork]]&gt;='Описательные характеристики'!$F$5,"да","нет")</f>
        <v>да</v>
      </c>
      <c r="N1211" t="str">
        <f>IF(acs2015_county_data[[#This Row],[Unemployment]]&gt;='Описательные характеристики'!$I$5,"да","нет")</f>
        <v>нет</v>
      </c>
    </row>
    <row r="1212" spans="1:14" x14ac:dyDescent="0.35">
      <c r="A1212">
        <v>24037</v>
      </c>
      <c r="B1212" t="s">
        <v>825</v>
      </c>
      <c r="C1212" t="s">
        <v>839</v>
      </c>
      <c r="D1212" s="2">
        <v>109614</v>
      </c>
      <c r="E1212" s="2">
        <v>36668</v>
      </c>
      <c r="F1212" s="3">
        <v>2.1</v>
      </c>
      <c r="G1212" s="3">
        <v>53945</v>
      </c>
      <c r="H1212" s="3">
        <v>65.8</v>
      </c>
      <c r="I1212" s="3">
        <v>30.1</v>
      </c>
      <c r="J1212" s="3">
        <v>4.0999999999999996</v>
      </c>
      <c r="K1212" s="3">
        <v>0.1</v>
      </c>
      <c r="L1212" s="3">
        <v>4.8</v>
      </c>
      <c r="M1212" t="str">
        <f>IF(acs2015_county_data[[#This Row],[PublicWork]]&gt;='Описательные характеристики'!$F$5,"да","нет")</f>
        <v>да</v>
      </c>
      <c r="N1212" t="str">
        <f>IF(acs2015_county_data[[#This Row],[Unemployment]]&gt;='Описательные характеристики'!$I$5,"да","нет")</f>
        <v>нет</v>
      </c>
    </row>
    <row r="1213" spans="1:14" x14ac:dyDescent="0.35">
      <c r="A1213">
        <v>24039</v>
      </c>
      <c r="B1213" t="s">
        <v>825</v>
      </c>
      <c r="C1213" t="s">
        <v>822</v>
      </c>
      <c r="D1213" s="2">
        <v>25980</v>
      </c>
      <c r="E1213" s="2">
        <v>16631</v>
      </c>
      <c r="F1213" s="3">
        <v>4.7</v>
      </c>
      <c r="G1213" s="3">
        <v>8103</v>
      </c>
      <c r="H1213" s="3">
        <v>65.8</v>
      </c>
      <c r="I1213" s="3">
        <v>29.2</v>
      </c>
      <c r="J1213" s="3">
        <v>4.9000000000000004</v>
      </c>
      <c r="K1213" s="3">
        <v>0.1</v>
      </c>
      <c r="L1213" s="3">
        <v>8.1999999999999993</v>
      </c>
      <c r="M1213" t="str">
        <f>IF(acs2015_county_data[[#This Row],[PublicWork]]&gt;='Описательные характеристики'!$F$5,"да","нет")</f>
        <v>да</v>
      </c>
      <c r="N1213" t="str">
        <f>IF(acs2015_county_data[[#This Row],[Unemployment]]&gt;='Описательные характеристики'!$I$5,"да","нет")</f>
        <v>да</v>
      </c>
    </row>
    <row r="1214" spans="1:14" x14ac:dyDescent="0.35">
      <c r="A1214">
        <v>24041</v>
      </c>
      <c r="B1214" t="s">
        <v>825</v>
      </c>
      <c r="C1214" t="s">
        <v>440</v>
      </c>
      <c r="D1214" s="2">
        <v>37799</v>
      </c>
      <c r="E1214" s="2">
        <v>38317</v>
      </c>
      <c r="F1214" s="3">
        <v>6.2</v>
      </c>
      <c r="G1214" s="3">
        <v>17620</v>
      </c>
      <c r="H1214" s="3">
        <v>75.400000000000006</v>
      </c>
      <c r="I1214" s="3">
        <v>14.6</v>
      </c>
      <c r="J1214" s="3">
        <v>10</v>
      </c>
      <c r="K1214" s="3">
        <v>0</v>
      </c>
      <c r="L1214" s="3">
        <v>6.7</v>
      </c>
      <c r="M1214" t="str">
        <f>IF(acs2015_county_data[[#This Row],[PublicWork]]&gt;='Описательные характеристики'!$F$5,"да","нет")</f>
        <v>нет</v>
      </c>
      <c r="N1214" t="str">
        <f>IF(acs2015_county_data[[#This Row],[Unemployment]]&gt;='Описательные характеристики'!$I$5,"да","нет")</f>
        <v>нет</v>
      </c>
    </row>
    <row r="1215" spans="1:14" x14ac:dyDescent="0.35">
      <c r="A1215">
        <v>24043</v>
      </c>
      <c r="B1215" t="s">
        <v>825</v>
      </c>
      <c r="C1215" t="s">
        <v>75</v>
      </c>
      <c r="D1215" s="2">
        <v>149270</v>
      </c>
      <c r="E1215" s="2">
        <v>27066</v>
      </c>
      <c r="F1215" s="3">
        <v>4.8</v>
      </c>
      <c r="G1215" s="3">
        <v>67555</v>
      </c>
      <c r="H1215" s="3">
        <v>76.599999999999994</v>
      </c>
      <c r="I1215" s="3">
        <v>18.100000000000001</v>
      </c>
      <c r="J1215" s="3">
        <v>5.0999999999999996</v>
      </c>
      <c r="K1215" s="3">
        <v>0.2</v>
      </c>
      <c r="L1215" s="3">
        <v>8.5</v>
      </c>
      <c r="M1215" t="str">
        <f>IF(acs2015_county_data[[#This Row],[PublicWork]]&gt;='Описательные характеристики'!$F$5,"да","нет")</f>
        <v>да</v>
      </c>
      <c r="N1215" t="str">
        <f>IF(acs2015_county_data[[#This Row],[Unemployment]]&gt;='Описательные характеристики'!$I$5,"да","нет")</f>
        <v>да</v>
      </c>
    </row>
    <row r="1216" spans="1:14" x14ac:dyDescent="0.35">
      <c r="A1216">
        <v>24045</v>
      </c>
      <c r="B1216" t="s">
        <v>825</v>
      </c>
      <c r="C1216" t="s">
        <v>840</v>
      </c>
      <c r="D1216" s="2">
        <v>101182</v>
      </c>
      <c r="E1216" s="2">
        <v>26241</v>
      </c>
      <c r="F1216" s="3">
        <v>2.7</v>
      </c>
      <c r="G1216" s="3">
        <v>47947</v>
      </c>
      <c r="H1216" s="3">
        <v>74.099999999999994</v>
      </c>
      <c r="I1216" s="3">
        <v>20.5</v>
      </c>
      <c r="J1216" s="3">
        <v>5.3</v>
      </c>
      <c r="K1216" s="3">
        <v>0.1</v>
      </c>
      <c r="L1216" s="3">
        <v>8.8000000000000007</v>
      </c>
      <c r="M1216" t="str">
        <f>IF(acs2015_county_data[[#This Row],[PublicWork]]&gt;='Описательные характеристики'!$F$5,"да","нет")</f>
        <v>да</v>
      </c>
      <c r="N1216" t="str">
        <f>IF(acs2015_county_data[[#This Row],[Unemployment]]&gt;='Описательные характеристики'!$I$5,"да","нет")</f>
        <v>да</v>
      </c>
    </row>
    <row r="1217" spans="1:14" x14ac:dyDescent="0.35">
      <c r="A1217">
        <v>24047</v>
      </c>
      <c r="B1217" t="s">
        <v>825</v>
      </c>
      <c r="C1217" t="s">
        <v>841</v>
      </c>
      <c r="D1217" s="2">
        <v>51519</v>
      </c>
      <c r="E1217" s="2">
        <v>32419</v>
      </c>
      <c r="F1217" s="3">
        <v>6.2</v>
      </c>
      <c r="G1217" s="3">
        <v>22979</v>
      </c>
      <c r="H1217" s="3">
        <v>76.099999999999994</v>
      </c>
      <c r="I1217" s="3">
        <v>17.3</v>
      </c>
      <c r="J1217" s="3">
        <v>6.5</v>
      </c>
      <c r="K1217" s="3">
        <v>0.2</v>
      </c>
      <c r="L1217" s="3">
        <v>9.9</v>
      </c>
      <c r="M1217" t="str">
        <f>IF(acs2015_county_data[[#This Row],[PublicWork]]&gt;='Описательные характеристики'!$F$5,"да","нет")</f>
        <v>да</v>
      </c>
      <c r="N1217" t="str">
        <f>IF(acs2015_county_data[[#This Row],[Unemployment]]&gt;='Описательные характеристики'!$I$5,"да","нет")</f>
        <v>да</v>
      </c>
    </row>
    <row r="1218" spans="1:14" x14ac:dyDescent="0.35">
      <c r="A1218">
        <v>24510</v>
      </c>
      <c r="B1218" t="s">
        <v>825</v>
      </c>
      <c r="C1218" t="s">
        <v>842</v>
      </c>
      <c r="D1218" s="2">
        <v>622454</v>
      </c>
      <c r="E1218" s="2">
        <v>25707</v>
      </c>
      <c r="F1218" s="3">
        <v>3.1</v>
      </c>
      <c r="G1218" s="3">
        <v>270930</v>
      </c>
      <c r="H1218" s="3">
        <v>76.400000000000006</v>
      </c>
      <c r="I1218" s="3">
        <v>20.100000000000001</v>
      </c>
      <c r="J1218" s="3">
        <v>3.4</v>
      </c>
      <c r="K1218" s="3">
        <v>0.1</v>
      </c>
      <c r="L1218" s="3">
        <v>13.1</v>
      </c>
      <c r="M1218" t="str">
        <f>IF(acs2015_county_data[[#This Row],[PublicWork]]&gt;='Описательные характеристики'!$F$5,"да","нет")</f>
        <v>да</v>
      </c>
      <c r="N1218" t="str">
        <f>IF(acs2015_county_data[[#This Row],[Unemployment]]&gt;='Описательные характеристики'!$I$5,"да","нет")</f>
        <v>да</v>
      </c>
    </row>
    <row r="1219" spans="1:14" x14ac:dyDescent="0.35">
      <c r="A1219">
        <v>25001</v>
      </c>
      <c r="B1219" t="s">
        <v>843</v>
      </c>
      <c r="C1219" t="s">
        <v>844</v>
      </c>
      <c r="D1219" s="2">
        <v>214766</v>
      </c>
      <c r="E1219" s="2">
        <v>37678</v>
      </c>
      <c r="F1219" s="3">
        <v>5.9</v>
      </c>
      <c r="G1219" s="3">
        <v>102995</v>
      </c>
      <c r="H1219" s="3">
        <v>74.3</v>
      </c>
      <c r="I1219" s="3">
        <v>13.6</v>
      </c>
      <c r="J1219" s="3">
        <v>12</v>
      </c>
      <c r="K1219" s="3">
        <v>0.1</v>
      </c>
      <c r="L1219" s="3">
        <v>7</v>
      </c>
      <c r="M1219" t="str">
        <f>IF(acs2015_county_data[[#This Row],[PublicWork]]&gt;='Описательные характеристики'!$F$5,"да","нет")</f>
        <v>нет</v>
      </c>
      <c r="N1219" t="str">
        <f>IF(acs2015_county_data[[#This Row],[Unemployment]]&gt;='Описательные характеристики'!$I$5,"да","нет")</f>
        <v>нет</v>
      </c>
    </row>
    <row r="1220" spans="1:14" x14ac:dyDescent="0.35">
      <c r="A1220">
        <v>25003</v>
      </c>
      <c r="B1220" t="s">
        <v>843</v>
      </c>
      <c r="C1220" t="s">
        <v>845</v>
      </c>
      <c r="D1220" s="2">
        <v>129288</v>
      </c>
      <c r="E1220" s="2">
        <v>30469</v>
      </c>
      <c r="F1220" s="3">
        <v>5.3</v>
      </c>
      <c r="G1220" s="3">
        <v>62596</v>
      </c>
      <c r="H1220" s="3">
        <v>78.5</v>
      </c>
      <c r="I1220" s="3">
        <v>13.4</v>
      </c>
      <c r="J1220" s="3">
        <v>7.9</v>
      </c>
      <c r="K1220" s="3">
        <v>0.2</v>
      </c>
      <c r="L1220" s="3">
        <v>8.9</v>
      </c>
      <c r="M1220" t="str">
        <f>IF(acs2015_county_data[[#This Row],[PublicWork]]&gt;='Описательные характеристики'!$F$5,"да","нет")</f>
        <v>нет</v>
      </c>
      <c r="N1220" t="str">
        <f>IF(acs2015_county_data[[#This Row],[Unemployment]]&gt;='Описательные характеристики'!$I$5,"да","нет")</f>
        <v>да</v>
      </c>
    </row>
    <row r="1221" spans="1:14" x14ac:dyDescent="0.35">
      <c r="A1221">
        <v>25005</v>
      </c>
      <c r="B1221" t="s">
        <v>843</v>
      </c>
      <c r="C1221" t="s">
        <v>846</v>
      </c>
      <c r="D1221" s="2">
        <v>552763</v>
      </c>
      <c r="E1221" s="2">
        <v>29607</v>
      </c>
      <c r="F1221" s="3">
        <v>3.1</v>
      </c>
      <c r="G1221" s="3">
        <v>269391</v>
      </c>
      <c r="H1221" s="3">
        <v>81.8</v>
      </c>
      <c r="I1221" s="3">
        <v>13.3</v>
      </c>
      <c r="J1221" s="3">
        <v>4.9000000000000004</v>
      </c>
      <c r="K1221" s="3">
        <v>0.1</v>
      </c>
      <c r="L1221" s="3">
        <v>9</v>
      </c>
      <c r="M1221" t="str">
        <f>IF(acs2015_county_data[[#This Row],[PublicWork]]&gt;='Описательные характеристики'!$F$5,"да","нет")</f>
        <v>нет</v>
      </c>
      <c r="N1221" t="str">
        <f>IF(acs2015_county_data[[#This Row],[Unemployment]]&gt;='Описательные характеристики'!$I$5,"да","нет")</f>
        <v>да</v>
      </c>
    </row>
    <row r="1222" spans="1:14" x14ac:dyDescent="0.35">
      <c r="A1222">
        <v>25007</v>
      </c>
      <c r="B1222" t="s">
        <v>843</v>
      </c>
      <c r="C1222" t="s">
        <v>847</v>
      </c>
      <c r="D1222" s="2">
        <v>17048</v>
      </c>
      <c r="E1222" s="2">
        <v>38560</v>
      </c>
      <c r="F1222" s="3">
        <v>8.3000000000000007</v>
      </c>
      <c r="G1222" s="3">
        <v>8849</v>
      </c>
      <c r="H1222" s="3">
        <v>61.3</v>
      </c>
      <c r="I1222" s="3">
        <v>16</v>
      </c>
      <c r="J1222" s="3">
        <v>22.6</v>
      </c>
      <c r="K1222" s="3">
        <v>0.2</v>
      </c>
      <c r="L1222" s="3">
        <v>5.2</v>
      </c>
      <c r="M1222" t="str">
        <f>IF(acs2015_county_data[[#This Row],[PublicWork]]&gt;='Описательные характеристики'!$F$5,"да","нет")</f>
        <v>нет</v>
      </c>
      <c r="N1222" t="str">
        <f>IF(acs2015_county_data[[#This Row],[Unemployment]]&gt;='Описательные характеристики'!$I$5,"да","нет")</f>
        <v>нет</v>
      </c>
    </row>
    <row r="1223" spans="1:14" x14ac:dyDescent="0.35">
      <c r="A1223">
        <v>25009</v>
      </c>
      <c r="B1223" t="s">
        <v>843</v>
      </c>
      <c r="C1223" t="s">
        <v>848</v>
      </c>
      <c r="D1223" s="2">
        <v>763849</v>
      </c>
      <c r="E1223" s="2">
        <v>36212</v>
      </c>
      <c r="F1223" s="3">
        <v>5.5</v>
      </c>
      <c r="G1223" s="3">
        <v>383882</v>
      </c>
      <c r="H1223" s="3">
        <v>81.7</v>
      </c>
      <c r="I1223" s="3">
        <v>12</v>
      </c>
      <c r="J1223" s="3">
        <v>6.1</v>
      </c>
      <c r="K1223" s="3">
        <v>0.2</v>
      </c>
      <c r="L1223" s="3">
        <v>7.7</v>
      </c>
      <c r="M1223" t="str">
        <f>IF(acs2015_county_data[[#This Row],[PublicWork]]&gt;='Описательные характеристики'!$F$5,"да","нет")</f>
        <v>нет</v>
      </c>
      <c r="N1223" t="str">
        <f>IF(acs2015_county_data[[#This Row],[Unemployment]]&gt;='Описательные характеристики'!$I$5,"да","нет")</f>
        <v>да</v>
      </c>
    </row>
    <row r="1224" spans="1:14" x14ac:dyDescent="0.35">
      <c r="A1224">
        <v>25011</v>
      </c>
      <c r="B1224" t="s">
        <v>843</v>
      </c>
      <c r="C1224" t="s">
        <v>43</v>
      </c>
      <c r="D1224" s="2">
        <v>71144</v>
      </c>
      <c r="E1224" s="2">
        <v>30584</v>
      </c>
      <c r="F1224" s="3">
        <v>6</v>
      </c>
      <c r="G1224" s="3">
        <v>37218</v>
      </c>
      <c r="H1224" s="3">
        <v>72.2</v>
      </c>
      <c r="I1224" s="3">
        <v>18.2</v>
      </c>
      <c r="J1224" s="3">
        <v>9.5</v>
      </c>
      <c r="K1224" s="3">
        <v>0.2</v>
      </c>
      <c r="L1224" s="3">
        <v>6.7</v>
      </c>
      <c r="M1224" t="str">
        <f>IF(acs2015_county_data[[#This Row],[PublicWork]]&gt;='Описательные характеристики'!$F$5,"да","нет")</f>
        <v>да</v>
      </c>
      <c r="N1224" t="str">
        <f>IF(acs2015_county_data[[#This Row],[Unemployment]]&gt;='Описательные характеристики'!$I$5,"да","нет")</f>
        <v>нет</v>
      </c>
    </row>
    <row r="1225" spans="1:14" x14ac:dyDescent="0.35">
      <c r="A1225">
        <v>25013</v>
      </c>
      <c r="B1225" t="s">
        <v>843</v>
      </c>
      <c r="C1225" t="s">
        <v>849</v>
      </c>
      <c r="D1225" s="2">
        <v>468041</v>
      </c>
      <c r="E1225" s="2">
        <v>26560</v>
      </c>
      <c r="F1225" s="3">
        <v>3.4</v>
      </c>
      <c r="G1225" s="3">
        <v>212742</v>
      </c>
      <c r="H1225" s="3">
        <v>79.5</v>
      </c>
      <c r="I1225" s="3">
        <v>15.1</v>
      </c>
      <c r="J1225" s="3">
        <v>5.2</v>
      </c>
      <c r="K1225" s="3">
        <v>0.1</v>
      </c>
      <c r="L1225" s="3">
        <v>10</v>
      </c>
      <c r="M1225" t="str">
        <f>IF(acs2015_county_data[[#This Row],[PublicWork]]&gt;='Описательные характеристики'!$F$5,"да","нет")</f>
        <v>нет</v>
      </c>
      <c r="N1225" t="str">
        <f>IF(acs2015_county_data[[#This Row],[Unemployment]]&gt;='Описательные характеристики'!$I$5,"да","нет")</f>
        <v>да</v>
      </c>
    </row>
    <row r="1226" spans="1:14" x14ac:dyDescent="0.35">
      <c r="A1226">
        <v>25015</v>
      </c>
      <c r="B1226" t="s">
        <v>843</v>
      </c>
      <c r="C1226" t="s">
        <v>850</v>
      </c>
      <c r="D1226" s="2">
        <v>160759</v>
      </c>
      <c r="E1226" s="2">
        <v>30244</v>
      </c>
      <c r="F1226" s="3">
        <v>7.8</v>
      </c>
      <c r="G1226" s="3">
        <v>84303</v>
      </c>
      <c r="H1226" s="3">
        <v>71.099999999999994</v>
      </c>
      <c r="I1226" s="3">
        <v>21.4</v>
      </c>
      <c r="J1226" s="3">
        <v>7.4</v>
      </c>
      <c r="K1226" s="3">
        <v>0.1</v>
      </c>
      <c r="L1226" s="3">
        <v>7.2</v>
      </c>
      <c r="M1226" t="str">
        <f>IF(acs2015_county_data[[#This Row],[PublicWork]]&gt;='Описательные характеристики'!$F$5,"да","нет")</f>
        <v>да</v>
      </c>
      <c r="N1226" t="str">
        <f>IF(acs2015_county_data[[#This Row],[Unemployment]]&gt;='Описательные характеристики'!$I$5,"да","нет")</f>
        <v>нет</v>
      </c>
    </row>
    <row r="1227" spans="1:14" x14ac:dyDescent="0.35">
      <c r="A1227">
        <v>25017</v>
      </c>
      <c r="B1227" t="s">
        <v>843</v>
      </c>
      <c r="C1227" t="s">
        <v>295</v>
      </c>
      <c r="D1227" s="2">
        <v>1556116</v>
      </c>
      <c r="E1227" s="2">
        <v>44152</v>
      </c>
      <c r="F1227" s="3">
        <v>5.2</v>
      </c>
      <c r="G1227" s="3">
        <v>832753</v>
      </c>
      <c r="H1227" s="3">
        <v>82.8</v>
      </c>
      <c r="I1227" s="3">
        <v>10.7</v>
      </c>
      <c r="J1227" s="3">
        <v>6.5</v>
      </c>
      <c r="K1227" s="3">
        <v>0.1</v>
      </c>
      <c r="L1227" s="3">
        <v>6.1</v>
      </c>
      <c r="M1227" t="str">
        <f>IF(acs2015_county_data[[#This Row],[PublicWork]]&gt;='Описательные характеристики'!$F$5,"да","нет")</f>
        <v>нет</v>
      </c>
      <c r="N1227" t="str">
        <f>IF(acs2015_county_data[[#This Row],[Unemployment]]&gt;='Описательные характеристики'!$I$5,"да","нет")</f>
        <v>нет</v>
      </c>
    </row>
    <row r="1228" spans="1:14" x14ac:dyDescent="0.35">
      <c r="A1228">
        <v>25019</v>
      </c>
      <c r="B1228" t="s">
        <v>843</v>
      </c>
      <c r="C1228" t="s">
        <v>851</v>
      </c>
      <c r="D1228" s="2">
        <v>10556</v>
      </c>
      <c r="E1228" s="2">
        <v>45000</v>
      </c>
      <c r="F1228" s="3">
        <v>4.4000000000000004</v>
      </c>
      <c r="G1228" s="3">
        <v>6157</v>
      </c>
      <c r="H1228" s="3">
        <v>70</v>
      </c>
      <c r="I1228" s="3">
        <v>12.8</v>
      </c>
      <c r="J1228" s="3">
        <v>17.2</v>
      </c>
      <c r="K1228" s="3">
        <v>0.1</v>
      </c>
      <c r="L1228" s="3">
        <v>3</v>
      </c>
      <c r="M1228" t="str">
        <f>IF(acs2015_county_data[[#This Row],[PublicWork]]&gt;='Описательные характеристики'!$F$5,"да","нет")</f>
        <v>нет</v>
      </c>
      <c r="N1228" t="str">
        <f>IF(acs2015_county_data[[#This Row],[Unemployment]]&gt;='Описательные характеристики'!$I$5,"да","нет")</f>
        <v>нет</v>
      </c>
    </row>
    <row r="1229" spans="1:14" x14ac:dyDescent="0.35">
      <c r="A1229">
        <v>25021</v>
      </c>
      <c r="B1229" t="s">
        <v>843</v>
      </c>
      <c r="C1229" t="s">
        <v>852</v>
      </c>
      <c r="D1229" s="2">
        <v>687721</v>
      </c>
      <c r="E1229" s="2">
        <v>45829</v>
      </c>
      <c r="F1229" s="3">
        <v>4.5</v>
      </c>
      <c r="G1229" s="3">
        <v>358283</v>
      </c>
      <c r="H1229" s="3">
        <v>82.5</v>
      </c>
      <c r="I1229" s="3">
        <v>11.5</v>
      </c>
      <c r="J1229" s="3">
        <v>5.8</v>
      </c>
      <c r="K1229" s="3">
        <v>0.1</v>
      </c>
      <c r="L1229" s="3">
        <v>6.9</v>
      </c>
      <c r="M1229" t="str">
        <f>IF(acs2015_county_data[[#This Row],[PublicWork]]&gt;='Описательные характеристики'!$F$5,"да","нет")</f>
        <v>нет</v>
      </c>
      <c r="N1229" t="str">
        <f>IF(acs2015_county_data[[#This Row],[Unemployment]]&gt;='Описательные характеристики'!$I$5,"да","нет")</f>
        <v>нет</v>
      </c>
    </row>
    <row r="1230" spans="1:14" x14ac:dyDescent="0.35">
      <c r="A1230">
        <v>25023</v>
      </c>
      <c r="B1230" t="s">
        <v>843</v>
      </c>
      <c r="C1230" t="s">
        <v>630</v>
      </c>
      <c r="D1230" s="2">
        <v>503681</v>
      </c>
      <c r="E1230" s="2">
        <v>36163</v>
      </c>
      <c r="F1230" s="3">
        <v>3.9</v>
      </c>
      <c r="G1230" s="3">
        <v>252016</v>
      </c>
      <c r="H1230" s="3">
        <v>80.900000000000006</v>
      </c>
      <c r="I1230" s="3">
        <v>13.4</v>
      </c>
      <c r="J1230" s="3">
        <v>5.7</v>
      </c>
      <c r="K1230" s="3">
        <v>0.1</v>
      </c>
      <c r="L1230" s="3">
        <v>7.9</v>
      </c>
      <c r="M1230" t="str">
        <f>IF(acs2015_county_data[[#This Row],[PublicWork]]&gt;='Описательные характеристики'!$F$5,"да","нет")</f>
        <v>нет</v>
      </c>
      <c r="N1230" t="str">
        <f>IF(acs2015_county_data[[#This Row],[Unemployment]]&gt;='Описательные характеристики'!$I$5,"да","нет")</f>
        <v>да</v>
      </c>
    </row>
    <row r="1231" spans="1:14" x14ac:dyDescent="0.35">
      <c r="A1231">
        <v>25025</v>
      </c>
      <c r="B1231" t="s">
        <v>843</v>
      </c>
      <c r="C1231" t="s">
        <v>853</v>
      </c>
      <c r="D1231" s="2">
        <v>758919</v>
      </c>
      <c r="E1231" s="2">
        <v>34420</v>
      </c>
      <c r="F1231" s="3">
        <v>3.4</v>
      </c>
      <c r="G1231" s="3">
        <v>401271</v>
      </c>
      <c r="H1231" s="3">
        <v>84.4</v>
      </c>
      <c r="I1231" s="3">
        <v>11</v>
      </c>
      <c r="J1231" s="3">
        <v>4.4000000000000004</v>
      </c>
      <c r="K1231" s="3">
        <v>0.1</v>
      </c>
      <c r="L1231" s="3">
        <v>8.6999999999999993</v>
      </c>
      <c r="M1231" t="str">
        <f>IF(acs2015_county_data[[#This Row],[PublicWork]]&gt;='Описательные характеристики'!$F$5,"да","нет")</f>
        <v>нет</v>
      </c>
      <c r="N1231" t="str">
        <f>IF(acs2015_county_data[[#This Row],[Unemployment]]&gt;='Описательные характеристики'!$I$5,"да","нет")</f>
        <v>да</v>
      </c>
    </row>
    <row r="1232" spans="1:14" x14ac:dyDescent="0.35">
      <c r="A1232">
        <v>25027</v>
      </c>
      <c r="B1232" t="s">
        <v>843</v>
      </c>
      <c r="C1232" t="s">
        <v>841</v>
      </c>
      <c r="D1232" s="2">
        <v>810935</v>
      </c>
      <c r="E1232" s="2">
        <v>32284</v>
      </c>
      <c r="F1232" s="3">
        <v>4.2</v>
      </c>
      <c r="G1232" s="3">
        <v>403519</v>
      </c>
      <c r="H1232" s="3">
        <v>81.2</v>
      </c>
      <c r="I1232" s="3">
        <v>13.1</v>
      </c>
      <c r="J1232" s="3">
        <v>5.5</v>
      </c>
      <c r="K1232" s="3">
        <v>0.2</v>
      </c>
      <c r="L1232" s="3">
        <v>7.8</v>
      </c>
      <c r="M1232" t="str">
        <f>IF(acs2015_county_data[[#This Row],[PublicWork]]&gt;='Описательные характеристики'!$F$5,"да","нет")</f>
        <v>нет</v>
      </c>
      <c r="N1232" t="str">
        <f>IF(acs2015_county_data[[#This Row],[Unemployment]]&gt;='Описательные характеристики'!$I$5,"да","нет")</f>
        <v>да</v>
      </c>
    </row>
    <row r="1233" spans="1:14" x14ac:dyDescent="0.35">
      <c r="A1233">
        <v>26001</v>
      </c>
      <c r="B1233" t="s">
        <v>854</v>
      </c>
      <c r="C1233" t="s">
        <v>855</v>
      </c>
      <c r="D1233" s="2">
        <v>10550</v>
      </c>
      <c r="E1233" s="2">
        <v>23933</v>
      </c>
      <c r="F1233" s="3">
        <v>4.5999999999999996</v>
      </c>
      <c r="G1233" s="3">
        <v>3288</v>
      </c>
      <c r="H1233" s="3">
        <v>77</v>
      </c>
      <c r="I1233" s="3">
        <v>15.6</v>
      </c>
      <c r="J1233" s="3">
        <v>7.4</v>
      </c>
      <c r="K1233" s="3">
        <v>0</v>
      </c>
      <c r="L1233" s="3">
        <v>12.2</v>
      </c>
      <c r="M1233" t="str">
        <f>IF(acs2015_county_data[[#This Row],[PublicWork]]&gt;='Описательные характеристики'!$F$5,"да","нет")</f>
        <v>нет</v>
      </c>
      <c r="N1233" t="str">
        <f>IF(acs2015_county_data[[#This Row],[Unemployment]]&gt;='Описательные характеристики'!$I$5,"да","нет")</f>
        <v>да</v>
      </c>
    </row>
    <row r="1234" spans="1:14" x14ac:dyDescent="0.35">
      <c r="A1234">
        <v>26003</v>
      </c>
      <c r="B1234" t="s">
        <v>854</v>
      </c>
      <c r="C1234" t="s">
        <v>856</v>
      </c>
      <c r="D1234" s="2">
        <v>9476</v>
      </c>
      <c r="E1234" s="2">
        <v>21259</v>
      </c>
      <c r="F1234" s="3">
        <v>6.7</v>
      </c>
      <c r="G1234" s="3">
        <v>3166</v>
      </c>
      <c r="H1234" s="3">
        <v>73.900000000000006</v>
      </c>
      <c r="I1234" s="3">
        <v>20.3</v>
      </c>
      <c r="J1234" s="3">
        <v>5.7</v>
      </c>
      <c r="K1234" s="3">
        <v>0.1</v>
      </c>
      <c r="L1234" s="3">
        <v>10.8</v>
      </c>
      <c r="M1234" t="str">
        <f>IF(acs2015_county_data[[#This Row],[PublicWork]]&gt;='Описательные характеристики'!$F$5,"да","нет")</f>
        <v>да</v>
      </c>
      <c r="N1234" t="str">
        <f>IF(acs2015_county_data[[#This Row],[Unemployment]]&gt;='Описательные характеристики'!$I$5,"да","нет")</f>
        <v>да</v>
      </c>
    </row>
    <row r="1235" spans="1:14" x14ac:dyDescent="0.35">
      <c r="A1235">
        <v>26005</v>
      </c>
      <c r="B1235" t="s">
        <v>854</v>
      </c>
      <c r="C1235" t="s">
        <v>857</v>
      </c>
      <c r="D1235" s="2">
        <v>112837</v>
      </c>
      <c r="E1235" s="2">
        <v>25161</v>
      </c>
      <c r="F1235" s="3">
        <v>4.0999999999999996</v>
      </c>
      <c r="G1235" s="3">
        <v>51081</v>
      </c>
      <c r="H1235" s="3">
        <v>85.2</v>
      </c>
      <c r="I1235" s="3">
        <v>8.1999999999999993</v>
      </c>
      <c r="J1235" s="3">
        <v>6.4</v>
      </c>
      <c r="K1235" s="3">
        <v>0.2</v>
      </c>
      <c r="L1235" s="3">
        <v>6.1</v>
      </c>
      <c r="M1235" t="str">
        <f>IF(acs2015_county_data[[#This Row],[PublicWork]]&gt;='Описательные характеристики'!$F$5,"да","нет")</f>
        <v>нет</v>
      </c>
      <c r="N1235" t="str">
        <f>IF(acs2015_county_data[[#This Row],[Unemployment]]&gt;='Описательные характеристики'!$I$5,"да","нет")</f>
        <v>нет</v>
      </c>
    </row>
    <row r="1236" spans="1:14" x14ac:dyDescent="0.35">
      <c r="A1236">
        <v>26007</v>
      </c>
      <c r="B1236" t="s">
        <v>854</v>
      </c>
      <c r="C1236" t="s">
        <v>858</v>
      </c>
      <c r="D1236" s="2">
        <v>29068</v>
      </c>
      <c r="E1236" s="2">
        <v>22082</v>
      </c>
      <c r="F1236" s="3">
        <v>4</v>
      </c>
      <c r="G1236" s="3">
        <v>12233</v>
      </c>
      <c r="H1236" s="3">
        <v>79.900000000000006</v>
      </c>
      <c r="I1236" s="3">
        <v>12.5</v>
      </c>
      <c r="J1236" s="3">
        <v>7.3</v>
      </c>
      <c r="K1236" s="3">
        <v>0.3</v>
      </c>
      <c r="L1236" s="3">
        <v>9.3000000000000007</v>
      </c>
      <c r="M1236" t="str">
        <f>IF(acs2015_county_data[[#This Row],[PublicWork]]&gt;='Описательные характеристики'!$F$5,"да","нет")</f>
        <v>нет</v>
      </c>
      <c r="N1236" t="str">
        <f>IF(acs2015_county_data[[#This Row],[Unemployment]]&gt;='Описательные характеристики'!$I$5,"да","нет")</f>
        <v>да</v>
      </c>
    </row>
    <row r="1237" spans="1:14" x14ac:dyDescent="0.35">
      <c r="A1237">
        <v>26009</v>
      </c>
      <c r="B1237" t="s">
        <v>854</v>
      </c>
      <c r="C1237" t="s">
        <v>859</v>
      </c>
      <c r="D1237" s="2">
        <v>23267</v>
      </c>
      <c r="E1237" s="2">
        <v>27155</v>
      </c>
      <c r="F1237" s="3">
        <v>7</v>
      </c>
      <c r="G1237" s="3">
        <v>9528</v>
      </c>
      <c r="H1237" s="3">
        <v>78.2</v>
      </c>
      <c r="I1237" s="3">
        <v>11.5</v>
      </c>
      <c r="J1237" s="3">
        <v>10</v>
      </c>
      <c r="K1237" s="3">
        <v>0.3</v>
      </c>
      <c r="L1237" s="3">
        <v>9.6999999999999993</v>
      </c>
      <c r="M1237" t="str">
        <f>IF(acs2015_county_data[[#This Row],[PublicWork]]&gt;='Описательные характеристики'!$F$5,"да","нет")</f>
        <v>нет</v>
      </c>
      <c r="N1237" t="str">
        <f>IF(acs2015_county_data[[#This Row],[Unemployment]]&gt;='Описательные характеристики'!$I$5,"да","нет")</f>
        <v>да</v>
      </c>
    </row>
    <row r="1238" spans="1:14" x14ac:dyDescent="0.35">
      <c r="A1238">
        <v>26011</v>
      </c>
      <c r="B1238" t="s">
        <v>854</v>
      </c>
      <c r="C1238" t="s">
        <v>860</v>
      </c>
      <c r="D1238" s="2">
        <v>15424</v>
      </c>
      <c r="E1238" s="2">
        <v>21197</v>
      </c>
      <c r="F1238" s="3">
        <v>3.7</v>
      </c>
      <c r="G1238" s="3">
        <v>5569</v>
      </c>
      <c r="H1238" s="3">
        <v>80.7</v>
      </c>
      <c r="I1238" s="3">
        <v>11.2</v>
      </c>
      <c r="J1238" s="3">
        <v>7.9</v>
      </c>
      <c r="K1238" s="3">
        <v>0.2</v>
      </c>
      <c r="L1238" s="3">
        <v>12</v>
      </c>
      <c r="M1238" t="str">
        <f>IF(acs2015_county_data[[#This Row],[PublicWork]]&gt;='Описательные характеристики'!$F$5,"да","нет")</f>
        <v>нет</v>
      </c>
      <c r="N1238" t="str">
        <f>IF(acs2015_county_data[[#This Row],[Unemployment]]&gt;='Описательные характеристики'!$I$5,"да","нет")</f>
        <v>да</v>
      </c>
    </row>
    <row r="1239" spans="1:14" x14ac:dyDescent="0.35">
      <c r="A1239">
        <v>26013</v>
      </c>
      <c r="B1239" t="s">
        <v>854</v>
      </c>
      <c r="C1239" t="s">
        <v>861</v>
      </c>
      <c r="D1239" s="2">
        <v>8690</v>
      </c>
      <c r="E1239" s="2">
        <v>17461</v>
      </c>
      <c r="F1239" s="3">
        <v>3.6</v>
      </c>
      <c r="G1239" s="3">
        <v>2358</v>
      </c>
      <c r="H1239" s="3">
        <v>74</v>
      </c>
      <c r="I1239" s="3">
        <v>19.399999999999999</v>
      </c>
      <c r="J1239" s="3">
        <v>6.4</v>
      </c>
      <c r="K1239" s="3">
        <v>0.2</v>
      </c>
      <c r="L1239" s="3">
        <v>8.1</v>
      </c>
      <c r="M1239" t="str">
        <f>IF(acs2015_county_data[[#This Row],[PublicWork]]&gt;='Описательные характеристики'!$F$5,"да","нет")</f>
        <v>да</v>
      </c>
      <c r="N1239" t="str">
        <f>IF(acs2015_county_data[[#This Row],[Unemployment]]&gt;='Описательные характеристики'!$I$5,"да","нет")</f>
        <v>да</v>
      </c>
    </row>
    <row r="1240" spans="1:14" x14ac:dyDescent="0.35">
      <c r="A1240">
        <v>26015</v>
      </c>
      <c r="B1240" t="s">
        <v>854</v>
      </c>
      <c r="C1240" t="s">
        <v>862</v>
      </c>
      <c r="D1240" s="2">
        <v>59147</v>
      </c>
      <c r="E1240" s="2">
        <v>25795</v>
      </c>
      <c r="F1240" s="3">
        <v>4.0999999999999996</v>
      </c>
      <c r="G1240" s="3">
        <v>26899</v>
      </c>
      <c r="H1240" s="3">
        <v>83.5</v>
      </c>
      <c r="I1240" s="3">
        <v>9.6999999999999993</v>
      </c>
      <c r="J1240" s="3">
        <v>6.7</v>
      </c>
      <c r="K1240" s="3">
        <v>0.2</v>
      </c>
      <c r="L1240" s="3">
        <v>7.9</v>
      </c>
      <c r="M1240" t="str">
        <f>IF(acs2015_county_data[[#This Row],[PublicWork]]&gt;='Описательные характеристики'!$F$5,"да","нет")</f>
        <v>нет</v>
      </c>
      <c r="N1240" t="str">
        <f>IF(acs2015_county_data[[#This Row],[Unemployment]]&gt;='Описательные характеристики'!$I$5,"да","нет")</f>
        <v>да</v>
      </c>
    </row>
    <row r="1241" spans="1:14" x14ac:dyDescent="0.35">
      <c r="A1241">
        <v>26017</v>
      </c>
      <c r="B1241" t="s">
        <v>854</v>
      </c>
      <c r="C1241" t="s">
        <v>308</v>
      </c>
      <c r="D1241" s="2">
        <v>106698</v>
      </c>
      <c r="E1241" s="2">
        <v>24445</v>
      </c>
      <c r="F1241" s="3">
        <v>2.2999999999999998</v>
      </c>
      <c r="G1241" s="3">
        <v>45913</v>
      </c>
      <c r="H1241" s="3">
        <v>83.9</v>
      </c>
      <c r="I1241" s="3">
        <v>11</v>
      </c>
      <c r="J1241" s="3">
        <v>5</v>
      </c>
      <c r="K1241" s="3">
        <v>0.1</v>
      </c>
      <c r="L1241" s="3">
        <v>9.6999999999999993</v>
      </c>
      <c r="M1241" t="str">
        <f>IF(acs2015_county_data[[#This Row],[PublicWork]]&gt;='Описательные характеристики'!$F$5,"да","нет")</f>
        <v>нет</v>
      </c>
      <c r="N1241" t="str">
        <f>IF(acs2015_county_data[[#This Row],[Unemployment]]&gt;='Описательные характеристики'!$I$5,"да","нет")</f>
        <v>да</v>
      </c>
    </row>
    <row r="1242" spans="1:14" x14ac:dyDescent="0.35">
      <c r="A1242">
        <v>26019</v>
      </c>
      <c r="B1242" t="s">
        <v>854</v>
      </c>
      <c r="C1242" t="s">
        <v>863</v>
      </c>
      <c r="D1242" s="2">
        <v>17437</v>
      </c>
      <c r="E1242" s="2">
        <v>25023</v>
      </c>
      <c r="F1242" s="3">
        <v>5.2</v>
      </c>
      <c r="G1242" s="3">
        <v>7579</v>
      </c>
      <c r="H1242" s="3">
        <v>78</v>
      </c>
      <c r="I1242" s="3">
        <v>14.9</v>
      </c>
      <c r="J1242" s="3">
        <v>7</v>
      </c>
      <c r="K1242" s="3">
        <v>0.1</v>
      </c>
      <c r="L1242" s="3">
        <v>8.4</v>
      </c>
      <c r="M1242" t="str">
        <f>IF(acs2015_county_data[[#This Row],[PublicWork]]&gt;='Описательные характеристики'!$F$5,"да","нет")</f>
        <v>нет</v>
      </c>
      <c r="N1242" t="str">
        <f>IF(acs2015_county_data[[#This Row],[Unemployment]]&gt;='Описательные характеристики'!$I$5,"да","нет")</f>
        <v>да</v>
      </c>
    </row>
    <row r="1243" spans="1:14" x14ac:dyDescent="0.35">
      <c r="A1243">
        <v>26021</v>
      </c>
      <c r="B1243" t="s">
        <v>854</v>
      </c>
      <c r="C1243" t="s">
        <v>362</v>
      </c>
      <c r="D1243" s="2">
        <v>155565</v>
      </c>
      <c r="E1243" s="2">
        <v>25241</v>
      </c>
      <c r="F1243" s="3">
        <v>4.7</v>
      </c>
      <c r="G1243" s="3">
        <v>68463</v>
      </c>
      <c r="H1243" s="3">
        <v>85.3</v>
      </c>
      <c r="I1243" s="3">
        <v>8.9</v>
      </c>
      <c r="J1243" s="3">
        <v>5.6</v>
      </c>
      <c r="K1243" s="3">
        <v>0.2</v>
      </c>
      <c r="L1243" s="3">
        <v>9.4</v>
      </c>
      <c r="M1243" t="str">
        <f>IF(acs2015_county_data[[#This Row],[PublicWork]]&gt;='Описательные характеристики'!$F$5,"да","нет")</f>
        <v>нет</v>
      </c>
      <c r="N1243" t="str">
        <f>IF(acs2015_county_data[[#This Row],[Unemployment]]&gt;='Описательные характеристики'!$I$5,"да","нет")</f>
        <v>да</v>
      </c>
    </row>
    <row r="1244" spans="1:14" x14ac:dyDescent="0.35">
      <c r="A1244">
        <v>26023</v>
      </c>
      <c r="B1244" t="s">
        <v>854</v>
      </c>
      <c r="C1244" t="s">
        <v>864</v>
      </c>
      <c r="D1244" s="2">
        <v>43706</v>
      </c>
      <c r="E1244" s="2">
        <v>21263</v>
      </c>
      <c r="F1244" s="3">
        <v>5.0999999999999996</v>
      </c>
      <c r="G1244" s="3">
        <v>18328</v>
      </c>
      <c r="H1244" s="3">
        <v>81.099999999999994</v>
      </c>
      <c r="I1244" s="3">
        <v>12.1</v>
      </c>
      <c r="J1244" s="3">
        <v>6.5</v>
      </c>
      <c r="K1244" s="3">
        <v>0.3</v>
      </c>
      <c r="L1244" s="3">
        <v>7</v>
      </c>
      <c r="M1244" t="str">
        <f>IF(acs2015_county_data[[#This Row],[PublicWork]]&gt;='Описательные характеристики'!$F$5,"да","нет")</f>
        <v>нет</v>
      </c>
      <c r="N1244" t="str">
        <f>IF(acs2015_county_data[[#This Row],[Unemployment]]&gt;='Описательные характеристики'!$I$5,"да","нет")</f>
        <v>нет</v>
      </c>
    </row>
    <row r="1245" spans="1:14" x14ac:dyDescent="0.35">
      <c r="A1245">
        <v>26025</v>
      </c>
      <c r="B1245" t="s">
        <v>854</v>
      </c>
      <c r="C1245" t="s">
        <v>22</v>
      </c>
      <c r="D1245" s="2">
        <v>134790</v>
      </c>
      <c r="E1245" s="2">
        <v>23150</v>
      </c>
      <c r="F1245" s="3">
        <v>3.3</v>
      </c>
      <c r="G1245" s="3">
        <v>56687</v>
      </c>
      <c r="H1245" s="3">
        <v>83.7</v>
      </c>
      <c r="I1245" s="3">
        <v>11.9</v>
      </c>
      <c r="J1245" s="3">
        <v>4.3</v>
      </c>
      <c r="K1245" s="3">
        <v>0.1</v>
      </c>
      <c r="L1245" s="3">
        <v>10</v>
      </c>
      <c r="M1245" t="str">
        <f>IF(acs2015_county_data[[#This Row],[PublicWork]]&gt;='Описательные характеристики'!$F$5,"да","нет")</f>
        <v>нет</v>
      </c>
      <c r="N1245" t="str">
        <f>IF(acs2015_county_data[[#This Row],[Unemployment]]&gt;='Описательные характеристики'!$I$5,"да","нет")</f>
        <v>да</v>
      </c>
    </row>
    <row r="1246" spans="1:14" x14ac:dyDescent="0.35">
      <c r="A1246">
        <v>26027</v>
      </c>
      <c r="B1246" t="s">
        <v>854</v>
      </c>
      <c r="C1246" t="s">
        <v>508</v>
      </c>
      <c r="D1246" s="2">
        <v>51952</v>
      </c>
      <c r="E1246" s="2">
        <v>24314</v>
      </c>
      <c r="F1246" s="3">
        <v>4.2</v>
      </c>
      <c r="G1246" s="3">
        <v>22556</v>
      </c>
      <c r="H1246" s="3">
        <v>84.5</v>
      </c>
      <c r="I1246" s="3">
        <v>9.4</v>
      </c>
      <c r="J1246" s="3">
        <v>5.9</v>
      </c>
      <c r="K1246" s="3">
        <v>0.1</v>
      </c>
      <c r="L1246" s="3">
        <v>9.6999999999999993</v>
      </c>
      <c r="M1246" t="str">
        <f>IF(acs2015_county_data[[#This Row],[PublicWork]]&gt;='Описательные характеристики'!$F$5,"да","нет")</f>
        <v>нет</v>
      </c>
      <c r="N1246" t="str">
        <f>IF(acs2015_county_data[[#This Row],[Unemployment]]&gt;='Описательные характеристики'!$I$5,"да","нет")</f>
        <v>да</v>
      </c>
    </row>
    <row r="1247" spans="1:14" x14ac:dyDescent="0.35">
      <c r="A1247">
        <v>26029</v>
      </c>
      <c r="B1247" t="s">
        <v>854</v>
      </c>
      <c r="C1247" t="s">
        <v>865</v>
      </c>
      <c r="D1247" s="2">
        <v>26134</v>
      </c>
      <c r="E1247" s="2">
        <v>28188</v>
      </c>
      <c r="F1247" s="3">
        <v>5.6</v>
      </c>
      <c r="G1247" s="3">
        <v>11793</v>
      </c>
      <c r="H1247" s="3">
        <v>81.3</v>
      </c>
      <c r="I1247" s="3">
        <v>10.4</v>
      </c>
      <c r="J1247" s="3">
        <v>7.8</v>
      </c>
      <c r="K1247" s="3">
        <v>0.5</v>
      </c>
      <c r="L1247" s="3">
        <v>7.8</v>
      </c>
      <c r="M1247" t="str">
        <f>IF(acs2015_county_data[[#This Row],[PublicWork]]&gt;='Описательные характеристики'!$F$5,"да","нет")</f>
        <v>нет</v>
      </c>
      <c r="N1247" t="str">
        <f>IF(acs2015_county_data[[#This Row],[Unemployment]]&gt;='Описательные характеристики'!$I$5,"да","нет")</f>
        <v>да</v>
      </c>
    </row>
    <row r="1248" spans="1:14" x14ac:dyDescent="0.35">
      <c r="A1248">
        <v>26031</v>
      </c>
      <c r="B1248" t="s">
        <v>854</v>
      </c>
      <c r="C1248" t="s">
        <v>866</v>
      </c>
      <c r="D1248" s="2">
        <v>25690</v>
      </c>
      <c r="E1248" s="2">
        <v>23631</v>
      </c>
      <c r="F1248" s="3">
        <v>5.4</v>
      </c>
      <c r="G1248" s="3">
        <v>10029</v>
      </c>
      <c r="H1248" s="3">
        <v>80.900000000000006</v>
      </c>
      <c r="I1248" s="3">
        <v>12</v>
      </c>
      <c r="J1248" s="3">
        <v>6.8</v>
      </c>
      <c r="K1248" s="3">
        <v>0.4</v>
      </c>
      <c r="L1248" s="3">
        <v>13.9</v>
      </c>
      <c r="M1248" t="str">
        <f>IF(acs2015_county_data[[#This Row],[PublicWork]]&gt;='Описательные характеристики'!$F$5,"да","нет")</f>
        <v>нет</v>
      </c>
      <c r="N1248" t="str">
        <f>IF(acs2015_county_data[[#This Row],[Unemployment]]&gt;='Описательные характеристики'!$I$5,"да","нет")</f>
        <v>да</v>
      </c>
    </row>
    <row r="1249" spans="1:14" x14ac:dyDescent="0.35">
      <c r="A1249">
        <v>26033</v>
      </c>
      <c r="B1249" t="s">
        <v>854</v>
      </c>
      <c r="C1249" t="s">
        <v>867</v>
      </c>
      <c r="D1249" s="2">
        <v>38586</v>
      </c>
      <c r="E1249" s="2">
        <v>20396</v>
      </c>
      <c r="F1249" s="3">
        <v>3.5</v>
      </c>
      <c r="G1249" s="3">
        <v>14733</v>
      </c>
      <c r="H1249" s="3">
        <v>63.7</v>
      </c>
      <c r="I1249" s="3">
        <v>29.5</v>
      </c>
      <c r="J1249" s="3">
        <v>6.6</v>
      </c>
      <c r="K1249" s="3">
        <v>0.3</v>
      </c>
      <c r="L1249" s="3">
        <v>11.7</v>
      </c>
      <c r="M1249" t="str">
        <f>IF(acs2015_county_data[[#This Row],[PublicWork]]&gt;='Описательные характеристики'!$F$5,"да","нет")</f>
        <v>да</v>
      </c>
      <c r="N1249" t="str">
        <f>IF(acs2015_county_data[[#This Row],[Unemployment]]&gt;='Описательные характеристики'!$I$5,"да","нет")</f>
        <v>да</v>
      </c>
    </row>
    <row r="1250" spans="1:14" x14ac:dyDescent="0.35">
      <c r="A1250">
        <v>26035</v>
      </c>
      <c r="B1250" t="s">
        <v>854</v>
      </c>
      <c r="C1250" t="s">
        <v>868</v>
      </c>
      <c r="D1250" s="2">
        <v>30710</v>
      </c>
      <c r="E1250" s="2">
        <v>19181</v>
      </c>
      <c r="F1250" s="3">
        <v>4.5999999999999996</v>
      </c>
      <c r="G1250" s="3">
        <v>10708</v>
      </c>
      <c r="H1250" s="3">
        <v>78.7</v>
      </c>
      <c r="I1250" s="3">
        <v>12.1</v>
      </c>
      <c r="J1250" s="3">
        <v>8.6999999999999993</v>
      </c>
      <c r="K1250" s="3">
        <v>0.5</v>
      </c>
      <c r="L1250" s="3">
        <v>13.2</v>
      </c>
      <c r="M1250" t="str">
        <f>IF(acs2015_county_data[[#This Row],[PublicWork]]&gt;='Описательные характеристики'!$F$5,"да","нет")</f>
        <v>нет</v>
      </c>
      <c r="N1250" t="str">
        <f>IF(acs2015_county_data[[#This Row],[Unemployment]]&gt;='Описательные характеристики'!$I$5,"да","нет")</f>
        <v>да</v>
      </c>
    </row>
    <row r="1251" spans="1:14" x14ac:dyDescent="0.35">
      <c r="A1251">
        <v>26037</v>
      </c>
      <c r="B1251" t="s">
        <v>854</v>
      </c>
      <c r="C1251" t="s">
        <v>511</v>
      </c>
      <c r="D1251" s="2">
        <v>76905</v>
      </c>
      <c r="E1251" s="2">
        <v>29766</v>
      </c>
      <c r="F1251" s="3">
        <v>4.4000000000000004</v>
      </c>
      <c r="G1251" s="3">
        <v>36177</v>
      </c>
      <c r="H1251" s="3">
        <v>75.099999999999994</v>
      </c>
      <c r="I1251" s="3">
        <v>18.5</v>
      </c>
      <c r="J1251" s="3">
        <v>6.2</v>
      </c>
      <c r="K1251" s="3">
        <v>0.2</v>
      </c>
      <c r="L1251" s="3">
        <v>6.5</v>
      </c>
      <c r="M1251" t="str">
        <f>IF(acs2015_county_data[[#This Row],[PublicWork]]&gt;='Описательные характеристики'!$F$5,"да","нет")</f>
        <v>да</v>
      </c>
      <c r="N1251" t="str">
        <f>IF(acs2015_county_data[[#This Row],[Unemployment]]&gt;='Описательные характеристики'!$I$5,"да","нет")</f>
        <v>нет</v>
      </c>
    </row>
    <row r="1252" spans="1:14" x14ac:dyDescent="0.35">
      <c r="A1252">
        <v>26039</v>
      </c>
      <c r="B1252" t="s">
        <v>854</v>
      </c>
      <c r="C1252" t="s">
        <v>136</v>
      </c>
      <c r="D1252" s="2">
        <v>13895</v>
      </c>
      <c r="E1252" s="2">
        <v>22595</v>
      </c>
      <c r="F1252" s="3">
        <v>4.4000000000000004</v>
      </c>
      <c r="G1252" s="3">
        <v>5197</v>
      </c>
      <c r="H1252" s="3">
        <v>73.2</v>
      </c>
      <c r="I1252" s="3">
        <v>19.2</v>
      </c>
      <c r="J1252" s="3">
        <v>7.1</v>
      </c>
      <c r="K1252" s="3">
        <v>0.5</v>
      </c>
      <c r="L1252" s="3">
        <v>12</v>
      </c>
      <c r="M1252" t="str">
        <f>IF(acs2015_county_data[[#This Row],[PublicWork]]&gt;='Описательные характеристики'!$F$5,"да","нет")</f>
        <v>да</v>
      </c>
      <c r="N1252" t="str">
        <f>IF(acs2015_county_data[[#This Row],[Unemployment]]&gt;='Описательные характеристики'!$I$5,"да","нет")</f>
        <v>да</v>
      </c>
    </row>
    <row r="1253" spans="1:14" x14ac:dyDescent="0.35">
      <c r="A1253">
        <v>26041</v>
      </c>
      <c r="B1253" t="s">
        <v>854</v>
      </c>
      <c r="C1253" t="s">
        <v>251</v>
      </c>
      <c r="D1253" s="2">
        <v>36712</v>
      </c>
      <c r="E1253" s="2">
        <v>23061</v>
      </c>
      <c r="F1253" s="3">
        <v>3.3</v>
      </c>
      <c r="G1253" s="3">
        <v>15510</v>
      </c>
      <c r="H1253" s="3">
        <v>82.1</v>
      </c>
      <c r="I1253" s="3">
        <v>11.8</v>
      </c>
      <c r="J1253" s="3">
        <v>5.9</v>
      </c>
      <c r="K1253" s="3">
        <v>0.3</v>
      </c>
      <c r="L1253" s="3">
        <v>9.1999999999999993</v>
      </c>
      <c r="M1253" t="str">
        <f>IF(acs2015_county_data[[#This Row],[PublicWork]]&gt;='Описательные характеристики'!$F$5,"да","нет")</f>
        <v>нет</v>
      </c>
      <c r="N1253" t="str">
        <f>IF(acs2015_county_data[[#This Row],[Unemployment]]&gt;='Описательные характеристики'!$I$5,"да","нет")</f>
        <v>да</v>
      </c>
    </row>
    <row r="1254" spans="1:14" x14ac:dyDescent="0.35">
      <c r="A1254">
        <v>26043</v>
      </c>
      <c r="B1254" t="s">
        <v>854</v>
      </c>
      <c r="C1254" t="s">
        <v>612</v>
      </c>
      <c r="D1254" s="2">
        <v>26012</v>
      </c>
      <c r="E1254" s="2">
        <v>24880</v>
      </c>
      <c r="F1254" s="3">
        <v>2.2000000000000002</v>
      </c>
      <c r="G1254" s="3">
        <v>11161</v>
      </c>
      <c r="H1254" s="3">
        <v>82.3</v>
      </c>
      <c r="I1254" s="3">
        <v>13.6</v>
      </c>
      <c r="J1254" s="3">
        <v>3.9</v>
      </c>
      <c r="K1254" s="3">
        <v>0.3</v>
      </c>
      <c r="L1254" s="3">
        <v>7</v>
      </c>
      <c r="M1254" t="str">
        <f>IF(acs2015_county_data[[#This Row],[PublicWork]]&gt;='Описательные характеристики'!$F$5,"да","нет")</f>
        <v>нет</v>
      </c>
      <c r="N1254" t="str">
        <f>IF(acs2015_county_data[[#This Row],[Unemployment]]&gt;='Описательные характеристики'!$I$5,"да","нет")</f>
        <v>нет</v>
      </c>
    </row>
    <row r="1255" spans="1:14" x14ac:dyDescent="0.35">
      <c r="A1255">
        <v>26045</v>
      </c>
      <c r="B1255" t="s">
        <v>854</v>
      </c>
      <c r="C1255" t="s">
        <v>869</v>
      </c>
      <c r="D1255" s="2">
        <v>108341</v>
      </c>
      <c r="E1255" s="2">
        <v>27577</v>
      </c>
      <c r="F1255" s="3">
        <v>3.1</v>
      </c>
      <c r="G1255" s="3">
        <v>51451</v>
      </c>
      <c r="H1255" s="3">
        <v>77.099999999999994</v>
      </c>
      <c r="I1255" s="3">
        <v>17.899999999999999</v>
      </c>
      <c r="J1255" s="3">
        <v>4.7</v>
      </c>
      <c r="K1255" s="3">
        <v>0.4</v>
      </c>
      <c r="L1255" s="3">
        <v>7.8</v>
      </c>
      <c r="M1255" t="str">
        <f>IF(acs2015_county_data[[#This Row],[PublicWork]]&gt;='Описательные характеристики'!$F$5,"да","нет")</f>
        <v>да</v>
      </c>
      <c r="N1255" t="str">
        <f>IF(acs2015_county_data[[#This Row],[Unemployment]]&gt;='Описательные характеристики'!$I$5,"да","нет")</f>
        <v>да</v>
      </c>
    </row>
    <row r="1256" spans="1:14" x14ac:dyDescent="0.35">
      <c r="A1256">
        <v>26047</v>
      </c>
      <c r="B1256" t="s">
        <v>854</v>
      </c>
      <c r="C1256" t="s">
        <v>614</v>
      </c>
      <c r="D1256" s="2">
        <v>33018</v>
      </c>
      <c r="E1256" s="2">
        <v>31109</v>
      </c>
      <c r="F1256" s="3">
        <v>5.0999999999999996</v>
      </c>
      <c r="G1256" s="3">
        <v>15869</v>
      </c>
      <c r="H1256" s="3">
        <v>80.900000000000006</v>
      </c>
      <c r="I1256" s="3">
        <v>9.9</v>
      </c>
      <c r="J1256" s="3">
        <v>9</v>
      </c>
      <c r="K1256" s="3">
        <v>0.3</v>
      </c>
      <c r="L1256" s="3">
        <v>8.4</v>
      </c>
      <c r="M1256" t="str">
        <f>IF(acs2015_county_data[[#This Row],[PublicWork]]&gt;='Описательные характеристики'!$F$5,"да","нет")</f>
        <v>нет</v>
      </c>
      <c r="N1256" t="str">
        <f>IF(acs2015_county_data[[#This Row],[Unemployment]]&gt;='Описательные характеристики'!$I$5,"да","нет")</f>
        <v>да</v>
      </c>
    </row>
    <row r="1257" spans="1:14" x14ac:dyDescent="0.35">
      <c r="A1257">
        <v>26049</v>
      </c>
      <c r="B1257" t="s">
        <v>854</v>
      </c>
      <c r="C1257" t="s">
        <v>870</v>
      </c>
      <c r="D1257" s="2">
        <v>415874</v>
      </c>
      <c r="E1257" s="2">
        <v>22957</v>
      </c>
      <c r="F1257" s="3">
        <v>2.9</v>
      </c>
      <c r="G1257" s="3">
        <v>161750</v>
      </c>
      <c r="H1257" s="3">
        <v>83.7</v>
      </c>
      <c r="I1257" s="3">
        <v>11.4</v>
      </c>
      <c r="J1257" s="3">
        <v>4.7</v>
      </c>
      <c r="K1257" s="3">
        <v>0.1</v>
      </c>
      <c r="L1257" s="3">
        <v>13.2</v>
      </c>
      <c r="M1257" t="str">
        <f>IF(acs2015_county_data[[#This Row],[PublicWork]]&gt;='Описательные характеристики'!$F$5,"да","нет")</f>
        <v>нет</v>
      </c>
      <c r="N1257" t="str">
        <f>IF(acs2015_county_data[[#This Row],[Unemployment]]&gt;='Описательные характеристики'!$I$5,"да","нет")</f>
        <v>да</v>
      </c>
    </row>
    <row r="1258" spans="1:14" x14ac:dyDescent="0.35">
      <c r="A1258">
        <v>26051</v>
      </c>
      <c r="B1258" t="s">
        <v>854</v>
      </c>
      <c r="C1258" t="s">
        <v>871</v>
      </c>
      <c r="D1258" s="2">
        <v>25501</v>
      </c>
      <c r="E1258" s="2">
        <v>21234</v>
      </c>
      <c r="F1258" s="3">
        <v>3.3</v>
      </c>
      <c r="G1258" s="3">
        <v>8730</v>
      </c>
      <c r="H1258" s="3">
        <v>81.5</v>
      </c>
      <c r="I1258" s="3">
        <v>11.1</v>
      </c>
      <c r="J1258" s="3">
        <v>6.6</v>
      </c>
      <c r="K1258" s="3">
        <v>0.8</v>
      </c>
      <c r="L1258" s="3">
        <v>11</v>
      </c>
      <c r="M1258" t="str">
        <f>IF(acs2015_county_data[[#This Row],[PublicWork]]&gt;='Описательные характеристики'!$F$5,"да","нет")</f>
        <v>нет</v>
      </c>
      <c r="N1258" t="str">
        <f>IF(acs2015_county_data[[#This Row],[Unemployment]]&gt;='Описательные характеристики'!$I$5,"да","нет")</f>
        <v>да</v>
      </c>
    </row>
    <row r="1259" spans="1:14" x14ac:dyDescent="0.35">
      <c r="A1259">
        <v>26053</v>
      </c>
      <c r="B1259" t="s">
        <v>854</v>
      </c>
      <c r="C1259" t="s">
        <v>872</v>
      </c>
      <c r="D1259" s="2">
        <v>15824</v>
      </c>
      <c r="E1259" s="2">
        <v>21008</v>
      </c>
      <c r="F1259" s="3">
        <v>2.5</v>
      </c>
      <c r="G1259" s="3">
        <v>5759</v>
      </c>
      <c r="H1259" s="3">
        <v>76</v>
      </c>
      <c r="I1259" s="3">
        <v>19.5</v>
      </c>
      <c r="J1259" s="3">
        <v>4.3</v>
      </c>
      <c r="K1259" s="3">
        <v>0.2</v>
      </c>
      <c r="L1259" s="3">
        <v>9.5</v>
      </c>
      <c r="M1259" t="str">
        <f>IF(acs2015_county_data[[#This Row],[PublicWork]]&gt;='Описательные характеристики'!$F$5,"да","нет")</f>
        <v>да</v>
      </c>
      <c r="N1259" t="str">
        <f>IF(acs2015_county_data[[#This Row],[Unemployment]]&gt;='Описательные характеристики'!$I$5,"да","нет")</f>
        <v>да</v>
      </c>
    </row>
    <row r="1260" spans="1:14" x14ac:dyDescent="0.35">
      <c r="A1260">
        <v>26055</v>
      </c>
      <c r="B1260" t="s">
        <v>854</v>
      </c>
      <c r="C1260" t="s">
        <v>873</v>
      </c>
      <c r="D1260" s="2">
        <v>89907</v>
      </c>
      <c r="E1260" s="2">
        <v>28050</v>
      </c>
      <c r="F1260" s="3">
        <v>4.0999999999999996</v>
      </c>
      <c r="G1260" s="3">
        <v>43804</v>
      </c>
      <c r="H1260" s="3">
        <v>83</v>
      </c>
      <c r="I1260" s="3">
        <v>9.5</v>
      </c>
      <c r="J1260" s="3">
        <v>7.3</v>
      </c>
      <c r="K1260" s="3">
        <v>0.2</v>
      </c>
      <c r="L1260" s="3">
        <v>6.6</v>
      </c>
      <c r="M1260" t="str">
        <f>IF(acs2015_county_data[[#This Row],[PublicWork]]&gt;='Описательные характеристики'!$F$5,"да","нет")</f>
        <v>нет</v>
      </c>
      <c r="N1260" t="str">
        <f>IF(acs2015_county_data[[#This Row],[Unemployment]]&gt;='Описательные характеристики'!$I$5,"да","нет")</f>
        <v>нет</v>
      </c>
    </row>
    <row r="1261" spans="1:14" x14ac:dyDescent="0.35">
      <c r="A1261">
        <v>26057</v>
      </c>
      <c r="B1261" t="s">
        <v>854</v>
      </c>
      <c r="C1261" t="s">
        <v>874</v>
      </c>
      <c r="D1261" s="2">
        <v>41878</v>
      </c>
      <c r="E1261" s="2">
        <v>19618</v>
      </c>
      <c r="F1261" s="3">
        <v>5.6</v>
      </c>
      <c r="G1261" s="3">
        <v>15980</v>
      </c>
      <c r="H1261" s="3">
        <v>79.2</v>
      </c>
      <c r="I1261" s="3">
        <v>13.8</v>
      </c>
      <c r="J1261" s="3">
        <v>6.9</v>
      </c>
      <c r="K1261" s="3">
        <v>0.1</v>
      </c>
      <c r="L1261" s="3">
        <v>8.5</v>
      </c>
      <c r="M1261" t="str">
        <f>IF(acs2015_county_data[[#This Row],[PublicWork]]&gt;='Описательные характеристики'!$F$5,"да","нет")</f>
        <v>нет</v>
      </c>
      <c r="N1261" t="str">
        <f>IF(acs2015_county_data[[#This Row],[Unemployment]]&gt;='Описательные характеристики'!$I$5,"да","нет")</f>
        <v>да</v>
      </c>
    </row>
    <row r="1262" spans="1:14" x14ac:dyDescent="0.35">
      <c r="A1262">
        <v>26059</v>
      </c>
      <c r="B1262" t="s">
        <v>854</v>
      </c>
      <c r="C1262" t="s">
        <v>875</v>
      </c>
      <c r="D1262" s="2">
        <v>46178</v>
      </c>
      <c r="E1262" s="2">
        <v>21291</v>
      </c>
      <c r="F1262" s="3">
        <v>4.4000000000000004</v>
      </c>
      <c r="G1262" s="3">
        <v>19316</v>
      </c>
      <c r="H1262" s="3">
        <v>81.599999999999994</v>
      </c>
      <c r="I1262" s="3">
        <v>10.6</v>
      </c>
      <c r="J1262" s="3">
        <v>7.6</v>
      </c>
      <c r="K1262" s="3">
        <v>0.2</v>
      </c>
      <c r="L1262" s="3">
        <v>9</v>
      </c>
      <c r="M1262" t="str">
        <f>IF(acs2015_county_data[[#This Row],[PublicWork]]&gt;='Описательные характеристики'!$F$5,"да","нет")</f>
        <v>нет</v>
      </c>
      <c r="N1262" t="str">
        <f>IF(acs2015_county_data[[#This Row],[Unemployment]]&gt;='Описательные характеристики'!$I$5,"да","нет")</f>
        <v>да</v>
      </c>
    </row>
    <row r="1263" spans="1:14" x14ac:dyDescent="0.35">
      <c r="A1263">
        <v>26061</v>
      </c>
      <c r="B1263" t="s">
        <v>854</v>
      </c>
      <c r="C1263" t="s">
        <v>876</v>
      </c>
      <c r="D1263" s="2">
        <v>36660</v>
      </c>
      <c r="E1263" s="2">
        <v>20081</v>
      </c>
      <c r="F1263" s="3">
        <v>3.9</v>
      </c>
      <c r="G1263" s="3">
        <v>15440</v>
      </c>
      <c r="H1263" s="3">
        <v>73.5</v>
      </c>
      <c r="I1263" s="3">
        <v>21.3</v>
      </c>
      <c r="J1263" s="3">
        <v>5</v>
      </c>
      <c r="K1263" s="3">
        <v>0.2</v>
      </c>
      <c r="L1263" s="3">
        <v>7.2</v>
      </c>
      <c r="M1263" t="str">
        <f>IF(acs2015_county_data[[#This Row],[PublicWork]]&gt;='Описательные характеристики'!$F$5,"да","нет")</f>
        <v>да</v>
      </c>
      <c r="N1263" t="str">
        <f>IF(acs2015_county_data[[#This Row],[Unemployment]]&gt;='Описательные характеристики'!$I$5,"да","нет")</f>
        <v>нет</v>
      </c>
    </row>
    <row r="1264" spans="1:14" x14ac:dyDescent="0.35">
      <c r="A1264">
        <v>26063</v>
      </c>
      <c r="B1264" t="s">
        <v>854</v>
      </c>
      <c r="C1264" t="s">
        <v>877</v>
      </c>
      <c r="D1264" s="2">
        <v>32290</v>
      </c>
      <c r="E1264" s="2">
        <v>23382</v>
      </c>
      <c r="F1264" s="3">
        <v>4.3</v>
      </c>
      <c r="G1264" s="3">
        <v>13869</v>
      </c>
      <c r="H1264" s="3">
        <v>79.8</v>
      </c>
      <c r="I1264" s="3">
        <v>11.1</v>
      </c>
      <c r="J1264" s="3">
        <v>8.6999999999999993</v>
      </c>
      <c r="K1264" s="3">
        <v>0.4</v>
      </c>
      <c r="L1264" s="3">
        <v>7.8</v>
      </c>
      <c r="M1264" t="str">
        <f>IF(acs2015_county_data[[#This Row],[PublicWork]]&gt;='Описательные характеристики'!$F$5,"да","нет")</f>
        <v>нет</v>
      </c>
      <c r="N1264" t="str">
        <f>IF(acs2015_county_data[[#This Row],[Unemployment]]&gt;='Описательные характеристики'!$I$5,"да","нет")</f>
        <v>да</v>
      </c>
    </row>
    <row r="1265" spans="1:14" x14ac:dyDescent="0.35">
      <c r="A1265">
        <v>26065</v>
      </c>
      <c r="B1265" t="s">
        <v>854</v>
      </c>
      <c r="C1265" t="s">
        <v>878</v>
      </c>
      <c r="D1265" s="2">
        <v>283491</v>
      </c>
      <c r="E1265" s="2">
        <v>25436</v>
      </c>
      <c r="F1265" s="3">
        <v>3.9</v>
      </c>
      <c r="G1265" s="3">
        <v>133091</v>
      </c>
      <c r="H1265" s="3">
        <v>75.099999999999994</v>
      </c>
      <c r="I1265" s="3">
        <v>19.899999999999999</v>
      </c>
      <c r="J1265" s="3">
        <v>4.9000000000000004</v>
      </c>
      <c r="K1265" s="3">
        <v>0.1</v>
      </c>
      <c r="L1265" s="3">
        <v>9</v>
      </c>
      <c r="M1265" t="str">
        <f>IF(acs2015_county_data[[#This Row],[PublicWork]]&gt;='Описательные характеристики'!$F$5,"да","нет")</f>
        <v>да</v>
      </c>
      <c r="N1265" t="str">
        <f>IF(acs2015_county_data[[#This Row],[Unemployment]]&gt;='Описательные характеристики'!$I$5,"да","нет")</f>
        <v>да</v>
      </c>
    </row>
    <row r="1266" spans="1:14" x14ac:dyDescent="0.35">
      <c r="A1266">
        <v>26067</v>
      </c>
      <c r="B1266" t="s">
        <v>854</v>
      </c>
      <c r="C1266" t="s">
        <v>879</v>
      </c>
      <c r="D1266" s="2">
        <v>64064</v>
      </c>
      <c r="E1266" s="2">
        <v>20921</v>
      </c>
      <c r="F1266" s="3">
        <v>3.7</v>
      </c>
      <c r="G1266" s="3">
        <v>26785</v>
      </c>
      <c r="H1266" s="3">
        <v>78.3</v>
      </c>
      <c r="I1266" s="3">
        <v>14.2</v>
      </c>
      <c r="J1266" s="3">
        <v>7.3</v>
      </c>
      <c r="K1266" s="3">
        <v>0.2</v>
      </c>
      <c r="L1266" s="3">
        <v>10.4</v>
      </c>
      <c r="M1266" t="str">
        <f>IF(acs2015_county_data[[#This Row],[PublicWork]]&gt;='Описательные характеристики'!$F$5,"да","нет")</f>
        <v>нет</v>
      </c>
      <c r="N1266" t="str">
        <f>IF(acs2015_county_data[[#This Row],[Unemployment]]&gt;='Описательные характеристики'!$I$5,"да","нет")</f>
        <v>да</v>
      </c>
    </row>
    <row r="1267" spans="1:14" x14ac:dyDescent="0.35">
      <c r="A1267">
        <v>26069</v>
      </c>
      <c r="B1267" t="s">
        <v>854</v>
      </c>
      <c r="C1267" t="s">
        <v>880</v>
      </c>
      <c r="D1267" s="2">
        <v>25401</v>
      </c>
      <c r="E1267" s="2">
        <v>23486</v>
      </c>
      <c r="F1267" s="3">
        <v>3.7</v>
      </c>
      <c r="G1267" s="3">
        <v>8780</v>
      </c>
      <c r="H1267" s="3">
        <v>79.8</v>
      </c>
      <c r="I1267" s="3">
        <v>10.8</v>
      </c>
      <c r="J1267" s="3">
        <v>8.8000000000000007</v>
      </c>
      <c r="K1267" s="3">
        <v>0.6</v>
      </c>
      <c r="L1267" s="3">
        <v>12.1</v>
      </c>
      <c r="M1267" t="str">
        <f>IF(acs2015_county_data[[#This Row],[PublicWork]]&gt;='Описательные характеристики'!$F$5,"да","нет")</f>
        <v>нет</v>
      </c>
      <c r="N1267" t="str">
        <f>IF(acs2015_county_data[[#This Row],[Unemployment]]&gt;='Описательные характеристики'!$I$5,"да","нет")</f>
        <v>да</v>
      </c>
    </row>
    <row r="1268" spans="1:14" x14ac:dyDescent="0.35">
      <c r="A1268">
        <v>26071</v>
      </c>
      <c r="B1268" t="s">
        <v>854</v>
      </c>
      <c r="C1268" t="s">
        <v>881</v>
      </c>
      <c r="D1268" s="2">
        <v>11507</v>
      </c>
      <c r="E1268" s="2">
        <v>21725</v>
      </c>
      <c r="F1268" s="3">
        <v>3.7</v>
      </c>
      <c r="G1268" s="3">
        <v>4324</v>
      </c>
      <c r="H1268" s="3">
        <v>75.400000000000006</v>
      </c>
      <c r="I1268" s="3">
        <v>17.100000000000001</v>
      </c>
      <c r="J1268" s="3">
        <v>7.2</v>
      </c>
      <c r="K1268" s="3">
        <v>0.3</v>
      </c>
      <c r="L1268" s="3">
        <v>9</v>
      </c>
      <c r="M1268" t="str">
        <f>IF(acs2015_county_data[[#This Row],[PublicWork]]&gt;='Описательные характеристики'!$F$5,"да","нет")</f>
        <v>да</v>
      </c>
      <c r="N1268" t="str">
        <f>IF(acs2015_county_data[[#This Row],[Unemployment]]&gt;='Описательные характеристики'!$I$5,"да","нет")</f>
        <v>да</v>
      </c>
    </row>
    <row r="1269" spans="1:14" x14ac:dyDescent="0.35">
      <c r="A1269">
        <v>26073</v>
      </c>
      <c r="B1269" t="s">
        <v>854</v>
      </c>
      <c r="C1269" t="s">
        <v>882</v>
      </c>
      <c r="D1269" s="2">
        <v>70669</v>
      </c>
      <c r="E1269" s="2">
        <v>20518</v>
      </c>
      <c r="F1269" s="3">
        <v>4</v>
      </c>
      <c r="G1269" s="3">
        <v>33411</v>
      </c>
      <c r="H1269" s="3">
        <v>76.900000000000006</v>
      </c>
      <c r="I1269" s="3">
        <v>18.5</v>
      </c>
      <c r="J1269" s="3">
        <v>4.3</v>
      </c>
      <c r="K1269" s="3">
        <v>0.3</v>
      </c>
      <c r="L1269" s="3">
        <v>11.3</v>
      </c>
      <c r="M1269" t="str">
        <f>IF(acs2015_county_data[[#This Row],[PublicWork]]&gt;='Описательные характеристики'!$F$5,"да","нет")</f>
        <v>да</v>
      </c>
      <c r="N1269" t="str">
        <f>IF(acs2015_county_data[[#This Row],[Unemployment]]&gt;='Описательные характеристики'!$I$5,"да","нет")</f>
        <v>да</v>
      </c>
    </row>
    <row r="1270" spans="1:14" x14ac:dyDescent="0.35">
      <c r="A1270">
        <v>26075</v>
      </c>
      <c r="B1270" t="s">
        <v>854</v>
      </c>
      <c r="C1270" t="s">
        <v>49</v>
      </c>
      <c r="D1270" s="2">
        <v>159759</v>
      </c>
      <c r="E1270" s="2">
        <v>23377</v>
      </c>
      <c r="F1270" s="3">
        <v>3.2</v>
      </c>
      <c r="G1270" s="3">
        <v>65183</v>
      </c>
      <c r="H1270" s="3">
        <v>83.5</v>
      </c>
      <c r="I1270" s="3">
        <v>11</v>
      </c>
      <c r="J1270" s="3">
        <v>5.4</v>
      </c>
      <c r="K1270" s="3">
        <v>0.1</v>
      </c>
      <c r="L1270" s="3">
        <v>10.3</v>
      </c>
      <c r="M1270" t="str">
        <f>IF(acs2015_county_data[[#This Row],[PublicWork]]&gt;='Описательные характеристики'!$F$5,"да","нет")</f>
        <v>нет</v>
      </c>
      <c r="N1270" t="str">
        <f>IF(acs2015_county_data[[#This Row],[Unemployment]]&gt;='Описательные характеристики'!$I$5,"да","нет")</f>
        <v>да</v>
      </c>
    </row>
    <row r="1271" spans="1:14" x14ac:dyDescent="0.35">
      <c r="A1271">
        <v>26077</v>
      </c>
      <c r="B1271" t="s">
        <v>854</v>
      </c>
      <c r="C1271" t="s">
        <v>883</v>
      </c>
      <c r="D1271" s="2">
        <v>256752</v>
      </c>
      <c r="E1271" s="2">
        <v>26416</v>
      </c>
      <c r="F1271" s="3">
        <v>3.8</v>
      </c>
      <c r="G1271" s="3">
        <v>122809</v>
      </c>
      <c r="H1271" s="3">
        <v>82.7</v>
      </c>
      <c r="I1271" s="3">
        <v>11.5</v>
      </c>
      <c r="J1271" s="3">
        <v>5.7</v>
      </c>
      <c r="K1271" s="3">
        <v>0.1</v>
      </c>
      <c r="L1271" s="3">
        <v>9.1</v>
      </c>
      <c r="M1271" t="str">
        <f>IF(acs2015_county_data[[#This Row],[PublicWork]]&gt;='Описательные характеристики'!$F$5,"да","нет")</f>
        <v>нет</v>
      </c>
      <c r="N1271" t="str">
        <f>IF(acs2015_county_data[[#This Row],[Unemployment]]&gt;='Описательные характеристики'!$I$5,"да","нет")</f>
        <v>да</v>
      </c>
    </row>
    <row r="1272" spans="1:14" x14ac:dyDescent="0.35">
      <c r="A1272">
        <v>26079</v>
      </c>
      <c r="B1272" t="s">
        <v>854</v>
      </c>
      <c r="C1272" t="s">
        <v>884</v>
      </c>
      <c r="D1272" s="2">
        <v>17230</v>
      </c>
      <c r="E1272" s="2">
        <v>21320</v>
      </c>
      <c r="F1272" s="3">
        <v>3.5</v>
      </c>
      <c r="G1272" s="3">
        <v>6815</v>
      </c>
      <c r="H1272" s="3">
        <v>80.099999999999994</v>
      </c>
      <c r="I1272" s="3">
        <v>11.2</v>
      </c>
      <c r="J1272" s="3">
        <v>8.6</v>
      </c>
      <c r="K1272" s="3">
        <v>0.1</v>
      </c>
      <c r="L1272" s="3">
        <v>10.4</v>
      </c>
      <c r="M1272" t="str">
        <f>IF(acs2015_county_data[[#This Row],[PublicWork]]&gt;='Описательные характеристики'!$F$5,"да","нет")</f>
        <v>нет</v>
      </c>
      <c r="N1272" t="str">
        <f>IF(acs2015_county_data[[#This Row],[Unemployment]]&gt;='Описательные характеристики'!$I$5,"да","нет")</f>
        <v>да</v>
      </c>
    </row>
    <row r="1273" spans="1:14" x14ac:dyDescent="0.35">
      <c r="A1273">
        <v>26081</v>
      </c>
      <c r="B1273" t="s">
        <v>854</v>
      </c>
      <c r="C1273" t="s">
        <v>301</v>
      </c>
      <c r="D1273" s="2">
        <v>622590</v>
      </c>
      <c r="E1273" s="2">
        <v>27032</v>
      </c>
      <c r="F1273" s="3">
        <v>4.0999999999999996</v>
      </c>
      <c r="G1273" s="3">
        <v>305508</v>
      </c>
      <c r="H1273" s="3">
        <v>87.3</v>
      </c>
      <c r="I1273" s="3">
        <v>7.7</v>
      </c>
      <c r="J1273" s="3">
        <v>4.9000000000000004</v>
      </c>
      <c r="K1273" s="3">
        <v>0.1</v>
      </c>
      <c r="L1273" s="3">
        <v>7.7</v>
      </c>
      <c r="M1273" t="str">
        <f>IF(acs2015_county_data[[#This Row],[PublicWork]]&gt;='Описательные характеристики'!$F$5,"да","нет")</f>
        <v>нет</v>
      </c>
      <c r="N1273" t="str">
        <f>IF(acs2015_county_data[[#This Row],[Unemployment]]&gt;='Описательные характеристики'!$I$5,"да","нет")</f>
        <v>да</v>
      </c>
    </row>
    <row r="1274" spans="1:14" x14ac:dyDescent="0.35">
      <c r="A1274">
        <v>26083</v>
      </c>
      <c r="B1274" t="s">
        <v>854</v>
      </c>
      <c r="C1274" t="s">
        <v>1995</v>
      </c>
      <c r="D1274" s="2">
        <v>2198</v>
      </c>
      <c r="E1274" s="2">
        <v>24384</v>
      </c>
      <c r="F1274" s="3">
        <v>7.6</v>
      </c>
      <c r="G1274" s="3">
        <v>842</v>
      </c>
      <c r="H1274" s="3">
        <v>63.8</v>
      </c>
      <c r="I1274" s="3">
        <v>27.6</v>
      </c>
      <c r="J1274" s="3">
        <v>6.7</v>
      </c>
      <c r="K1274" s="3">
        <v>2</v>
      </c>
      <c r="L1274" s="3">
        <v>7</v>
      </c>
      <c r="M1274" t="str">
        <f>IF(acs2015_county_data[[#This Row],[PublicWork]]&gt;='Описательные характеристики'!$F$5,"да","нет")</f>
        <v>да</v>
      </c>
      <c r="N1274" t="str">
        <f>IF(acs2015_county_data[[#This Row],[Unemployment]]&gt;='Описательные характеристики'!$I$5,"да","нет")</f>
        <v>нет</v>
      </c>
    </row>
    <row r="1275" spans="1:14" x14ac:dyDescent="0.35">
      <c r="A1275">
        <v>26085</v>
      </c>
      <c r="B1275" t="s">
        <v>854</v>
      </c>
      <c r="C1275" t="s">
        <v>196</v>
      </c>
      <c r="D1275" s="2">
        <v>11426</v>
      </c>
      <c r="E1275" s="2">
        <v>16679</v>
      </c>
      <c r="F1275" s="3">
        <v>3.8</v>
      </c>
      <c r="G1275" s="3">
        <v>3297</v>
      </c>
      <c r="H1275" s="3">
        <v>77</v>
      </c>
      <c r="I1275" s="3">
        <v>15.2</v>
      </c>
      <c r="J1275" s="3">
        <v>7.4</v>
      </c>
      <c r="K1275" s="3">
        <v>0.5</v>
      </c>
      <c r="L1275" s="3">
        <v>13.2</v>
      </c>
      <c r="M1275" t="str">
        <f>IF(acs2015_county_data[[#This Row],[PublicWork]]&gt;='Описательные характеристики'!$F$5,"да","нет")</f>
        <v>нет</v>
      </c>
      <c r="N1275" t="str">
        <f>IF(acs2015_county_data[[#This Row],[Unemployment]]&gt;='Описательные характеристики'!$I$5,"да","нет")</f>
        <v>да</v>
      </c>
    </row>
    <row r="1276" spans="1:14" x14ac:dyDescent="0.35">
      <c r="A1276">
        <v>26087</v>
      </c>
      <c r="B1276" t="s">
        <v>854</v>
      </c>
      <c r="C1276" t="s">
        <v>885</v>
      </c>
      <c r="D1276" s="2">
        <v>88235</v>
      </c>
      <c r="E1276" s="2">
        <v>24478</v>
      </c>
      <c r="F1276" s="3">
        <v>3.5</v>
      </c>
      <c r="G1276" s="3">
        <v>37682</v>
      </c>
      <c r="H1276" s="3">
        <v>85</v>
      </c>
      <c r="I1276" s="3">
        <v>9.1</v>
      </c>
      <c r="J1276" s="3">
        <v>5.7</v>
      </c>
      <c r="K1276" s="3">
        <v>0.2</v>
      </c>
      <c r="L1276" s="3">
        <v>10.5</v>
      </c>
      <c r="M1276" t="str">
        <f>IF(acs2015_county_data[[#This Row],[PublicWork]]&gt;='Описательные характеристики'!$F$5,"да","нет")</f>
        <v>нет</v>
      </c>
      <c r="N1276" t="str">
        <f>IF(acs2015_county_data[[#This Row],[Unemployment]]&gt;='Описательные характеристики'!$I$5,"да","нет")</f>
        <v>да</v>
      </c>
    </row>
    <row r="1277" spans="1:14" x14ac:dyDescent="0.35">
      <c r="A1277">
        <v>26089</v>
      </c>
      <c r="B1277" t="s">
        <v>854</v>
      </c>
      <c r="C1277" t="s">
        <v>886</v>
      </c>
      <c r="D1277" s="2">
        <v>21772</v>
      </c>
      <c r="E1277" s="2">
        <v>34322</v>
      </c>
      <c r="F1277" s="3">
        <v>9.8000000000000007</v>
      </c>
      <c r="G1277" s="3">
        <v>9628</v>
      </c>
      <c r="H1277" s="3">
        <v>77.900000000000006</v>
      </c>
      <c r="I1277" s="3">
        <v>11.4</v>
      </c>
      <c r="J1277" s="3">
        <v>9.8000000000000007</v>
      </c>
      <c r="K1277" s="3">
        <v>0.9</v>
      </c>
      <c r="L1277" s="3">
        <v>7.1</v>
      </c>
      <c r="M1277" t="str">
        <f>IF(acs2015_county_data[[#This Row],[PublicWork]]&gt;='Описательные характеристики'!$F$5,"да","нет")</f>
        <v>нет</v>
      </c>
      <c r="N1277" t="str">
        <f>IF(acs2015_county_data[[#This Row],[Unemployment]]&gt;='Описательные характеристики'!$I$5,"да","нет")</f>
        <v>нет</v>
      </c>
    </row>
    <row r="1278" spans="1:14" x14ac:dyDescent="0.35">
      <c r="A1278">
        <v>26091</v>
      </c>
      <c r="B1278" t="s">
        <v>854</v>
      </c>
      <c r="C1278" t="s">
        <v>887</v>
      </c>
      <c r="D1278" s="2">
        <v>98902</v>
      </c>
      <c r="E1278" s="2">
        <v>23252</v>
      </c>
      <c r="F1278" s="3">
        <v>3</v>
      </c>
      <c r="G1278" s="3">
        <v>43095</v>
      </c>
      <c r="H1278" s="3">
        <v>82.3</v>
      </c>
      <c r="I1278" s="3">
        <v>12.2</v>
      </c>
      <c r="J1278" s="3">
        <v>5.4</v>
      </c>
      <c r="K1278" s="3">
        <v>0.1</v>
      </c>
      <c r="L1278" s="3">
        <v>8.6</v>
      </c>
      <c r="M1278" t="str">
        <f>IF(acs2015_county_data[[#This Row],[PublicWork]]&gt;='Описательные характеристики'!$F$5,"да","нет")</f>
        <v>нет</v>
      </c>
      <c r="N1278" t="str">
        <f>IF(acs2015_county_data[[#This Row],[Unemployment]]&gt;='Описательные характеристики'!$I$5,"да","нет")</f>
        <v>да</v>
      </c>
    </row>
    <row r="1279" spans="1:14" x14ac:dyDescent="0.35">
      <c r="A1279">
        <v>26093</v>
      </c>
      <c r="B1279" t="s">
        <v>854</v>
      </c>
      <c r="C1279" t="s">
        <v>531</v>
      </c>
      <c r="D1279" s="2">
        <v>184591</v>
      </c>
      <c r="E1279" s="2">
        <v>33619</v>
      </c>
      <c r="F1279" s="3">
        <v>4.5999999999999996</v>
      </c>
      <c r="G1279" s="3">
        <v>92068</v>
      </c>
      <c r="H1279" s="3">
        <v>83.8</v>
      </c>
      <c r="I1279" s="3">
        <v>10.5</v>
      </c>
      <c r="J1279" s="3">
        <v>5.6</v>
      </c>
      <c r="K1279" s="3">
        <v>0.2</v>
      </c>
      <c r="L1279" s="3">
        <v>5.9</v>
      </c>
      <c r="M1279" t="str">
        <f>IF(acs2015_county_data[[#This Row],[PublicWork]]&gt;='Описательные характеристики'!$F$5,"да","нет")</f>
        <v>нет</v>
      </c>
      <c r="N1279" t="str">
        <f>IF(acs2015_county_data[[#This Row],[Unemployment]]&gt;='Описательные характеристики'!$I$5,"да","нет")</f>
        <v>нет</v>
      </c>
    </row>
    <row r="1280" spans="1:14" x14ac:dyDescent="0.35">
      <c r="A1280">
        <v>26095</v>
      </c>
      <c r="B1280" t="s">
        <v>854</v>
      </c>
      <c r="C1280" t="s">
        <v>888</v>
      </c>
      <c r="D1280" s="2">
        <v>6477</v>
      </c>
      <c r="E1280" s="2">
        <v>18427</v>
      </c>
      <c r="F1280" s="3">
        <v>3.7</v>
      </c>
      <c r="G1280" s="3">
        <v>2103</v>
      </c>
      <c r="H1280" s="3">
        <v>71.599999999999994</v>
      </c>
      <c r="I1280" s="3">
        <v>23.8</v>
      </c>
      <c r="J1280" s="3">
        <v>4.3</v>
      </c>
      <c r="K1280" s="3">
        <v>0.3</v>
      </c>
      <c r="L1280" s="3">
        <v>11.6</v>
      </c>
      <c r="M1280" t="str">
        <f>IF(acs2015_county_data[[#This Row],[PublicWork]]&gt;='Описательные характеристики'!$F$5,"да","нет")</f>
        <v>да</v>
      </c>
      <c r="N1280" t="str">
        <f>IF(acs2015_county_data[[#This Row],[Unemployment]]&gt;='Описательные характеристики'!$I$5,"да","нет")</f>
        <v>да</v>
      </c>
    </row>
    <row r="1281" spans="1:14" x14ac:dyDescent="0.35">
      <c r="A1281">
        <v>26097</v>
      </c>
      <c r="B1281" t="s">
        <v>854</v>
      </c>
      <c r="C1281" t="s">
        <v>889</v>
      </c>
      <c r="D1281" s="2">
        <v>11044</v>
      </c>
      <c r="E1281" s="2">
        <v>23889</v>
      </c>
      <c r="F1281" s="3">
        <v>5.3</v>
      </c>
      <c r="G1281" s="3">
        <v>4470</v>
      </c>
      <c r="H1281" s="3">
        <v>68.900000000000006</v>
      </c>
      <c r="I1281" s="3">
        <v>22</v>
      </c>
      <c r="J1281" s="3">
        <v>8.9</v>
      </c>
      <c r="K1281" s="3">
        <v>0.2</v>
      </c>
      <c r="L1281" s="3">
        <v>12.5</v>
      </c>
      <c r="M1281" t="str">
        <f>IF(acs2015_county_data[[#This Row],[PublicWork]]&gt;='Описательные характеристики'!$F$5,"да","нет")</f>
        <v>да</v>
      </c>
      <c r="N1281" t="str">
        <f>IF(acs2015_county_data[[#This Row],[Unemployment]]&gt;='Описательные характеристики'!$I$5,"да","нет")</f>
        <v>да</v>
      </c>
    </row>
    <row r="1282" spans="1:14" x14ac:dyDescent="0.35">
      <c r="A1282">
        <v>26099</v>
      </c>
      <c r="B1282" t="s">
        <v>854</v>
      </c>
      <c r="C1282" t="s">
        <v>890</v>
      </c>
      <c r="D1282" s="2">
        <v>854689</v>
      </c>
      <c r="E1282" s="2">
        <v>27525</v>
      </c>
      <c r="F1282" s="3">
        <v>2.5</v>
      </c>
      <c r="G1282" s="3">
        <v>401146</v>
      </c>
      <c r="H1282" s="3">
        <v>86.5</v>
      </c>
      <c r="I1282" s="3">
        <v>9.6</v>
      </c>
      <c r="J1282" s="3">
        <v>3.8</v>
      </c>
      <c r="K1282" s="3">
        <v>0.1</v>
      </c>
      <c r="L1282" s="3">
        <v>9</v>
      </c>
      <c r="M1282" t="str">
        <f>IF(acs2015_county_data[[#This Row],[PublicWork]]&gt;='Описательные характеристики'!$F$5,"да","нет")</f>
        <v>нет</v>
      </c>
      <c r="N1282" t="str">
        <f>IF(acs2015_county_data[[#This Row],[Unemployment]]&gt;='Описательные характеристики'!$I$5,"да","нет")</f>
        <v>да</v>
      </c>
    </row>
    <row r="1283" spans="1:14" x14ac:dyDescent="0.35">
      <c r="A1283">
        <v>26101</v>
      </c>
      <c r="B1283" t="s">
        <v>854</v>
      </c>
      <c r="C1283" t="s">
        <v>891</v>
      </c>
      <c r="D1283" s="2">
        <v>24536</v>
      </c>
      <c r="E1283" s="2">
        <v>22647</v>
      </c>
      <c r="F1283" s="3">
        <v>4.9000000000000004</v>
      </c>
      <c r="G1283" s="3">
        <v>9010</v>
      </c>
      <c r="H1283" s="3">
        <v>75.3</v>
      </c>
      <c r="I1283" s="3">
        <v>16.2</v>
      </c>
      <c r="J1283" s="3">
        <v>8</v>
      </c>
      <c r="K1283" s="3">
        <v>0.5</v>
      </c>
      <c r="L1283" s="3">
        <v>11.5</v>
      </c>
      <c r="M1283" t="str">
        <f>IF(acs2015_county_data[[#This Row],[PublicWork]]&gt;='Описательные характеристики'!$F$5,"да","нет")</f>
        <v>да</v>
      </c>
      <c r="N1283" t="str">
        <f>IF(acs2015_county_data[[#This Row],[Unemployment]]&gt;='Описательные характеристики'!$I$5,"да","нет")</f>
        <v>да</v>
      </c>
    </row>
    <row r="1284" spans="1:14" x14ac:dyDescent="0.35">
      <c r="A1284">
        <v>26103</v>
      </c>
      <c r="B1284" t="s">
        <v>854</v>
      </c>
      <c r="C1284" t="s">
        <v>892</v>
      </c>
      <c r="D1284" s="2">
        <v>67582</v>
      </c>
      <c r="E1284" s="2">
        <v>23785</v>
      </c>
      <c r="F1284" s="3">
        <v>3.3</v>
      </c>
      <c r="G1284" s="3">
        <v>29522</v>
      </c>
      <c r="H1284" s="3">
        <v>80.5</v>
      </c>
      <c r="I1284" s="3">
        <v>14.6</v>
      </c>
      <c r="J1284" s="3">
        <v>4.7</v>
      </c>
      <c r="K1284" s="3">
        <v>0.1</v>
      </c>
      <c r="L1284" s="3">
        <v>8.1</v>
      </c>
      <c r="M1284" t="str">
        <f>IF(acs2015_county_data[[#This Row],[PublicWork]]&gt;='Описательные характеристики'!$F$5,"да","нет")</f>
        <v>нет</v>
      </c>
      <c r="N1284" t="str">
        <f>IF(acs2015_county_data[[#This Row],[Unemployment]]&gt;='Описательные характеристики'!$I$5,"да","нет")</f>
        <v>да</v>
      </c>
    </row>
    <row r="1285" spans="1:14" x14ac:dyDescent="0.35">
      <c r="A1285">
        <v>26105</v>
      </c>
      <c r="B1285" t="s">
        <v>854</v>
      </c>
      <c r="C1285" t="s">
        <v>536</v>
      </c>
      <c r="D1285" s="2">
        <v>28711</v>
      </c>
      <c r="E1285" s="2">
        <v>24244</v>
      </c>
      <c r="F1285" s="3">
        <v>5</v>
      </c>
      <c r="G1285" s="3">
        <v>12183</v>
      </c>
      <c r="H1285" s="3">
        <v>79.2</v>
      </c>
      <c r="I1285" s="3">
        <v>13.3</v>
      </c>
      <c r="J1285" s="3">
        <v>6.8</v>
      </c>
      <c r="K1285" s="3">
        <v>0.7</v>
      </c>
      <c r="L1285" s="3">
        <v>10.7</v>
      </c>
      <c r="M1285" t="str">
        <f>IF(acs2015_county_data[[#This Row],[PublicWork]]&gt;='Описательные характеристики'!$F$5,"да","нет")</f>
        <v>нет</v>
      </c>
      <c r="N1285" t="str">
        <f>IF(acs2015_county_data[[#This Row],[Unemployment]]&gt;='Описательные характеристики'!$I$5,"да","нет")</f>
        <v>да</v>
      </c>
    </row>
    <row r="1286" spans="1:14" x14ac:dyDescent="0.35">
      <c r="A1286">
        <v>26107</v>
      </c>
      <c r="B1286" t="s">
        <v>854</v>
      </c>
      <c r="C1286" t="s">
        <v>893</v>
      </c>
      <c r="D1286" s="2">
        <v>43301</v>
      </c>
      <c r="E1286" s="2">
        <v>20405</v>
      </c>
      <c r="F1286" s="3">
        <v>4.3</v>
      </c>
      <c r="G1286" s="3">
        <v>17639</v>
      </c>
      <c r="H1286" s="3">
        <v>79.599999999999994</v>
      </c>
      <c r="I1286" s="3">
        <v>13.8</v>
      </c>
      <c r="J1286" s="3">
        <v>6.3</v>
      </c>
      <c r="K1286" s="3">
        <v>0.4</v>
      </c>
      <c r="L1286" s="3">
        <v>12.2</v>
      </c>
      <c r="M1286" t="str">
        <f>IF(acs2015_county_data[[#This Row],[PublicWork]]&gt;='Описательные характеристики'!$F$5,"да","нет")</f>
        <v>нет</v>
      </c>
      <c r="N1286" t="str">
        <f>IF(acs2015_county_data[[#This Row],[Unemployment]]&gt;='Описательные характеристики'!$I$5,"да","нет")</f>
        <v>да</v>
      </c>
    </row>
    <row r="1287" spans="1:14" x14ac:dyDescent="0.35">
      <c r="A1287">
        <v>26109</v>
      </c>
      <c r="B1287" t="s">
        <v>854</v>
      </c>
      <c r="C1287" t="s">
        <v>894</v>
      </c>
      <c r="D1287" s="2">
        <v>23717</v>
      </c>
      <c r="E1287" s="2">
        <v>23233</v>
      </c>
      <c r="F1287" s="3">
        <v>4.4000000000000004</v>
      </c>
      <c r="G1287" s="3">
        <v>10346</v>
      </c>
      <c r="H1287" s="3">
        <v>80.7</v>
      </c>
      <c r="I1287" s="3">
        <v>11.9</v>
      </c>
      <c r="J1287" s="3">
        <v>7.1</v>
      </c>
      <c r="K1287" s="3">
        <v>0.3</v>
      </c>
      <c r="L1287" s="3">
        <v>8.5</v>
      </c>
      <c r="M1287" t="str">
        <f>IF(acs2015_county_data[[#This Row],[PublicWork]]&gt;='Описательные характеристики'!$F$5,"да","нет")</f>
        <v>нет</v>
      </c>
      <c r="N1287" t="str">
        <f>IF(acs2015_county_data[[#This Row],[Unemployment]]&gt;='Описательные характеристики'!$I$5,"да","нет")</f>
        <v>да</v>
      </c>
    </row>
    <row r="1288" spans="1:14" x14ac:dyDescent="0.35">
      <c r="A1288">
        <v>26111</v>
      </c>
      <c r="B1288" t="s">
        <v>854</v>
      </c>
      <c r="C1288" t="s">
        <v>895</v>
      </c>
      <c r="D1288" s="2">
        <v>83624</v>
      </c>
      <c r="E1288" s="2">
        <v>30172</v>
      </c>
      <c r="F1288" s="3">
        <v>3.3</v>
      </c>
      <c r="G1288" s="3">
        <v>37406</v>
      </c>
      <c r="H1288" s="3">
        <v>84.5</v>
      </c>
      <c r="I1288" s="3">
        <v>9.6999999999999993</v>
      </c>
      <c r="J1288" s="3">
        <v>5.7</v>
      </c>
      <c r="K1288" s="3">
        <v>0.2</v>
      </c>
      <c r="L1288" s="3">
        <v>8.5</v>
      </c>
      <c r="M1288" t="str">
        <f>IF(acs2015_county_data[[#This Row],[PublicWork]]&gt;='Описательные характеристики'!$F$5,"да","нет")</f>
        <v>нет</v>
      </c>
      <c r="N1288" t="str">
        <f>IF(acs2015_county_data[[#This Row],[Unemployment]]&gt;='Описательные характеристики'!$I$5,"да","нет")</f>
        <v>да</v>
      </c>
    </row>
    <row r="1289" spans="1:14" x14ac:dyDescent="0.35">
      <c r="A1289">
        <v>26113</v>
      </c>
      <c r="B1289" t="s">
        <v>854</v>
      </c>
      <c r="C1289" t="s">
        <v>896</v>
      </c>
      <c r="D1289" s="2">
        <v>14988</v>
      </c>
      <c r="E1289" s="2">
        <v>20530</v>
      </c>
      <c r="F1289" s="3">
        <v>4.9000000000000004</v>
      </c>
      <c r="G1289" s="3">
        <v>6096</v>
      </c>
      <c r="H1289" s="3">
        <v>79.900000000000006</v>
      </c>
      <c r="I1289" s="3">
        <v>10</v>
      </c>
      <c r="J1289" s="3">
        <v>9.6</v>
      </c>
      <c r="K1289" s="3">
        <v>0.5</v>
      </c>
      <c r="L1289" s="3">
        <v>11</v>
      </c>
      <c r="M1289" t="str">
        <f>IF(acs2015_county_data[[#This Row],[PublicWork]]&gt;='Описательные характеристики'!$F$5,"да","нет")</f>
        <v>нет</v>
      </c>
      <c r="N1289" t="str">
        <f>IF(acs2015_county_data[[#This Row],[Unemployment]]&gt;='Описательные характеристики'!$I$5,"да","нет")</f>
        <v>да</v>
      </c>
    </row>
    <row r="1290" spans="1:14" x14ac:dyDescent="0.35">
      <c r="A1290">
        <v>26115</v>
      </c>
      <c r="B1290" t="s">
        <v>854</v>
      </c>
      <c r="C1290" t="s">
        <v>62</v>
      </c>
      <c r="D1290" s="2">
        <v>150436</v>
      </c>
      <c r="E1290" s="2">
        <v>26982</v>
      </c>
      <c r="F1290" s="3">
        <v>3</v>
      </c>
      <c r="G1290" s="3">
        <v>68024</v>
      </c>
      <c r="H1290" s="3">
        <v>85.8</v>
      </c>
      <c r="I1290" s="3">
        <v>9.4</v>
      </c>
      <c r="J1290" s="3">
        <v>4.7</v>
      </c>
      <c r="K1290" s="3">
        <v>0.1</v>
      </c>
      <c r="L1290" s="3">
        <v>8.3000000000000007</v>
      </c>
      <c r="M1290" t="str">
        <f>IF(acs2015_county_data[[#This Row],[PublicWork]]&gt;='Описательные характеристики'!$F$5,"да","нет")</f>
        <v>нет</v>
      </c>
      <c r="N1290" t="str">
        <f>IF(acs2015_county_data[[#This Row],[Unemployment]]&gt;='Описательные характеристики'!$I$5,"да","нет")</f>
        <v>да</v>
      </c>
    </row>
    <row r="1291" spans="1:14" x14ac:dyDescent="0.35">
      <c r="A1291">
        <v>26117</v>
      </c>
      <c r="B1291" t="s">
        <v>854</v>
      </c>
      <c r="C1291" t="s">
        <v>897</v>
      </c>
      <c r="D1291" s="2">
        <v>63004</v>
      </c>
      <c r="E1291" s="2">
        <v>19955</v>
      </c>
      <c r="F1291" s="3">
        <v>3</v>
      </c>
      <c r="G1291" s="3">
        <v>24588</v>
      </c>
      <c r="H1291" s="3">
        <v>82.5</v>
      </c>
      <c r="I1291" s="3">
        <v>11.6</v>
      </c>
      <c r="J1291" s="3">
        <v>5.6</v>
      </c>
      <c r="K1291" s="3">
        <v>0.3</v>
      </c>
      <c r="L1291" s="3">
        <v>11.2</v>
      </c>
      <c r="M1291" t="str">
        <f>IF(acs2015_county_data[[#This Row],[PublicWork]]&gt;='Описательные характеристики'!$F$5,"да","нет")</f>
        <v>нет</v>
      </c>
      <c r="N1291" t="str">
        <f>IF(acs2015_county_data[[#This Row],[Unemployment]]&gt;='Описательные характеристики'!$I$5,"да","нет")</f>
        <v>да</v>
      </c>
    </row>
    <row r="1292" spans="1:14" x14ac:dyDescent="0.35">
      <c r="A1292">
        <v>26119</v>
      </c>
      <c r="B1292" t="s">
        <v>854</v>
      </c>
      <c r="C1292" t="s">
        <v>898</v>
      </c>
      <c r="D1292" s="2">
        <v>9401</v>
      </c>
      <c r="E1292" s="2">
        <v>20771</v>
      </c>
      <c r="F1292" s="3">
        <v>6</v>
      </c>
      <c r="G1292" s="3">
        <v>2937</v>
      </c>
      <c r="H1292" s="3">
        <v>77.3</v>
      </c>
      <c r="I1292" s="3">
        <v>13.8</v>
      </c>
      <c r="J1292" s="3">
        <v>8.6999999999999993</v>
      </c>
      <c r="K1292" s="3">
        <v>0.2</v>
      </c>
      <c r="L1292" s="3">
        <v>16</v>
      </c>
      <c r="M1292" t="str">
        <f>IF(acs2015_county_data[[#This Row],[PublicWork]]&gt;='Описательные характеристики'!$F$5,"да","нет")</f>
        <v>нет</v>
      </c>
      <c r="N1292" t="str">
        <f>IF(acs2015_county_data[[#This Row],[Unemployment]]&gt;='Описательные характеристики'!$I$5,"да","нет")</f>
        <v>да</v>
      </c>
    </row>
    <row r="1293" spans="1:14" x14ac:dyDescent="0.35">
      <c r="A1293">
        <v>26121</v>
      </c>
      <c r="B1293" t="s">
        <v>854</v>
      </c>
      <c r="C1293" t="s">
        <v>899</v>
      </c>
      <c r="D1293" s="2">
        <v>171483</v>
      </c>
      <c r="E1293" s="2">
        <v>21291</v>
      </c>
      <c r="F1293" s="3">
        <v>3</v>
      </c>
      <c r="G1293" s="3">
        <v>69673</v>
      </c>
      <c r="H1293" s="3">
        <v>84.2</v>
      </c>
      <c r="I1293" s="3">
        <v>11</v>
      </c>
      <c r="J1293" s="3">
        <v>4.7</v>
      </c>
      <c r="K1293" s="3">
        <v>0.1</v>
      </c>
      <c r="L1293" s="3">
        <v>11.9</v>
      </c>
      <c r="M1293" t="str">
        <f>IF(acs2015_county_data[[#This Row],[PublicWork]]&gt;='Описательные характеристики'!$F$5,"да","нет")</f>
        <v>нет</v>
      </c>
      <c r="N1293" t="str">
        <f>IF(acs2015_county_data[[#This Row],[Unemployment]]&gt;='Описательные характеристики'!$I$5,"да","нет")</f>
        <v>да</v>
      </c>
    </row>
    <row r="1294" spans="1:14" x14ac:dyDescent="0.35">
      <c r="A1294">
        <v>26123</v>
      </c>
      <c r="B1294" t="s">
        <v>854</v>
      </c>
      <c r="C1294" t="s">
        <v>900</v>
      </c>
      <c r="D1294" s="2">
        <v>48029</v>
      </c>
      <c r="E1294" s="2">
        <v>21230</v>
      </c>
      <c r="F1294" s="3">
        <v>3.4</v>
      </c>
      <c r="G1294" s="3">
        <v>18619</v>
      </c>
      <c r="H1294" s="3">
        <v>81.7</v>
      </c>
      <c r="I1294" s="3">
        <v>11.3</v>
      </c>
      <c r="J1294" s="3">
        <v>6.6</v>
      </c>
      <c r="K1294" s="3">
        <v>0.3</v>
      </c>
      <c r="L1294" s="3">
        <v>10.1</v>
      </c>
      <c r="M1294" t="str">
        <f>IF(acs2015_county_data[[#This Row],[PublicWork]]&gt;='Описательные характеристики'!$F$5,"да","нет")</f>
        <v>нет</v>
      </c>
      <c r="N1294" t="str">
        <f>IF(acs2015_county_data[[#This Row],[Unemployment]]&gt;='Описательные характеристики'!$I$5,"да","нет")</f>
        <v>да</v>
      </c>
    </row>
    <row r="1295" spans="1:14" x14ac:dyDescent="0.35">
      <c r="A1295">
        <v>26125</v>
      </c>
      <c r="B1295" t="s">
        <v>854</v>
      </c>
      <c r="C1295" t="s">
        <v>901</v>
      </c>
      <c r="D1295" s="2">
        <v>1229503</v>
      </c>
      <c r="E1295" s="2">
        <v>37728</v>
      </c>
      <c r="F1295" s="3">
        <v>4.2</v>
      </c>
      <c r="G1295" s="3">
        <v>606484</v>
      </c>
      <c r="H1295" s="3">
        <v>86.1</v>
      </c>
      <c r="I1295" s="3">
        <v>8.8000000000000007</v>
      </c>
      <c r="J1295" s="3">
        <v>5</v>
      </c>
      <c r="K1295" s="3">
        <v>0.2</v>
      </c>
      <c r="L1295" s="3">
        <v>7.5</v>
      </c>
      <c r="M1295" t="str">
        <f>IF(acs2015_county_data[[#This Row],[PublicWork]]&gt;='Описательные характеристики'!$F$5,"да","нет")</f>
        <v>нет</v>
      </c>
      <c r="N1295" t="str">
        <f>IF(acs2015_county_data[[#This Row],[Unemployment]]&gt;='Описательные характеристики'!$I$5,"да","нет")</f>
        <v>нет</v>
      </c>
    </row>
    <row r="1296" spans="1:14" x14ac:dyDescent="0.35">
      <c r="A1296">
        <v>26127</v>
      </c>
      <c r="B1296" t="s">
        <v>854</v>
      </c>
      <c r="C1296" t="s">
        <v>902</v>
      </c>
      <c r="D1296" s="2">
        <v>26229</v>
      </c>
      <c r="E1296" s="2">
        <v>20234</v>
      </c>
      <c r="F1296" s="3">
        <v>6.7</v>
      </c>
      <c r="G1296" s="3">
        <v>10360</v>
      </c>
      <c r="H1296" s="3">
        <v>78.3</v>
      </c>
      <c r="I1296" s="3">
        <v>13.2</v>
      </c>
      <c r="J1296" s="3">
        <v>8.1999999999999993</v>
      </c>
      <c r="K1296" s="3">
        <v>0.3</v>
      </c>
      <c r="L1296" s="3">
        <v>8.6999999999999993</v>
      </c>
      <c r="M1296" t="str">
        <f>IF(acs2015_county_data[[#This Row],[PublicWork]]&gt;='Описательные характеристики'!$F$5,"да","нет")</f>
        <v>нет</v>
      </c>
      <c r="N1296" t="str">
        <f>IF(acs2015_county_data[[#This Row],[Unemployment]]&gt;='Описательные характеристики'!$I$5,"да","нет")</f>
        <v>да</v>
      </c>
    </row>
    <row r="1297" spans="1:14" x14ac:dyDescent="0.35">
      <c r="A1297">
        <v>26129</v>
      </c>
      <c r="B1297" t="s">
        <v>854</v>
      </c>
      <c r="C1297" t="s">
        <v>903</v>
      </c>
      <c r="D1297" s="2">
        <v>21222</v>
      </c>
      <c r="E1297" s="2">
        <v>20972</v>
      </c>
      <c r="F1297" s="3">
        <v>3.4</v>
      </c>
      <c r="G1297" s="3">
        <v>7661</v>
      </c>
      <c r="H1297" s="3">
        <v>79.3</v>
      </c>
      <c r="I1297" s="3">
        <v>11.9</v>
      </c>
      <c r="J1297" s="3">
        <v>8.6999999999999993</v>
      </c>
      <c r="K1297" s="3">
        <v>0.1</v>
      </c>
      <c r="L1297" s="3">
        <v>12.4</v>
      </c>
      <c r="M1297" t="str">
        <f>IF(acs2015_county_data[[#This Row],[PublicWork]]&gt;='Описательные характеристики'!$F$5,"да","нет")</f>
        <v>нет</v>
      </c>
      <c r="N1297" t="str">
        <f>IF(acs2015_county_data[[#This Row],[Unemployment]]&gt;='Описательные характеристики'!$I$5,"да","нет")</f>
        <v>да</v>
      </c>
    </row>
    <row r="1298" spans="1:14" x14ac:dyDescent="0.35">
      <c r="A1298">
        <v>26131</v>
      </c>
      <c r="B1298" t="s">
        <v>854</v>
      </c>
      <c r="C1298" t="s">
        <v>904</v>
      </c>
      <c r="D1298" s="2">
        <v>6298</v>
      </c>
      <c r="E1298" s="2">
        <v>21896</v>
      </c>
      <c r="F1298" s="3">
        <v>4.8</v>
      </c>
      <c r="G1298" s="3">
        <v>2048</v>
      </c>
      <c r="H1298" s="3">
        <v>66.8</v>
      </c>
      <c r="I1298" s="3">
        <v>23.6</v>
      </c>
      <c r="J1298" s="3">
        <v>9.1</v>
      </c>
      <c r="K1298" s="3">
        <v>0.5</v>
      </c>
      <c r="L1298" s="3">
        <v>13.7</v>
      </c>
      <c r="M1298" t="str">
        <f>IF(acs2015_county_data[[#This Row],[PublicWork]]&gt;='Описательные характеристики'!$F$5,"да","нет")</f>
        <v>да</v>
      </c>
      <c r="N1298" t="str">
        <f>IF(acs2015_county_data[[#This Row],[Unemployment]]&gt;='Описательные характеристики'!$I$5,"да","нет")</f>
        <v>да</v>
      </c>
    </row>
    <row r="1299" spans="1:14" x14ac:dyDescent="0.35">
      <c r="A1299">
        <v>26133</v>
      </c>
      <c r="B1299" t="s">
        <v>854</v>
      </c>
      <c r="C1299" t="s">
        <v>339</v>
      </c>
      <c r="D1299" s="2">
        <v>23234</v>
      </c>
      <c r="E1299" s="2">
        <v>19205</v>
      </c>
      <c r="F1299" s="3">
        <v>4.7</v>
      </c>
      <c r="G1299" s="3">
        <v>8807</v>
      </c>
      <c r="H1299" s="3">
        <v>79.5</v>
      </c>
      <c r="I1299" s="3">
        <v>11.7</v>
      </c>
      <c r="J1299" s="3">
        <v>8.5</v>
      </c>
      <c r="K1299" s="3">
        <v>0.4</v>
      </c>
      <c r="L1299" s="3">
        <v>10.3</v>
      </c>
      <c r="M1299" t="str">
        <f>IF(acs2015_county_data[[#This Row],[PublicWork]]&gt;='Описательные характеристики'!$F$5,"да","нет")</f>
        <v>нет</v>
      </c>
      <c r="N1299" t="str">
        <f>IF(acs2015_county_data[[#This Row],[Unemployment]]&gt;='Описательные характеристики'!$I$5,"да","нет")</f>
        <v>да</v>
      </c>
    </row>
    <row r="1300" spans="1:14" x14ac:dyDescent="0.35">
      <c r="A1300">
        <v>26135</v>
      </c>
      <c r="B1300" t="s">
        <v>854</v>
      </c>
      <c r="C1300" t="s">
        <v>905</v>
      </c>
      <c r="D1300" s="2">
        <v>8444</v>
      </c>
      <c r="E1300" s="2">
        <v>19520</v>
      </c>
      <c r="F1300" s="3">
        <v>6.9</v>
      </c>
      <c r="G1300" s="3">
        <v>2792</v>
      </c>
      <c r="H1300" s="3">
        <v>73.2</v>
      </c>
      <c r="I1300" s="3">
        <v>16</v>
      </c>
      <c r="J1300" s="3">
        <v>10.199999999999999</v>
      </c>
      <c r="K1300" s="3">
        <v>0.6</v>
      </c>
      <c r="L1300" s="3">
        <v>13.2</v>
      </c>
      <c r="M1300" t="str">
        <f>IF(acs2015_county_data[[#This Row],[PublicWork]]&gt;='Описательные характеристики'!$F$5,"да","нет")</f>
        <v>нет</v>
      </c>
      <c r="N1300" t="str">
        <f>IF(acs2015_county_data[[#This Row],[Unemployment]]&gt;='Описательные характеристики'!$I$5,"да","нет")</f>
        <v>да</v>
      </c>
    </row>
    <row r="1301" spans="1:14" x14ac:dyDescent="0.35">
      <c r="A1301">
        <v>26137</v>
      </c>
      <c r="B1301" t="s">
        <v>854</v>
      </c>
      <c r="C1301" t="s">
        <v>906</v>
      </c>
      <c r="D1301" s="2">
        <v>24141</v>
      </c>
      <c r="E1301" s="2">
        <v>25743</v>
      </c>
      <c r="F1301" s="3">
        <v>2.8</v>
      </c>
      <c r="G1301" s="3">
        <v>10733</v>
      </c>
      <c r="H1301" s="3">
        <v>82.2</v>
      </c>
      <c r="I1301" s="3">
        <v>12.2</v>
      </c>
      <c r="J1301" s="3">
        <v>5.3</v>
      </c>
      <c r="K1301" s="3">
        <v>0.3</v>
      </c>
      <c r="L1301" s="3">
        <v>8.1999999999999993</v>
      </c>
      <c r="M1301" t="str">
        <f>IF(acs2015_county_data[[#This Row],[PublicWork]]&gt;='Описательные характеристики'!$F$5,"да","нет")</f>
        <v>нет</v>
      </c>
      <c r="N1301" t="str">
        <f>IF(acs2015_county_data[[#This Row],[Unemployment]]&gt;='Описательные характеристики'!$I$5,"да","нет")</f>
        <v>да</v>
      </c>
    </row>
    <row r="1302" spans="1:14" x14ac:dyDescent="0.35">
      <c r="A1302">
        <v>26139</v>
      </c>
      <c r="B1302" t="s">
        <v>854</v>
      </c>
      <c r="C1302" t="s">
        <v>684</v>
      </c>
      <c r="D1302" s="2">
        <v>273136</v>
      </c>
      <c r="E1302" s="2">
        <v>26519</v>
      </c>
      <c r="F1302" s="3">
        <v>3.3</v>
      </c>
      <c r="G1302" s="3">
        <v>135496</v>
      </c>
      <c r="H1302" s="3">
        <v>85.8</v>
      </c>
      <c r="I1302" s="3">
        <v>9.1</v>
      </c>
      <c r="J1302" s="3">
        <v>4.9000000000000004</v>
      </c>
      <c r="K1302" s="3">
        <v>0.1</v>
      </c>
      <c r="L1302" s="3">
        <v>6.1</v>
      </c>
      <c r="M1302" t="str">
        <f>IF(acs2015_county_data[[#This Row],[PublicWork]]&gt;='Описательные характеристики'!$F$5,"да","нет")</f>
        <v>нет</v>
      </c>
      <c r="N1302" t="str">
        <f>IF(acs2015_county_data[[#This Row],[Unemployment]]&gt;='Описательные характеристики'!$I$5,"да","нет")</f>
        <v>нет</v>
      </c>
    </row>
    <row r="1303" spans="1:14" x14ac:dyDescent="0.35">
      <c r="A1303">
        <v>26141</v>
      </c>
      <c r="B1303" t="s">
        <v>854</v>
      </c>
      <c r="C1303" t="s">
        <v>907</v>
      </c>
      <c r="D1303" s="2">
        <v>13037</v>
      </c>
      <c r="E1303" s="2">
        <v>23550</v>
      </c>
      <c r="F1303" s="3">
        <v>4.5</v>
      </c>
      <c r="G1303" s="3">
        <v>4490</v>
      </c>
      <c r="H1303" s="3">
        <v>76.8</v>
      </c>
      <c r="I1303" s="3">
        <v>15.8</v>
      </c>
      <c r="J1303" s="3">
        <v>6.9</v>
      </c>
      <c r="K1303" s="3">
        <v>0.5</v>
      </c>
      <c r="L1303" s="3">
        <v>13.1</v>
      </c>
      <c r="M1303" t="str">
        <f>IF(acs2015_county_data[[#This Row],[PublicWork]]&gt;='Описательные характеристики'!$F$5,"да","нет")</f>
        <v>нет</v>
      </c>
      <c r="N1303" t="str">
        <f>IF(acs2015_county_data[[#This Row],[Unemployment]]&gt;='Описательные характеристики'!$I$5,"да","нет")</f>
        <v>да</v>
      </c>
    </row>
    <row r="1304" spans="1:14" x14ac:dyDescent="0.35">
      <c r="A1304">
        <v>26143</v>
      </c>
      <c r="B1304" t="s">
        <v>854</v>
      </c>
      <c r="C1304" t="s">
        <v>908</v>
      </c>
      <c r="D1304" s="2">
        <v>24068</v>
      </c>
      <c r="E1304" s="2">
        <v>22513</v>
      </c>
      <c r="F1304" s="3">
        <v>3.8</v>
      </c>
      <c r="G1304" s="3">
        <v>7563</v>
      </c>
      <c r="H1304" s="3">
        <v>79.5</v>
      </c>
      <c r="I1304" s="3">
        <v>13.9</v>
      </c>
      <c r="J1304" s="3">
        <v>6</v>
      </c>
      <c r="K1304" s="3">
        <v>0.6</v>
      </c>
      <c r="L1304" s="3">
        <v>14.2</v>
      </c>
      <c r="M1304" t="str">
        <f>IF(acs2015_county_data[[#This Row],[PublicWork]]&gt;='Описательные характеристики'!$F$5,"да","нет")</f>
        <v>нет</v>
      </c>
      <c r="N1304" t="str">
        <f>IF(acs2015_county_data[[#This Row],[Unemployment]]&gt;='Описательные характеристики'!$I$5,"да","нет")</f>
        <v>да</v>
      </c>
    </row>
    <row r="1305" spans="1:14" x14ac:dyDescent="0.35">
      <c r="A1305">
        <v>26145</v>
      </c>
      <c r="B1305" t="s">
        <v>854</v>
      </c>
      <c r="C1305" t="s">
        <v>909</v>
      </c>
      <c r="D1305" s="2">
        <v>196479</v>
      </c>
      <c r="E1305" s="2">
        <v>23139</v>
      </c>
      <c r="F1305" s="3">
        <v>3.5</v>
      </c>
      <c r="G1305" s="3">
        <v>81106</v>
      </c>
      <c r="H1305" s="3">
        <v>84.3</v>
      </c>
      <c r="I1305" s="3">
        <v>11.1</v>
      </c>
      <c r="J1305" s="3">
        <v>4.4000000000000004</v>
      </c>
      <c r="K1305" s="3">
        <v>0.2</v>
      </c>
      <c r="L1305" s="3">
        <v>11.1</v>
      </c>
      <c r="M1305" t="str">
        <f>IF(acs2015_county_data[[#This Row],[PublicWork]]&gt;='Описательные характеристики'!$F$5,"да","нет")</f>
        <v>нет</v>
      </c>
      <c r="N1305" t="str">
        <f>IF(acs2015_county_data[[#This Row],[Unemployment]]&gt;='Описательные характеристики'!$I$5,"да","нет")</f>
        <v>да</v>
      </c>
    </row>
    <row r="1306" spans="1:14" x14ac:dyDescent="0.35">
      <c r="A1306">
        <v>26147</v>
      </c>
      <c r="B1306" t="s">
        <v>854</v>
      </c>
      <c r="C1306" t="s">
        <v>69</v>
      </c>
      <c r="D1306" s="2">
        <v>160429</v>
      </c>
      <c r="E1306" s="2">
        <v>25429</v>
      </c>
      <c r="F1306" s="3">
        <v>2.8</v>
      </c>
      <c r="G1306" s="3">
        <v>69940</v>
      </c>
      <c r="H1306" s="3">
        <v>83.5</v>
      </c>
      <c r="I1306" s="3">
        <v>11.2</v>
      </c>
      <c r="J1306" s="3">
        <v>5.0999999999999996</v>
      </c>
      <c r="K1306" s="3">
        <v>0.1</v>
      </c>
      <c r="L1306" s="3">
        <v>10.4</v>
      </c>
      <c r="M1306" t="str">
        <f>IF(acs2015_county_data[[#This Row],[PublicWork]]&gt;='Описательные характеристики'!$F$5,"да","нет")</f>
        <v>нет</v>
      </c>
      <c r="N1306" t="str">
        <f>IF(acs2015_county_data[[#This Row],[Unemployment]]&gt;='Описательные характеристики'!$I$5,"да","нет")</f>
        <v>да</v>
      </c>
    </row>
    <row r="1307" spans="1:14" x14ac:dyDescent="0.35">
      <c r="A1307">
        <v>26149</v>
      </c>
      <c r="B1307" t="s">
        <v>854</v>
      </c>
      <c r="C1307" t="s">
        <v>585</v>
      </c>
      <c r="D1307" s="2">
        <v>61022</v>
      </c>
      <c r="E1307" s="2">
        <v>21559</v>
      </c>
      <c r="F1307" s="3">
        <v>3.1</v>
      </c>
      <c r="G1307" s="3">
        <v>26332</v>
      </c>
      <c r="H1307" s="3">
        <v>85.3</v>
      </c>
      <c r="I1307" s="3">
        <v>9.1</v>
      </c>
      <c r="J1307" s="3">
        <v>5.4</v>
      </c>
      <c r="K1307" s="3">
        <v>0.2</v>
      </c>
      <c r="L1307" s="3">
        <v>8.6</v>
      </c>
      <c r="M1307" t="str">
        <f>IF(acs2015_county_data[[#This Row],[PublicWork]]&gt;='Описательные характеристики'!$F$5,"да","нет")</f>
        <v>нет</v>
      </c>
      <c r="N1307" t="str">
        <f>IF(acs2015_county_data[[#This Row],[Unemployment]]&gt;='Описательные характеристики'!$I$5,"да","нет")</f>
        <v>да</v>
      </c>
    </row>
    <row r="1308" spans="1:14" x14ac:dyDescent="0.35">
      <c r="A1308">
        <v>26151</v>
      </c>
      <c r="B1308" t="s">
        <v>854</v>
      </c>
      <c r="C1308" t="s">
        <v>910</v>
      </c>
      <c r="D1308" s="2">
        <v>42014</v>
      </c>
      <c r="E1308" s="2">
        <v>21374</v>
      </c>
      <c r="F1308" s="3">
        <v>7.2</v>
      </c>
      <c r="G1308" s="3">
        <v>17147</v>
      </c>
      <c r="H1308" s="3">
        <v>79.8</v>
      </c>
      <c r="I1308" s="3">
        <v>10.3</v>
      </c>
      <c r="J1308" s="3">
        <v>9.1999999999999993</v>
      </c>
      <c r="K1308" s="3">
        <v>0.8</v>
      </c>
      <c r="L1308" s="3">
        <v>10.7</v>
      </c>
      <c r="M1308" t="str">
        <f>IF(acs2015_county_data[[#This Row],[PublicWork]]&gt;='Описательные характеристики'!$F$5,"да","нет")</f>
        <v>нет</v>
      </c>
      <c r="N1308" t="str">
        <f>IF(acs2015_county_data[[#This Row],[Unemployment]]&gt;='Описательные характеристики'!$I$5,"да","нет")</f>
        <v>да</v>
      </c>
    </row>
    <row r="1309" spans="1:14" x14ac:dyDescent="0.35">
      <c r="A1309">
        <v>26153</v>
      </c>
      <c r="B1309" t="s">
        <v>854</v>
      </c>
      <c r="C1309" t="s">
        <v>911</v>
      </c>
      <c r="D1309" s="2">
        <v>8288</v>
      </c>
      <c r="E1309" s="2">
        <v>20580</v>
      </c>
      <c r="F1309" s="3">
        <v>4.7</v>
      </c>
      <c r="G1309" s="3">
        <v>2803</v>
      </c>
      <c r="H1309" s="3">
        <v>76.7</v>
      </c>
      <c r="I1309" s="3">
        <v>18.100000000000001</v>
      </c>
      <c r="J1309" s="3">
        <v>5.0999999999999996</v>
      </c>
      <c r="K1309" s="3">
        <v>0.1</v>
      </c>
      <c r="L1309" s="3">
        <v>15.6</v>
      </c>
      <c r="M1309" t="str">
        <f>IF(acs2015_county_data[[#This Row],[PublicWork]]&gt;='Описательные характеристики'!$F$5,"да","нет")</f>
        <v>да</v>
      </c>
      <c r="N1309" t="str">
        <f>IF(acs2015_county_data[[#This Row],[Unemployment]]&gt;='Описательные характеристики'!$I$5,"да","нет")</f>
        <v>да</v>
      </c>
    </row>
    <row r="1310" spans="1:14" x14ac:dyDescent="0.35">
      <c r="A1310">
        <v>26155</v>
      </c>
      <c r="B1310" t="s">
        <v>854</v>
      </c>
      <c r="C1310" t="s">
        <v>912</v>
      </c>
      <c r="D1310" s="2">
        <v>69113</v>
      </c>
      <c r="E1310" s="2">
        <v>23582</v>
      </c>
      <c r="F1310" s="3">
        <v>4</v>
      </c>
      <c r="G1310" s="3">
        <v>29702</v>
      </c>
      <c r="H1310" s="3">
        <v>80.400000000000006</v>
      </c>
      <c r="I1310" s="3">
        <v>12.4</v>
      </c>
      <c r="J1310" s="3">
        <v>7</v>
      </c>
      <c r="K1310" s="3">
        <v>0.2</v>
      </c>
      <c r="L1310" s="3">
        <v>10.3</v>
      </c>
      <c r="M1310" t="str">
        <f>IF(acs2015_county_data[[#This Row],[PublicWork]]&gt;='Описательные характеристики'!$F$5,"да","нет")</f>
        <v>нет</v>
      </c>
      <c r="N1310" t="str">
        <f>IF(acs2015_county_data[[#This Row],[Unemployment]]&gt;='Описательные характеристики'!$I$5,"да","нет")</f>
        <v>да</v>
      </c>
    </row>
    <row r="1311" spans="1:14" x14ac:dyDescent="0.35">
      <c r="A1311">
        <v>26157</v>
      </c>
      <c r="B1311" t="s">
        <v>854</v>
      </c>
      <c r="C1311" t="s">
        <v>913</v>
      </c>
      <c r="D1311" s="2">
        <v>54420</v>
      </c>
      <c r="E1311" s="2">
        <v>21904</v>
      </c>
      <c r="F1311" s="3">
        <v>3.6</v>
      </c>
      <c r="G1311" s="3">
        <v>23074</v>
      </c>
      <c r="H1311" s="3">
        <v>81.099999999999994</v>
      </c>
      <c r="I1311" s="3">
        <v>12</v>
      </c>
      <c r="J1311" s="3">
        <v>6.6</v>
      </c>
      <c r="K1311" s="3">
        <v>0.2</v>
      </c>
      <c r="L1311" s="3">
        <v>9.3000000000000007</v>
      </c>
      <c r="M1311" t="str">
        <f>IF(acs2015_county_data[[#This Row],[PublicWork]]&gt;='Описательные характеристики'!$F$5,"да","нет")</f>
        <v>нет</v>
      </c>
      <c r="N1311" t="str">
        <f>IF(acs2015_county_data[[#This Row],[Unemployment]]&gt;='Описательные характеристики'!$I$5,"да","нет")</f>
        <v>да</v>
      </c>
    </row>
    <row r="1312" spans="1:14" x14ac:dyDescent="0.35">
      <c r="A1312">
        <v>26159</v>
      </c>
      <c r="B1312" t="s">
        <v>854</v>
      </c>
      <c r="C1312" t="s">
        <v>176</v>
      </c>
      <c r="D1312" s="2">
        <v>75351</v>
      </c>
      <c r="E1312" s="2">
        <v>22358</v>
      </c>
      <c r="F1312" s="3">
        <v>3.9</v>
      </c>
      <c r="G1312" s="3">
        <v>32252</v>
      </c>
      <c r="H1312" s="3">
        <v>80.599999999999994</v>
      </c>
      <c r="I1312" s="3">
        <v>12.4</v>
      </c>
      <c r="J1312" s="3">
        <v>6.8</v>
      </c>
      <c r="K1312" s="3">
        <v>0.2</v>
      </c>
      <c r="L1312" s="3">
        <v>8.4</v>
      </c>
      <c r="M1312" t="str">
        <f>IF(acs2015_county_data[[#This Row],[PublicWork]]&gt;='Описательные характеристики'!$F$5,"да","нет")</f>
        <v>нет</v>
      </c>
      <c r="N1312" t="str">
        <f>IF(acs2015_county_data[[#This Row],[Unemployment]]&gt;='Описательные характеристики'!$I$5,"да","нет")</f>
        <v>да</v>
      </c>
    </row>
    <row r="1313" spans="1:14" x14ac:dyDescent="0.35">
      <c r="A1313">
        <v>26161</v>
      </c>
      <c r="B1313" t="s">
        <v>854</v>
      </c>
      <c r="C1313" t="s">
        <v>914</v>
      </c>
      <c r="D1313" s="2">
        <v>354092</v>
      </c>
      <c r="E1313" s="2">
        <v>34738</v>
      </c>
      <c r="F1313" s="3">
        <v>5.6</v>
      </c>
      <c r="G1313" s="3">
        <v>176383</v>
      </c>
      <c r="H1313" s="3">
        <v>76.400000000000006</v>
      </c>
      <c r="I1313" s="3">
        <v>18.600000000000001</v>
      </c>
      <c r="J1313" s="3">
        <v>4.7</v>
      </c>
      <c r="K1313" s="3">
        <v>0.2</v>
      </c>
      <c r="L1313" s="3">
        <v>7.4</v>
      </c>
      <c r="M1313" t="str">
        <f>IF(acs2015_county_data[[#This Row],[PublicWork]]&gt;='Описательные характеристики'!$F$5,"да","нет")</f>
        <v>да</v>
      </c>
      <c r="N1313" t="str">
        <f>IF(acs2015_county_data[[#This Row],[Unemployment]]&gt;='Описательные характеристики'!$I$5,"да","нет")</f>
        <v>нет</v>
      </c>
    </row>
    <row r="1314" spans="1:14" x14ac:dyDescent="0.35">
      <c r="A1314">
        <v>26163</v>
      </c>
      <c r="B1314" t="s">
        <v>854</v>
      </c>
      <c r="C1314" t="s">
        <v>457</v>
      </c>
      <c r="D1314" s="2">
        <v>1778969</v>
      </c>
      <c r="E1314" s="2">
        <v>22897</v>
      </c>
      <c r="F1314" s="3">
        <v>2.8</v>
      </c>
      <c r="G1314" s="3">
        <v>696900</v>
      </c>
      <c r="H1314" s="3">
        <v>86.1</v>
      </c>
      <c r="I1314" s="3">
        <v>10</v>
      </c>
      <c r="J1314" s="3">
        <v>3.8</v>
      </c>
      <c r="K1314" s="3">
        <v>0.1</v>
      </c>
      <c r="L1314" s="3">
        <v>14.9</v>
      </c>
      <c r="M1314" t="str">
        <f>IF(acs2015_county_data[[#This Row],[PublicWork]]&gt;='Описательные характеристики'!$F$5,"да","нет")</f>
        <v>нет</v>
      </c>
      <c r="N1314" t="str">
        <f>IF(acs2015_county_data[[#This Row],[Unemployment]]&gt;='Описательные характеристики'!$I$5,"да","нет")</f>
        <v>да</v>
      </c>
    </row>
    <row r="1315" spans="1:14" x14ac:dyDescent="0.35">
      <c r="A1315">
        <v>26165</v>
      </c>
      <c r="B1315" t="s">
        <v>854</v>
      </c>
      <c r="C1315" t="s">
        <v>915</v>
      </c>
      <c r="D1315" s="2">
        <v>32751</v>
      </c>
      <c r="E1315" s="2">
        <v>20988</v>
      </c>
      <c r="F1315" s="3">
        <v>4.0999999999999996</v>
      </c>
      <c r="G1315" s="3">
        <v>13441</v>
      </c>
      <c r="H1315" s="3">
        <v>81.900000000000006</v>
      </c>
      <c r="I1315" s="3">
        <v>11</v>
      </c>
      <c r="J1315" s="3">
        <v>6.9</v>
      </c>
      <c r="K1315" s="3">
        <v>0.2</v>
      </c>
      <c r="L1315" s="3">
        <v>9.5</v>
      </c>
      <c r="M1315" t="str">
        <f>IF(acs2015_county_data[[#This Row],[PublicWork]]&gt;='Описательные характеристики'!$F$5,"да","нет")</f>
        <v>нет</v>
      </c>
      <c r="N1315" t="str">
        <f>IF(acs2015_county_data[[#This Row],[Unemployment]]&gt;='Описательные характеристики'!$I$5,"да","нет")</f>
        <v>да</v>
      </c>
    </row>
    <row r="1316" spans="1:14" x14ac:dyDescent="0.35">
      <c r="A1316">
        <v>27001</v>
      </c>
      <c r="B1316" t="s">
        <v>916</v>
      </c>
      <c r="C1316" t="s">
        <v>917</v>
      </c>
      <c r="D1316" s="2">
        <v>15839</v>
      </c>
      <c r="E1316" s="2">
        <v>25591</v>
      </c>
      <c r="F1316" s="3">
        <v>5.2</v>
      </c>
      <c r="G1316" s="3">
        <v>6428</v>
      </c>
      <c r="H1316" s="3">
        <v>75.400000000000006</v>
      </c>
      <c r="I1316" s="3">
        <v>15.2</v>
      </c>
      <c r="J1316" s="3">
        <v>9.1999999999999993</v>
      </c>
      <c r="K1316" s="3">
        <v>0.2</v>
      </c>
      <c r="L1316" s="3">
        <v>7.3</v>
      </c>
      <c r="M1316" t="str">
        <f>IF(acs2015_county_data[[#This Row],[PublicWork]]&gt;='Описательные характеристики'!$F$5,"да","нет")</f>
        <v>нет</v>
      </c>
      <c r="N1316" t="str">
        <f>IF(acs2015_county_data[[#This Row],[Unemployment]]&gt;='Описательные характеристики'!$I$5,"да","нет")</f>
        <v>нет</v>
      </c>
    </row>
    <row r="1317" spans="1:14" x14ac:dyDescent="0.35">
      <c r="A1317">
        <v>27003</v>
      </c>
      <c r="B1317" t="s">
        <v>916</v>
      </c>
      <c r="C1317" t="s">
        <v>918</v>
      </c>
      <c r="D1317" s="2">
        <v>338764</v>
      </c>
      <c r="E1317" s="2">
        <v>31775</v>
      </c>
      <c r="F1317" s="3">
        <v>4</v>
      </c>
      <c r="G1317" s="3">
        <v>181190</v>
      </c>
      <c r="H1317" s="3">
        <v>84.7</v>
      </c>
      <c r="I1317" s="3">
        <v>11</v>
      </c>
      <c r="J1317" s="3">
        <v>4.2</v>
      </c>
      <c r="K1317" s="3">
        <v>0.1</v>
      </c>
      <c r="L1317" s="3">
        <v>6.2</v>
      </c>
      <c r="M1317" t="str">
        <f>IF(acs2015_county_data[[#This Row],[PublicWork]]&gt;='Описательные характеристики'!$F$5,"да","нет")</f>
        <v>нет</v>
      </c>
      <c r="N1317" t="str">
        <f>IF(acs2015_county_data[[#This Row],[Unemployment]]&gt;='Описательные характеристики'!$I$5,"да","нет")</f>
        <v>нет</v>
      </c>
    </row>
    <row r="1318" spans="1:14" x14ac:dyDescent="0.35">
      <c r="A1318">
        <v>27005</v>
      </c>
      <c r="B1318" t="s">
        <v>916</v>
      </c>
      <c r="C1318" t="s">
        <v>919</v>
      </c>
      <c r="D1318" s="2">
        <v>33138</v>
      </c>
      <c r="E1318" s="2">
        <v>26399</v>
      </c>
      <c r="F1318" s="3">
        <v>6.6</v>
      </c>
      <c r="G1318" s="3">
        <v>15929</v>
      </c>
      <c r="H1318" s="3">
        <v>74.3</v>
      </c>
      <c r="I1318" s="3">
        <v>16.399999999999999</v>
      </c>
      <c r="J1318" s="3">
        <v>9</v>
      </c>
      <c r="K1318" s="3">
        <v>0.3</v>
      </c>
      <c r="L1318" s="3">
        <v>3.5</v>
      </c>
      <c r="M1318" t="str">
        <f>IF(acs2015_county_data[[#This Row],[PublicWork]]&gt;='Описательные характеристики'!$F$5,"да","нет")</f>
        <v>да</v>
      </c>
      <c r="N1318" t="str">
        <f>IF(acs2015_county_data[[#This Row],[Unemployment]]&gt;='Описательные характеристики'!$I$5,"да","нет")</f>
        <v>нет</v>
      </c>
    </row>
    <row r="1319" spans="1:14" x14ac:dyDescent="0.35">
      <c r="A1319">
        <v>27007</v>
      </c>
      <c r="B1319" t="s">
        <v>916</v>
      </c>
      <c r="C1319" t="s">
        <v>920</v>
      </c>
      <c r="D1319" s="2">
        <v>45434</v>
      </c>
      <c r="E1319" s="2">
        <v>22524</v>
      </c>
      <c r="F1319" s="3">
        <v>6.5</v>
      </c>
      <c r="G1319" s="3">
        <v>20579</v>
      </c>
      <c r="H1319" s="3">
        <v>66.8</v>
      </c>
      <c r="I1319" s="3">
        <v>26.9</v>
      </c>
      <c r="J1319" s="3">
        <v>6.2</v>
      </c>
      <c r="K1319" s="3">
        <v>0.1</v>
      </c>
      <c r="L1319" s="3">
        <v>10.6</v>
      </c>
      <c r="M1319" t="str">
        <f>IF(acs2015_county_data[[#This Row],[PublicWork]]&gt;='Описательные характеристики'!$F$5,"да","нет")</f>
        <v>да</v>
      </c>
      <c r="N1319" t="str">
        <f>IF(acs2015_county_data[[#This Row],[Unemployment]]&gt;='Описательные характеристики'!$I$5,"да","нет")</f>
        <v>да</v>
      </c>
    </row>
    <row r="1320" spans="1:14" x14ac:dyDescent="0.35">
      <c r="A1320">
        <v>27009</v>
      </c>
      <c r="B1320" t="s">
        <v>916</v>
      </c>
      <c r="C1320" t="s">
        <v>127</v>
      </c>
      <c r="D1320" s="2">
        <v>39221</v>
      </c>
      <c r="E1320" s="2">
        <v>25341</v>
      </c>
      <c r="F1320" s="3">
        <v>4.9000000000000004</v>
      </c>
      <c r="G1320" s="3">
        <v>20104</v>
      </c>
      <c r="H1320" s="3">
        <v>82.9</v>
      </c>
      <c r="I1320" s="3">
        <v>11.2</v>
      </c>
      <c r="J1320" s="3">
        <v>5.7</v>
      </c>
      <c r="K1320" s="3">
        <v>0.2</v>
      </c>
      <c r="L1320" s="3">
        <v>6.7</v>
      </c>
      <c r="M1320" t="str">
        <f>IF(acs2015_county_data[[#This Row],[PublicWork]]&gt;='Описательные характеристики'!$F$5,"да","нет")</f>
        <v>нет</v>
      </c>
      <c r="N1320" t="str">
        <f>IF(acs2015_county_data[[#This Row],[Unemployment]]&gt;='Описательные характеристики'!$I$5,"да","нет")</f>
        <v>нет</v>
      </c>
    </row>
    <row r="1321" spans="1:14" x14ac:dyDescent="0.35">
      <c r="A1321">
        <v>27011</v>
      </c>
      <c r="B1321" t="s">
        <v>916</v>
      </c>
      <c r="C1321" t="s">
        <v>921</v>
      </c>
      <c r="D1321" s="2">
        <v>5134</v>
      </c>
      <c r="E1321" s="2">
        <v>27426</v>
      </c>
      <c r="F1321" s="3">
        <v>8.1999999999999993</v>
      </c>
      <c r="G1321" s="3">
        <v>2406</v>
      </c>
      <c r="H1321" s="3">
        <v>67.900000000000006</v>
      </c>
      <c r="I1321" s="3">
        <v>18.3</v>
      </c>
      <c r="J1321" s="3">
        <v>13.5</v>
      </c>
      <c r="K1321" s="3">
        <v>0.2</v>
      </c>
      <c r="L1321" s="3">
        <v>3.3</v>
      </c>
      <c r="M1321" t="str">
        <f>IF(acs2015_county_data[[#This Row],[PublicWork]]&gt;='Описательные характеристики'!$F$5,"да","нет")</f>
        <v>да</v>
      </c>
      <c r="N1321" t="str">
        <f>IF(acs2015_county_data[[#This Row],[Unemployment]]&gt;='Описательные характеристики'!$I$5,"да","нет")</f>
        <v>нет</v>
      </c>
    </row>
    <row r="1322" spans="1:14" x14ac:dyDescent="0.35">
      <c r="A1322">
        <v>27013</v>
      </c>
      <c r="B1322" t="s">
        <v>916</v>
      </c>
      <c r="C1322" t="s">
        <v>922</v>
      </c>
      <c r="D1322" s="2">
        <v>65125</v>
      </c>
      <c r="E1322" s="2">
        <v>26440</v>
      </c>
      <c r="F1322" s="3">
        <v>4.5</v>
      </c>
      <c r="G1322" s="3">
        <v>36492</v>
      </c>
      <c r="H1322" s="3">
        <v>81</v>
      </c>
      <c r="I1322" s="3">
        <v>13.8</v>
      </c>
      <c r="J1322" s="3">
        <v>5.0999999999999996</v>
      </c>
      <c r="K1322" s="3">
        <v>0.1</v>
      </c>
      <c r="L1322" s="3">
        <v>4.9000000000000004</v>
      </c>
      <c r="M1322" t="str">
        <f>IF(acs2015_county_data[[#This Row],[PublicWork]]&gt;='Описательные характеристики'!$F$5,"да","нет")</f>
        <v>нет</v>
      </c>
      <c r="N1322" t="str">
        <f>IF(acs2015_county_data[[#This Row],[Unemployment]]&gt;='Описательные характеристики'!$I$5,"да","нет")</f>
        <v>нет</v>
      </c>
    </row>
    <row r="1323" spans="1:14" x14ac:dyDescent="0.35">
      <c r="A1323">
        <v>27015</v>
      </c>
      <c r="B1323" t="s">
        <v>916</v>
      </c>
      <c r="C1323" t="s">
        <v>506</v>
      </c>
      <c r="D1323" s="2">
        <v>25391</v>
      </c>
      <c r="E1323" s="2">
        <v>28018</v>
      </c>
      <c r="F1323" s="3">
        <v>7.3</v>
      </c>
      <c r="G1323" s="3">
        <v>13583</v>
      </c>
      <c r="H1323" s="3">
        <v>81.099999999999994</v>
      </c>
      <c r="I1323" s="3">
        <v>9.9</v>
      </c>
      <c r="J1323" s="3">
        <v>8.8000000000000007</v>
      </c>
      <c r="K1323" s="3">
        <v>0.2</v>
      </c>
      <c r="L1323" s="3">
        <v>3.2</v>
      </c>
      <c r="M1323" t="str">
        <f>IF(acs2015_county_data[[#This Row],[PublicWork]]&gt;='Описательные характеристики'!$F$5,"да","нет")</f>
        <v>нет</v>
      </c>
      <c r="N1323" t="str">
        <f>IF(acs2015_county_data[[#This Row],[Unemployment]]&gt;='Описательные характеристики'!$I$5,"да","нет")</f>
        <v>нет</v>
      </c>
    </row>
    <row r="1324" spans="1:14" x14ac:dyDescent="0.35">
      <c r="A1324">
        <v>27017</v>
      </c>
      <c r="B1324" t="s">
        <v>916</v>
      </c>
      <c r="C1324" t="s">
        <v>923</v>
      </c>
      <c r="D1324" s="2">
        <v>35443</v>
      </c>
      <c r="E1324" s="2">
        <v>24584</v>
      </c>
      <c r="F1324" s="3">
        <v>4.7</v>
      </c>
      <c r="G1324" s="3">
        <v>16478</v>
      </c>
      <c r="H1324" s="3">
        <v>72.8</v>
      </c>
      <c r="I1324" s="3">
        <v>20.399999999999999</v>
      </c>
      <c r="J1324" s="3">
        <v>6.4</v>
      </c>
      <c r="K1324" s="3">
        <v>0.3</v>
      </c>
      <c r="L1324" s="3">
        <v>5.4</v>
      </c>
      <c r="M1324" t="str">
        <f>IF(acs2015_county_data[[#This Row],[PublicWork]]&gt;='Описательные характеристики'!$F$5,"да","нет")</f>
        <v>да</v>
      </c>
      <c r="N1324" t="str">
        <f>IF(acs2015_county_data[[#This Row],[Unemployment]]&gt;='Описательные характеристики'!$I$5,"да","нет")</f>
        <v>нет</v>
      </c>
    </row>
    <row r="1325" spans="1:14" x14ac:dyDescent="0.35">
      <c r="A1325">
        <v>27019</v>
      </c>
      <c r="B1325" t="s">
        <v>916</v>
      </c>
      <c r="C1325" t="s">
        <v>924</v>
      </c>
      <c r="D1325" s="2">
        <v>95715</v>
      </c>
      <c r="E1325" s="2">
        <v>40322</v>
      </c>
      <c r="F1325" s="3">
        <v>6.9</v>
      </c>
      <c r="G1325" s="3">
        <v>52573</v>
      </c>
      <c r="H1325" s="3">
        <v>84.7</v>
      </c>
      <c r="I1325" s="3">
        <v>9.6</v>
      </c>
      <c r="J1325" s="3">
        <v>5.5</v>
      </c>
      <c r="K1325" s="3">
        <v>0.2</v>
      </c>
      <c r="L1325" s="3">
        <v>3.8</v>
      </c>
      <c r="M1325" t="str">
        <f>IF(acs2015_county_data[[#This Row],[PublicWork]]&gt;='Описательные характеристики'!$F$5,"да","нет")</f>
        <v>нет</v>
      </c>
      <c r="N1325" t="str">
        <f>IF(acs2015_county_data[[#This Row],[Unemployment]]&gt;='Описательные характеристики'!$I$5,"да","нет")</f>
        <v>нет</v>
      </c>
    </row>
    <row r="1326" spans="1:14" x14ac:dyDescent="0.35">
      <c r="A1326">
        <v>27021</v>
      </c>
      <c r="B1326" t="s">
        <v>916</v>
      </c>
      <c r="C1326" t="s">
        <v>508</v>
      </c>
      <c r="D1326" s="2">
        <v>28519</v>
      </c>
      <c r="E1326" s="2">
        <v>25720</v>
      </c>
      <c r="F1326" s="3">
        <v>7.9</v>
      </c>
      <c r="G1326" s="3">
        <v>12165</v>
      </c>
      <c r="H1326" s="3">
        <v>71.400000000000006</v>
      </c>
      <c r="I1326" s="3">
        <v>17.899999999999999</v>
      </c>
      <c r="J1326" s="3">
        <v>10.4</v>
      </c>
      <c r="K1326" s="3">
        <v>0.3</v>
      </c>
      <c r="L1326" s="3">
        <v>7.4</v>
      </c>
      <c r="M1326" t="str">
        <f>IF(acs2015_county_data[[#This Row],[PublicWork]]&gt;='Описательные характеристики'!$F$5,"да","нет")</f>
        <v>да</v>
      </c>
      <c r="N1326" t="str">
        <f>IF(acs2015_county_data[[#This Row],[Unemployment]]&gt;='Описательные характеристики'!$I$5,"да","нет")</f>
        <v>нет</v>
      </c>
    </row>
    <row r="1327" spans="1:14" x14ac:dyDescent="0.35">
      <c r="A1327">
        <v>27023</v>
      </c>
      <c r="B1327" t="s">
        <v>916</v>
      </c>
      <c r="C1327" t="s">
        <v>867</v>
      </c>
      <c r="D1327" s="2">
        <v>12154</v>
      </c>
      <c r="E1327" s="2">
        <v>26372</v>
      </c>
      <c r="F1327" s="3">
        <v>5.9</v>
      </c>
      <c r="G1327" s="3">
        <v>6367</v>
      </c>
      <c r="H1327" s="3">
        <v>76.5</v>
      </c>
      <c r="I1327" s="3">
        <v>14.8</v>
      </c>
      <c r="J1327" s="3">
        <v>8.5</v>
      </c>
      <c r="K1327" s="3">
        <v>0.3</v>
      </c>
      <c r="L1327" s="3">
        <v>2.6</v>
      </c>
      <c r="M1327" t="str">
        <f>IF(acs2015_county_data[[#This Row],[PublicWork]]&gt;='Описательные характеристики'!$F$5,"да","нет")</f>
        <v>нет</v>
      </c>
      <c r="N1327" t="str">
        <f>IF(acs2015_county_data[[#This Row],[Unemployment]]&gt;='Описательные характеристики'!$I$5,"да","нет")</f>
        <v>нет</v>
      </c>
    </row>
    <row r="1328" spans="1:14" x14ac:dyDescent="0.35">
      <c r="A1328">
        <v>27025</v>
      </c>
      <c r="B1328" t="s">
        <v>916</v>
      </c>
      <c r="C1328" t="s">
        <v>925</v>
      </c>
      <c r="D1328" s="2">
        <v>53834</v>
      </c>
      <c r="E1328" s="2">
        <v>29553</v>
      </c>
      <c r="F1328" s="3">
        <v>4.4000000000000004</v>
      </c>
      <c r="G1328" s="3">
        <v>27553</v>
      </c>
      <c r="H1328" s="3">
        <v>81.400000000000006</v>
      </c>
      <c r="I1328" s="3">
        <v>13.3</v>
      </c>
      <c r="J1328" s="3">
        <v>5.2</v>
      </c>
      <c r="K1328" s="3">
        <v>0.2</v>
      </c>
      <c r="L1328" s="3">
        <v>5.5</v>
      </c>
      <c r="M1328" t="str">
        <f>IF(acs2015_county_data[[#This Row],[PublicWork]]&gt;='Описательные характеристики'!$F$5,"да","нет")</f>
        <v>нет</v>
      </c>
      <c r="N1328" t="str">
        <f>IF(acs2015_county_data[[#This Row],[Unemployment]]&gt;='Описательные характеристики'!$I$5,"да","нет")</f>
        <v>нет</v>
      </c>
    </row>
    <row r="1329" spans="1:14" x14ac:dyDescent="0.35">
      <c r="A1329">
        <v>27027</v>
      </c>
      <c r="B1329" t="s">
        <v>916</v>
      </c>
      <c r="C1329" t="s">
        <v>28</v>
      </c>
      <c r="D1329" s="2">
        <v>60879</v>
      </c>
      <c r="E1329" s="2">
        <v>25896</v>
      </c>
      <c r="F1329" s="3">
        <v>5.2</v>
      </c>
      <c r="G1329" s="3">
        <v>33104</v>
      </c>
      <c r="H1329" s="3">
        <v>80.599999999999994</v>
      </c>
      <c r="I1329" s="3">
        <v>13.6</v>
      </c>
      <c r="J1329" s="3">
        <v>5.7</v>
      </c>
      <c r="K1329" s="3">
        <v>0.1</v>
      </c>
      <c r="L1329" s="3">
        <v>4.3</v>
      </c>
      <c r="M1329" t="str">
        <f>IF(acs2015_county_data[[#This Row],[PublicWork]]&gt;='Описательные характеристики'!$F$5,"да","нет")</f>
        <v>нет</v>
      </c>
      <c r="N1329" t="str">
        <f>IF(acs2015_county_data[[#This Row],[Unemployment]]&gt;='Описательные характеристики'!$I$5,"да","нет")</f>
        <v>нет</v>
      </c>
    </row>
    <row r="1330" spans="1:14" x14ac:dyDescent="0.35">
      <c r="A1330">
        <v>27029</v>
      </c>
      <c r="B1330" t="s">
        <v>916</v>
      </c>
      <c r="C1330" t="s">
        <v>484</v>
      </c>
      <c r="D1330" s="2">
        <v>8752</v>
      </c>
      <c r="E1330" s="2">
        <v>23391</v>
      </c>
      <c r="F1330" s="3">
        <v>5.8</v>
      </c>
      <c r="G1330" s="3">
        <v>3634</v>
      </c>
      <c r="H1330" s="3">
        <v>70.3</v>
      </c>
      <c r="I1330" s="3">
        <v>20.100000000000001</v>
      </c>
      <c r="J1330" s="3">
        <v>9.1999999999999993</v>
      </c>
      <c r="K1330" s="3">
        <v>0.4</v>
      </c>
      <c r="L1330" s="3">
        <v>7.4</v>
      </c>
      <c r="M1330" t="str">
        <f>IF(acs2015_county_data[[#This Row],[PublicWork]]&gt;='Описательные характеристики'!$F$5,"да","нет")</f>
        <v>да</v>
      </c>
      <c r="N1330" t="str">
        <f>IF(acs2015_county_data[[#This Row],[Unemployment]]&gt;='Описательные характеристики'!$I$5,"да","нет")</f>
        <v>нет</v>
      </c>
    </row>
    <row r="1331" spans="1:14" x14ac:dyDescent="0.35">
      <c r="A1331">
        <v>27031</v>
      </c>
      <c r="B1331" t="s">
        <v>916</v>
      </c>
      <c r="C1331" t="s">
        <v>381</v>
      </c>
      <c r="D1331" s="2">
        <v>5194</v>
      </c>
      <c r="E1331" s="2">
        <v>33056</v>
      </c>
      <c r="F1331" s="3">
        <v>8.5</v>
      </c>
      <c r="G1331" s="3">
        <v>2788</v>
      </c>
      <c r="H1331" s="3">
        <v>61.9</v>
      </c>
      <c r="I1331" s="3">
        <v>26.4</v>
      </c>
      <c r="J1331" s="3">
        <v>11</v>
      </c>
      <c r="K1331" s="3">
        <v>0.6</v>
      </c>
      <c r="L1331" s="3">
        <v>4</v>
      </c>
      <c r="M1331" t="str">
        <f>IF(acs2015_county_data[[#This Row],[PublicWork]]&gt;='Описательные характеристики'!$F$5,"да","нет")</f>
        <v>да</v>
      </c>
      <c r="N1331" t="str">
        <f>IF(acs2015_county_data[[#This Row],[Unemployment]]&gt;='Описательные характеристики'!$I$5,"да","нет")</f>
        <v>нет</v>
      </c>
    </row>
    <row r="1332" spans="1:14" x14ac:dyDescent="0.35">
      <c r="A1332">
        <v>27033</v>
      </c>
      <c r="B1332" t="s">
        <v>916</v>
      </c>
      <c r="C1332" t="s">
        <v>926</v>
      </c>
      <c r="D1332" s="2">
        <v>11632</v>
      </c>
      <c r="E1332" s="2">
        <v>24978</v>
      </c>
      <c r="F1332" s="3">
        <v>7.4</v>
      </c>
      <c r="G1332" s="3">
        <v>5408</v>
      </c>
      <c r="H1332" s="3">
        <v>75.099999999999994</v>
      </c>
      <c r="I1332" s="3">
        <v>13.3</v>
      </c>
      <c r="J1332" s="3">
        <v>11.3</v>
      </c>
      <c r="K1332" s="3">
        <v>0.3</v>
      </c>
      <c r="L1332" s="3">
        <v>4.9000000000000004</v>
      </c>
      <c r="M1332" t="str">
        <f>IF(acs2015_county_data[[#This Row],[PublicWork]]&gt;='Описательные характеристики'!$F$5,"да","нет")</f>
        <v>нет</v>
      </c>
      <c r="N1332" t="str">
        <f>IF(acs2015_county_data[[#This Row],[Unemployment]]&gt;='Описательные характеристики'!$I$5,"да","нет")</f>
        <v>нет</v>
      </c>
    </row>
    <row r="1333" spans="1:14" x14ac:dyDescent="0.35">
      <c r="A1333">
        <v>27035</v>
      </c>
      <c r="B1333" t="s">
        <v>916</v>
      </c>
      <c r="C1333" t="s">
        <v>927</v>
      </c>
      <c r="D1333" s="2">
        <v>63048</v>
      </c>
      <c r="E1333" s="2">
        <v>27936</v>
      </c>
      <c r="F1333" s="3">
        <v>5.8</v>
      </c>
      <c r="G1333" s="3">
        <v>29263</v>
      </c>
      <c r="H1333" s="3">
        <v>81.099999999999994</v>
      </c>
      <c r="I1333" s="3">
        <v>11.3</v>
      </c>
      <c r="J1333" s="3">
        <v>7.4</v>
      </c>
      <c r="K1333" s="3">
        <v>0.2</v>
      </c>
      <c r="L1333" s="3">
        <v>5.7</v>
      </c>
      <c r="M1333" t="str">
        <f>IF(acs2015_county_data[[#This Row],[PublicWork]]&gt;='Описательные характеристики'!$F$5,"да","нет")</f>
        <v>нет</v>
      </c>
      <c r="N1333" t="str">
        <f>IF(acs2015_county_data[[#This Row],[Unemployment]]&gt;='Описательные характеристики'!$I$5,"да","нет")</f>
        <v>нет</v>
      </c>
    </row>
    <row r="1334" spans="1:14" x14ac:dyDescent="0.35">
      <c r="A1334">
        <v>27037</v>
      </c>
      <c r="B1334" t="s">
        <v>916</v>
      </c>
      <c r="C1334" t="s">
        <v>928</v>
      </c>
      <c r="D1334" s="2">
        <v>408456</v>
      </c>
      <c r="E1334" s="2">
        <v>36171</v>
      </c>
      <c r="F1334" s="3">
        <v>4.7</v>
      </c>
      <c r="G1334" s="3">
        <v>223989</v>
      </c>
      <c r="H1334" s="3">
        <v>83.8</v>
      </c>
      <c r="I1334" s="3">
        <v>11.9</v>
      </c>
      <c r="J1334" s="3">
        <v>4.2</v>
      </c>
      <c r="K1334" s="3">
        <v>0.1</v>
      </c>
      <c r="L1334" s="3">
        <v>5</v>
      </c>
      <c r="M1334" t="str">
        <f>IF(acs2015_county_data[[#This Row],[PublicWork]]&gt;='Описательные характеристики'!$F$5,"да","нет")</f>
        <v>нет</v>
      </c>
      <c r="N1334" t="str">
        <f>IF(acs2015_county_data[[#This Row],[Unemployment]]&gt;='Описательные характеристики'!$I$5,"да","нет")</f>
        <v>нет</v>
      </c>
    </row>
    <row r="1335" spans="1:14" x14ac:dyDescent="0.35">
      <c r="A1335">
        <v>27039</v>
      </c>
      <c r="B1335" t="s">
        <v>916</v>
      </c>
      <c r="C1335" t="s">
        <v>387</v>
      </c>
      <c r="D1335" s="2">
        <v>20290</v>
      </c>
      <c r="E1335" s="2">
        <v>30091</v>
      </c>
      <c r="F1335" s="3">
        <v>6.4</v>
      </c>
      <c r="G1335" s="3">
        <v>10890</v>
      </c>
      <c r="H1335" s="3">
        <v>83.8</v>
      </c>
      <c r="I1335" s="3">
        <v>10.1</v>
      </c>
      <c r="J1335" s="3">
        <v>6</v>
      </c>
      <c r="K1335" s="3">
        <v>0.1</v>
      </c>
      <c r="L1335" s="3">
        <v>3.5</v>
      </c>
      <c r="M1335" t="str">
        <f>IF(acs2015_county_data[[#This Row],[PublicWork]]&gt;='Описательные характеристики'!$F$5,"да","нет")</f>
        <v>нет</v>
      </c>
      <c r="N1335" t="str">
        <f>IF(acs2015_county_data[[#This Row],[Unemployment]]&gt;='Описательные характеристики'!$I$5,"да","нет")</f>
        <v>нет</v>
      </c>
    </row>
    <row r="1336" spans="1:14" x14ac:dyDescent="0.35">
      <c r="A1336">
        <v>27041</v>
      </c>
      <c r="B1336" t="s">
        <v>916</v>
      </c>
      <c r="C1336" t="s">
        <v>254</v>
      </c>
      <c r="D1336" s="2">
        <v>36620</v>
      </c>
      <c r="E1336" s="2">
        <v>29953</v>
      </c>
      <c r="F1336" s="3">
        <v>5.4</v>
      </c>
      <c r="G1336" s="3">
        <v>18975</v>
      </c>
      <c r="H1336" s="3">
        <v>79</v>
      </c>
      <c r="I1336" s="3">
        <v>13.1</v>
      </c>
      <c r="J1336" s="3">
        <v>7.7</v>
      </c>
      <c r="K1336" s="3">
        <v>0.2</v>
      </c>
      <c r="L1336" s="3">
        <v>4.5</v>
      </c>
      <c r="M1336" t="str">
        <f>IF(acs2015_county_data[[#This Row],[PublicWork]]&gt;='Описательные характеристики'!$F$5,"да","нет")</f>
        <v>нет</v>
      </c>
      <c r="N1336" t="str">
        <f>IF(acs2015_county_data[[#This Row],[Unemployment]]&gt;='Описательные характеристики'!$I$5,"да","нет")</f>
        <v>нет</v>
      </c>
    </row>
    <row r="1337" spans="1:14" x14ac:dyDescent="0.35">
      <c r="A1337">
        <v>27043</v>
      </c>
      <c r="B1337" t="s">
        <v>916</v>
      </c>
      <c r="C1337" t="s">
        <v>929</v>
      </c>
      <c r="D1337" s="2">
        <v>14230</v>
      </c>
      <c r="E1337" s="2">
        <v>27135</v>
      </c>
      <c r="F1337" s="3">
        <v>7.3</v>
      </c>
      <c r="G1337" s="3">
        <v>7117</v>
      </c>
      <c r="H1337" s="3">
        <v>74.599999999999994</v>
      </c>
      <c r="I1337" s="3">
        <v>12.5</v>
      </c>
      <c r="J1337" s="3">
        <v>12.6</v>
      </c>
      <c r="K1337" s="3">
        <v>0.3</v>
      </c>
      <c r="L1337" s="3">
        <v>4.2</v>
      </c>
      <c r="M1337" t="str">
        <f>IF(acs2015_county_data[[#This Row],[PublicWork]]&gt;='Описательные характеристики'!$F$5,"да","нет")</f>
        <v>нет</v>
      </c>
      <c r="N1337" t="str">
        <f>IF(acs2015_county_data[[#This Row],[Unemployment]]&gt;='Описательные характеристики'!$I$5,"да","нет")</f>
        <v>нет</v>
      </c>
    </row>
    <row r="1338" spans="1:14" x14ac:dyDescent="0.35">
      <c r="A1338">
        <v>27045</v>
      </c>
      <c r="B1338" t="s">
        <v>916</v>
      </c>
      <c r="C1338" t="s">
        <v>930</v>
      </c>
      <c r="D1338" s="2">
        <v>20843</v>
      </c>
      <c r="E1338" s="2">
        <v>26348</v>
      </c>
      <c r="F1338" s="3">
        <v>7.1</v>
      </c>
      <c r="G1338" s="3">
        <v>10595</v>
      </c>
      <c r="H1338" s="3">
        <v>77.2</v>
      </c>
      <c r="I1338" s="3">
        <v>11.7</v>
      </c>
      <c r="J1338" s="3">
        <v>10.6</v>
      </c>
      <c r="K1338" s="3">
        <v>0.5</v>
      </c>
      <c r="L1338" s="3">
        <v>4.3</v>
      </c>
      <c r="M1338" t="str">
        <f>IF(acs2015_county_data[[#This Row],[PublicWork]]&gt;='Описательные характеристики'!$F$5,"да","нет")</f>
        <v>нет</v>
      </c>
      <c r="N1338" t="str">
        <f>IF(acs2015_county_data[[#This Row],[Unemployment]]&gt;='Описательные характеристики'!$I$5,"да","нет")</f>
        <v>нет</v>
      </c>
    </row>
    <row r="1339" spans="1:14" x14ac:dyDescent="0.35">
      <c r="A1339">
        <v>27047</v>
      </c>
      <c r="B1339" t="s">
        <v>916</v>
      </c>
      <c r="C1339" t="s">
        <v>931</v>
      </c>
      <c r="D1339" s="2">
        <v>30897</v>
      </c>
      <c r="E1339" s="2">
        <v>26494</v>
      </c>
      <c r="F1339" s="3">
        <v>3.3</v>
      </c>
      <c r="G1339" s="3">
        <v>15322</v>
      </c>
      <c r="H1339" s="3">
        <v>83</v>
      </c>
      <c r="I1339" s="3">
        <v>9.6</v>
      </c>
      <c r="J1339" s="3">
        <v>7.4</v>
      </c>
      <c r="K1339" s="3">
        <v>0.1</v>
      </c>
      <c r="L1339" s="3">
        <v>4.9000000000000004</v>
      </c>
      <c r="M1339" t="str">
        <f>IF(acs2015_county_data[[#This Row],[PublicWork]]&gt;='Описательные характеристики'!$F$5,"да","нет")</f>
        <v>нет</v>
      </c>
      <c r="N1339" t="str">
        <f>IF(acs2015_county_data[[#This Row],[Unemployment]]&gt;='Описательные характеристики'!$I$5,"да","нет")</f>
        <v>нет</v>
      </c>
    </row>
    <row r="1340" spans="1:14" x14ac:dyDescent="0.35">
      <c r="A1340">
        <v>27049</v>
      </c>
      <c r="B1340" t="s">
        <v>916</v>
      </c>
      <c r="C1340" t="s">
        <v>932</v>
      </c>
      <c r="D1340" s="2">
        <v>46377</v>
      </c>
      <c r="E1340" s="2">
        <v>30236</v>
      </c>
      <c r="F1340" s="3">
        <v>5.0999999999999996</v>
      </c>
      <c r="G1340" s="3">
        <v>23662</v>
      </c>
      <c r="H1340" s="3">
        <v>81.2</v>
      </c>
      <c r="I1340" s="3">
        <v>10.7</v>
      </c>
      <c r="J1340" s="3">
        <v>8</v>
      </c>
      <c r="K1340" s="3">
        <v>0.2</v>
      </c>
      <c r="L1340" s="3">
        <v>5.3</v>
      </c>
      <c r="M1340" t="str">
        <f>IF(acs2015_county_data[[#This Row],[PublicWork]]&gt;='Описательные характеристики'!$F$5,"да","нет")</f>
        <v>нет</v>
      </c>
      <c r="N1340" t="str">
        <f>IF(acs2015_county_data[[#This Row],[Unemployment]]&gt;='Описательные характеристики'!$I$5,"да","нет")</f>
        <v>нет</v>
      </c>
    </row>
    <row r="1341" spans="1:14" x14ac:dyDescent="0.35">
      <c r="A1341">
        <v>27051</v>
      </c>
      <c r="B1341" t="s">
        <v>916</v>
      </c>
      <c r="C1341" t="s">
        <v>144</v>
      </c>
      <c r="D1341" s="2">
        <v>5961</v>
      </c>
      <c r="E1341" s="2">
        <v>27952</v>
      </c>
      <c r="F1341" s="3">
        <v>6.1</v>
      </c>
      <c r="G1341" s="3">
        <v>2943</v>
      </c>
      <c r="H1341" s="3">
        <v>71.400000000000006</v>
      </c>
      <c r="I1341" s="3">
        <v>14.3</v>
      </c>
      <c r="J1341" s="3">
        <v>13.9</v>
      </c>
      <c r="K1341" s="3">
        <v>0.4</v>
      </c>
      <c r="L1341" s="3">
        <v>3.6</v>
      </c>
      <c r="M1341" t="str">
        <f>IF(acs2015_county_data[[#This Row],[PublicWork]]&gt;='Описательные характеристики'!$F$5,"да","нет")</f>
        <v>нет</v>
      </c>
      <c r="N1341" t="str">
        <f>IF(acs2015_county_data[[#This Row],[Unemployment]]&gt;='Описательные характеристики'!$I$5,"да","нет")</f>
        <v>нет</v>
      </c>
    </row>
    <row r="1342" spans="1:14" x14ac:dyDescent="0.35">
      <c r="A1342">
        <v>27053</v>
      </c>
      <c r="B1342" t="s">
        <v>916</v>
      </c>
      <c r="C1342" t="s">
        <v>933</v>
      </c>
      <c r="D1342" s="2">
        <v>1197776</v>
      </c>
      <c r="E1342" s="2">
        <v>38724</v>
      </c>
      <c r="F1342" s="3">
        <v>5.2</v>
      </c>
      <c r="G1342" s="3">
        <v>650324</v>
      </c>
      <c r="H1342" s="3">
        <v>84.9</v>
      </c>
      <c r="I1342" s="3">
        <v>10.1</v>
      </c>
      <c r="J1342" s="3">
        <v>4.8</v>
      </c>
      <c r="K1342" s="3">
        <v>0.1</v>
      </c>
      <c r="L1342" s="3">
        <v>6</v>
      </c>
      <c r="M1342" t="str">
        <f>IF(acs2015_county_data[[#This Row],[PublicWork]]&gt;='Описательные характеристики'!$F$5,"да","нет")</f>
        <v>нет</v>
      </c>
      <c r="N1342" t="str">
        <f>IF(acs2015_county_data[[#This Row],[Unemployment]]&gt;='Описательные характеристики'!$I$5,"да","нет")</f>
        <v>нет</v>
      </c>
    </row>
    <row r="1343" spans="1:14" x14ac:dyDescent="0.35">
      <c r="A1343">
        <v>27055</v>
      </c>
      <c r="B1343" t="s">
        <v>916</v>
      </c>
      <c r="C1343" t="s">
        <v>48</v>
      </c>
      <c r="D1343" s="2">
        <v>18812</v>
      </c>
      <c r="E1343" s="2">
        <v>27626</v>
      </c>
      <c r="F1343" s="3">
        <v>6.2</v>
      </c>
      <c r="G1343" s="3">
        <v>9795</v>
      </c>
      <c r="H1343" s="3">
        <v>80.2</v>
      </c>
      <c r="I1343" s="3">
        <v>9.6999999999999993</v>
      </c>
      <c r="J1343" s="3">
        <v>9.9</v>
      </c>
      <c r="K1343" s="3">
        <v>0.2</v>
      </c>
      <c r="L1343" s="3">
        <v>4.9000000000000004</v>
      </c>
      <c r="M1343" t="str">
        <f>IF(acs2015_county_data[[#This Row],[PublicWork]]&gt;='Описательные характеристики'!$F$5,"да","нет")</f>
        <v>нет</v>
      </c>
      <c r="N1343" t="str">
        <f>IF(acs2015_county_data[[#This Row],[Unemployment]]&gt;='Описательные характеристики'!$I$5,"да","нет")</f>
        <v>нет</v>
      </c>
    </row>
    <row r="1344" spans="1:14" x14ac:dyDescent="0.35">
      <c r="A1344">
        <v>27057</v>
      </c>
      <c r="B1344" t="s">
        <v>916</v>
      </c>
      <c r="C1344" t="s">
        <v>934</v>
      </c>
      <c r="D1344" s="2">
        <v>20574</v>
      </c>
      <c r="E1344" s="2">
        <v>25725</v>
      </c>
      <c r="F1344" s="3">
        <v>6.1</v>
      </c>
      <c r="G1344" s="3">
        <v>9475</v>
      </c>
      <c r="H1344" s="3">
        <v>72.900000000000006</v>
      </c>
      <c r="I1344" s="3">
        <v>17.3</v>
      </c>
      <c r="J1344" s="3">
        <v>9.6</v>
      </c>
      <c r="K1344" s="3">
        <v>0.2</v>
      </c>
      <c r="L1344" s="3">
        <v>5</v>
      </c>
      <c r="M1344" t="str">
        <f>IF(acs2015_county_data[[#This Row],[PublicWork]]&gt;='Описательные характеристики'!$F$5,"да","нет")</f>
        <v>да</v>
      </c>
      <c r="N1344" t="str">
        <f>IF(acs2015_county_data[[#This Row],[Unemployment]]&gt;='Описательные характеристики'!$I$5,"да","нет")</f>
        <v>нет</v>
      </c>
    </row>
    <row r="1345" spans="1:14" x14ac:dyDescent="0.35">
      <c r="A1345">
        <v>27059</v>
      </c>
      <c r="B1345" t="s">
        <v>916</v>
      </c>
      <c r="C1345" t="s">
        <v>935</v>
      </c>
      <c r="D1345" s="2">
        <v>38296</v>
      </c>
      <c r="E1345" s="2">
        <v>27152</v>
      </c>
      <c r="F1345" s="3">
        <v>5.0999999999999996</v>
      </c>
      <c r="G1345" s="3">
        <v>19504</v>
      </c>
      <c r="H1345" s="3">
        <v>83.2</v>
      </c>
      <c r="I1345" s="3">
        <v>11.3</v>
      </c>
      <c r="J1345" s="3">
        <v>5.4</v>
      </c>
      <c r="K1345" s="3">
        <v>0.1</v>
      </c>
      <c r="L1345" s="3">
        <v>7.3</v>
      </c>
      <c r="M1345" t="str">
        <f>IF(acs2015_county_data[[#This Row],[PublicWork]]&gt;='Описательные характеристики'!$F$5,"да","нет")</f>
        <v>нет</v>
      </c>
      <c r="N1345" t="str">
        <f>IF(acs2015_county_data[[#This Row],[Unemployment]]&gt;='Описательные характеристики'!$I$5,"да","нет")</f>
        <v>нет</v>
      </c>
    </row>
    <row r="1346" spans="1:14" x14ac:dyDescent="0.35">
      <c r="A1346">
        <v>27061</v>
      </c>
      <c r="B1346" t="s">
        <v>916</v>
      </c>
      <c r="C1346" t="s">
        <v>936</v>
      </c>
      <c r="D1346" s="2">
        <v>45354</v>
      </c>
      <c r="E1346" s="2">
        <v>25219</v>
      </c>
      <c r="F1346" s="3">
        <v>4.3</v>
      </c>
      <c r="G1346" s="3">
        <v>19970</v>
      </c>
      <c r="H1346" s="3">
        <v>77.5</v>
      </c>
      <c r="I1346" s="3">
        <v>15.7</v>
      </c>
      <c r="J1346" s="3">
        <v>6.3</v>
      </c>
      <c r="K1346" s="3">
        <v>0.5</v>
      </c>
      <c r="L1346" s="3">
        <v>7.1</v>
      </c>
      <c r="M1346" t="str">
        <f>IF(acs2015_county_data[[#This Row],[PublicWork]]&gt;='Описательные характеристики'!$F$5,"да","нет")</f>
        <v>нет</v>
      </c>
      <c r="N1346" t="str">
        <f>IF(acs2015_county_data[[#This Row],[Unemployment]]&gt;='Описательные характеристики'!$I$5,"да","нет")</f>
        <v>нет</v>
      </c>
    </row>
    <row r="1347" spans="1:14" x14ac:dyDescent="0.35">
      <c r="A1347">
        <v>27063</v>
      </c>
      <c r="B1347" t="s">
        <v>916</v>
      </c>
      <c r="C1347" t="s">
        <v>49</v>
      </c>
      <c r="D1347" s="2">
        <v>10211</v>
      </c>
      <c r="E1347" s="2">
        <v>27494</v>
      </c>
      <c r="F1347" s="3">
        <v>6.7</v>
      </c>
      <c r="G1347" s="3">
        <v>5392</v>
      </c>
      <c r="H1347" s="3">
        <v>71.400000000000006</v>
      </c>
      <c r="I1347" s="3">
        <v>12.8</v>
      </c>
      <c r="J1347" s="3">
        <v>15.3</v>
      </c>
      <c r="K1347" s="3">
        <v>0.5</v>
      </c>
      <c r="L1347" s="3">
        <v>3.2</v>
      </c>
      <c r="M1347" t="str">
        <f>IF(acs2015_county_data[[#This Row],[PublicWork]]&gt;='Описательные характеристики'!$F$5,"да","нет")</f>
        <v>нет</v>
      </c>
      <c r="N1347" t="str">
        <f>IF(acs2015_county_data[[#This Row],[Unemployment]]&gt;='Описательные характеристики'!$I$5,"да","нет")</f>
        <v>нет</v>
      </c>
    </row>
    <row r="1348" spans="1:14" x14ac:dyDescent="0.35">
      <c r="A1348">
        <v>27065</v>
      </c>
      <c r="B1348" t="s">
        <v>916</v>
      </c>
      <c r="C1348" t="s">
        <v>937</v>
      </c>
      <c r="D1348" s="2">
        <v>16003</v>
      </c>
      <c r="E1348" s="2">
        <v>23661</v>
      </c>
      <c r="F1348" s="3">
        <v>5.0999999999999996</v>
      </c>
      <c r="G1348" s="3">
        <v>7287</v>
      </c>
      <c r="H1348" s="3">
        <v>78.599999999999994</v>
      </c>
      <c r="I1348" s="3">
        <v>13.5</v>
      </c>
      <c r="J1348" s="3">
        <v>7.8</v>
      </c>
      <c r="K1348" s="3">
        <v>0.1</v>
      </c>
      <c r="L1348" s="3">
        <v>9.8000000000000007</v>
      </c>
      <c r="M1348" t="str">
        <f>IF(acs2015_county_data[[#This Row],[PublicWork]]&gt;='Описательные характеристики'!$F$5,"да","нет")</f>
        <v>нет</v>
      </c>
      <c r="N1348" t="str">
        <f>IF(acs2015_county_data[[#This Row],[Unemployment]]&gt;='Описательные характеристики'!$I$5,"да","нет")</f>
        <v>да</v>
      </c>
    </row>
    <row r="1349" spans="1:14" x14ac:dyDescent="0.35">
      <c r="A1349">
        <v>27067</v>
      </c>
      <c r="B1349" t="s">
        <v>916</v>
      </c>
      <c r="C1349" t="s">
        <v>938</v>
      </c>
      <c r="D1349" s="2">
        <v>42444</v>
      </c>
      <c r="E1349" s="2">
        <v>27560</v>
      </c>
      <c r="F1349" s="3">
        <v>3.8</v>
      </c>
      <c r="G1349" s="3">
        <v>21757</v>
      </c>
      <c r="H1349" s="3">
        <v>78.099999999999994</v>
      </c>
      <c r="I1349" s="3">
        <v>14.3</v>
      </c>
      <c r="J1349" s="3">
        <v>7.1</v>
      </c>
      <c r="K1349" s="3">
        <v>0.5</v>
      </c>
      <c r="L1349" s="3">
        <v>4.8</v>
      </c>
      <c r="M1349" t="str">
        <f>IF(acs2015_county_data[[#This Row],[PublicWork]]&gt;='Описательные характеристики'!$F$5,"да","нет")</f>
        <v>нет</v>
      </c>
      <c r="N1349" t="str">
        <f>IF(acs2015_county_data[[#This Row],[Unemployment]]&gt;='Описательные характеристики'!$I$5,"да","нет")</f>
        <v>нет</v>
      </c>
    </row>
    <row r="1350" spans="1:14" x14ac:dyDescent="0.35">
      <c r="A1350">
        <v>27069</v>
      </c>
      <c r="B1350" t="s">
        <v>916</v>
      </c>
      <c r="C1350" t="s">
        <v>939</v>
      </c>
      <c r="D1350" s="2">
        <v>4480</v>
      </c>
      <c r="E1350" s="2">
        <v>29279</v>
      </c>
      <c r="F1350" s="3">
        <v>8.9</v>
      </c>
      <c r="G1350" s="3">
        <v>2182</v>
      </c>
      <c r="H1350" s="3">
        <v>69.2</v>
      </c>
      <c r="I1350" s="3">
        <v>19</v>
      </c>
      <c r="J1350" s="3">
        <v>11.6</v>
      </c>
      <c r="K1350" s="3">
        <v>0.2</v>
      </c>
      <c r="L1350" s="3">
        <v>2.8</v>
      </c>
      <c r="M1350" t="str">
        <f>IF(acs2015_county_data[[#This Row],[PublicWork]]&gt;='Описательные характеристики'!$F$5,"да","нет")</f>
        <v>да</v>
      </c>
      <c r="N1350" t="str">
        <f>IF(acs2015_county_data[[#This Row],[Unemployment]]&gt;='Описательные характеристики'!$I$5,"да","нет")</f>
        <v>нет</v>
      </c>
    </row>
    <row r="1351" spans="1:14" x14ac:dyDescent="0.35">
      <c r="A1351">
        <v>27071</v>
      </c>
      <c r="B1351" t="s">
        <v>916</v>
      </c>
      <c r="C1351" t="s">
        <v>940</v>
      </c>
      <c r="D1351" s="2">
        <v>13054</v>
      </c>
      <c r="E1351" s="2">
        <v>25398</v>
      </c>
      <c r="F1351" s="3">
        <v>5.5</v>
      </c>
      <c r="G1351" s="3">
        <v>5877</v>
      </c>
      <c r="H1351" s="3">
        <v>79.400000000000006</v>
      </c>
      <c r="I1351" s="3">
        <v>13.8</v>
      </c>
      <c r="J1351" s="3">
        <v>6.7</v>
      </c>
      <c r="K1351" s="3">
        <v>0.1</v>
      </c>
      <c r="L1351" s="3">
        <v>7.8</v>
      </c>
      <c r="M1351" t="str">
        <f>IF(acs2015_county_data[[#This Row],[PublicWork]]&gt;='Описательные характеристики'!$F$5,"да","нет")</f>
        <v>нет</v>
      </c>
      <c r="N1351" t="str">
        <f>IF(acs2015_county_data[[#This Row],[Unemployment]]&gt;='Описательные характеристики'!$I$5,"да","нет")</f>
        <v>да</v>
      </c>
    </row>
    <row r="1352" spans="1:14" x14ac:dyDescent="0.35">
      <c r="A1352">
        <v>27073</v>
      </c>
      <c r="B1352" t="s">
        <v>916</v>
      </c>
      <c r="C1352" t="s">
        <v>941</v>
      </c>
      <c r="D1352" s="2">
        <v>7023</v>
      </c>
      <c r="E1352" s="2">
        <v>29541</v>
      </c>
      <c r="F1352" s="3">
        <v>10.5</v>
      </c>
      <c r="G1352" s="3">
        <v>3506</v>
      </c>
      <c r="H1352" s="3">
        <v>70.400000000000006</v>
      </c>
      <c r="I1352" s="3">
        <v>12.7</v>
      </c>
      <c r="J1352" s="3">
        <v>16.5</v>
      </c>
      <c r="K1352" s="3">
        <v>0.3</v>
      </c>
      <c r="L1352" s="3">
        <v>3.7</v>
      </c>
      <c r="M1352" t="str">
        <f>IF(acs2015_county_data[[#This Row],[PublicWork]]&gt;='Описательные характеристики'!$F$5,"да","нет")</f>
        <v>нет</v>
      </c>
      <c r="N1352" t="str">
        <f>IF(acs2015_county_data[[#This Row],[Unemployment]]&gt;='Описательные характеристики'!$I$5,"да","нет")</f>
        <v>нет</v>
      </c>
    </row>
    <row r="1353" spans="1:14" x14ac:dyDescent="0.35">
      <c r="A1353">
        <v>27075</v>
      </c>
      <c r="B1353" t="s">
        <v>916</v>
      </c>
      <c r="C1353" t="s">
        <v>196</v>
      </c>
      <c r="D1353" s="2">
        <v>10750</v>
      </c>
      <c r="E1353" s="2">
        <v>29346</v>
      </c>
      <c r="F1353" s="3">
        <v>5</v>
      </c>
      <c r="G1353" s="3">
        <v>4870</v>
      </c>
      <c r="H1353" s="3">
        <v>74.8</v>
      </c>
      <c r="I1353" s="3">
        <v>17.399999999999999</v>
      </c>
      <c r="J1353" s="3">
        <v>7.8</v>
      </c>
      <c r="K1353" s="3">
        <v>0.1</v>
      </c>
      <c r="L1353" s="3">
        <v>4.8</v>
      </c>
      <c r="M1353" t="str">
        <f>IF(acs2015_county_data[[#This Row],[PublicWork]]&gt;='Описательные характеристики'!$F$5,"да","нет")</f>
        <v>да</v>
      </c>
      <c r="N1353" t="str">
        <f>IF(acs2015_county_data[[#This Row],[Unemployment]]&gt;='Описательные характеристики'!$I$5,"да","нет")</f>
        <v>нет</v>
      </c>
    </row>
    <row r="1354" spans="1:14" x14ac:dyDescent="0.35">
      <c r="A1354">
        <v>27077</v>
      </c>
      <c r="B1354" t="s">
        <v>916</v>
      </c>
      <c r="C1354" t="s">
        <v>942</v>
      </c>
      <c r="D1354" s="2">
        <v>3949</v>
      </c>
      <c r="E1354" s="2">
        <v>22543</v>
      </c>
      <c r="F1354" s="3">
        <v>7.3</v>
      </c>
      <c r="G1354" s="3">
        <v>1975</v>
      </c>
      <c r="H1354" s="3">
        <v>78.3</v>
      </c>
      <c r="I1354" s="3">
        <v>8.8000000000000007</v>
      </c>
      <c r="J1354" s="3">
        <v>12.9</v>
      </c>
      <c r="K1354" s="3">
        <v>0</v>
      </c>
      <c r="L1354" s="3">
        <v>4.8</v>
      </c>
      <c r="M1354" t="str">
        <f>IF(acs2015_county_data[[#This Row],[PublicWork]]&gt;='Описательные характеристики'!$F$5,"да","нет")</f>
        <v>нет</v>
      </c>
      <c r="N1354" t="str">
        <f>IF(acs2015_county_data[[#This Row],[Unemployment]]&gt;='Описательные характеристики'!$I$5,"да","нет")</f>
        <v>нет</v>
      </c>
    </row>
    <row r="1355" spans="1:14" x14ac:dyDescent="0.35">
      <c r="A1355">
        <v>27079</v>
      </c>
      <c r="B1355" t="s">
        <v>916</v>
      </c>
      <c r="C1355" t="s">
        <v>943</v>
      </c>
      <c r="D1355" s="2">
        <v>27707</v>
      </c>
      <c r="E1355" s="2">
        <v>28483</v>
      </c>
      <c r="F1355" s="3">
        <v>4.7</v>
      </c>
      <c r="G1355" s="3">
        <v>14456</v>
      </c>
      <c r="H1355" s="3">
        <v>79.099999999999994</v>
      </c>
      <c r="I1355" s="3">
        <v>14</v>
      </c>
      <c r="J1355" s="3">
        <v>6.8</v>
      </c>
      <c r="K1355" s="3">
        <v>0.2</v>
      </c>
      <c r="L1355" s="3">
        <v>5.3</v>
      </c>
      <c r="M1355" t="str">
        <f>IF(acs2015_county_data[[#This Row],[PublicWork]]&gt;='Описательные характеристики'!$F$5,"да","нет")</f>
        <v>нет</v>
      </c>
      <c r="N1355" t="str">
        <f>IF(acs2015_county_data[[#This Row],[Unemployment]]&gt;='Описательные характеристики'!$I$5,"да","нет")</f>
        <v>нет</v>
      </c>
    </row>
    <row r="1356" spans="1:14" x14ac:dyDescent="0.35">
      <c r="A1356">
        <v>27081</v>
      </c>
      <c r="B1356" t="s">
        <v>916</v>
      </c>
      <c r="C1356" t="s">
        <v>152</v>
      </c>
      <c r="D1356" s="2">
        <v>5808</v>
      </c>
      <c r="E1356" s="2">
        <v>26910</v>
      </c>
      <c r="F1356" s="3">
        <v>9.6999999999999993</v>
      </c>
      <c r="G1356" s="3">
        <v>2974</v>
      </c>
      <c r="H1356" s="3">
        <v>72.7</v>
      </c>
      <c r="I1356" s="3">
        <v>11.6</v>
      </c>
      <c r="J1356" s="3">
        <v>15.3</v>
      </c>
      <c r="K1356" s="3">
        <v>0.4</v>
      </c>
      <c r="L1356" s="3">
        <v>2.8</v>
      </c>
      <c r="M1356" t="str">
        <f>IF(acs2015_county_data[[#This Row],[PublicWork]]&gt;='Описательные характеристики'!$F$5,"да","нет")</f>
        <v>нет</v>
      </c>
      <c r="N1356" t="str">
        <f>IF(acs2015_county_data[[#This Row],[Unemployment]]&gt;='Описательные характеристики'!$I$5,"да","нет")</f>
        <v>нет</v>
      </c>
    </row>
    <row r="1357" spans="1:14" x14ac:dyDescent="0.35">
      <c r="A1357">
        <v>27083</v>
      </c>
      <c r="B1357" t="s">
        <v>916</v>
      </c>
      <c r="C1357" t="s">
        <v>622</v>
      </c>
      <c r="D1357" s="2">
        <v>25699</v>
      </c>
      <c r="E1357" s="2">
        <v>28010</v>
      </c>
      <c r="F1357" s="3">
        <v>6.1</v>
      </c>
      <c r="G1357" s="3">
        <v>13788</v>
      </c>
      <c r="H1357" s="3">
        <v>79.099999999999994</v>
      </c>
      <c r="I1357" s="3">
        <v>12.1</v>
      </c>
      <c r="J1357" s="3">
        <v>8.6999999999999993</v>
      </c>
      <c r="K1357" s="3">
        <v>0.1</v>
      </c>
      <c r="L1357" s="3">
        <v>5.3</v>
      </c>
      <c r="M1357" t="str">
        <f>IF(acs2015_county_data[[#This Row],[PublicWork]]&gt;='Описательные характеристики'!$F$5,"да","нет")</f>
        <v>нет</v>
      </c>
      <c r="N1357" t="str">
        <f>IF(acs2015_county_data[[#This Row],[Unemployment]]&gt;='Описательные характеристики'!$I$5,"да","нет")</f>
        <v>нет</v>
      </c>
    </row>
    <row r="1358" spans="1:14" x14ac:dyDescent="0.35">
      <c r="A1358">
        <v>27085</v>
      </c>
      <c r="B1358" t="s">
        <v>916</v>
      </c>
      <c r="C1358" t="s">
        <v>944</v>
      </c>
      <c r="D1358" s="2">
        <v>36046</v>
      </c>
      <c r="E1358" s="2">
        <v>27612</v>
      </c>
      <c r="F1358" s="3">
        <v>3.7</v>
      </c>
      <c r="G1358" s="3">
        <v>18957</v>
      </c>
      <c r="H1358" s="3">
        <v>85.5</v>
      </c>
      <c r="I1358" s="3">
        <v>8.5</v>
      </c>
      <c r="J1358" s="3">
        <v>5.9</v>
      </c>
      <c r="K1358" s="3">
        <v>0.1</v>
      </c>
      <c r="L1358" s="3">
        <v>4.5</v>
      </c>
      <c r="M1358" t="str">
        <f>IF(acs2015_county_data[[#This Row],[PublicWork]]&gt;='Описательные характеристики'!$F$5,"да","нет")</f>
        <v>нет</v>
      </c>
      <c r="N1358" t="str">
        <f>IF(acs2015_county_data[[#This Row],[Unemployment]]&gt;='Описательные характеристики'!$I$5,"да","нет")</f>
        <v>нет</v>
      </c>
    </row>
    <row r="1359" spans="1:14" x14ac:dyDescent="0.35">
      <c r="A1359">
        <v>27087</v>
      </c>
      <c r="B1359" t="s">
        <v>916</v>
      </c>
      <c r="C1359" t="s">
        <v>945</v>
      </c>
      <c r="D1359" s="2">
        <v>5496</v>
      </c>
      <c r="E1359" s="2">
        <v>19743</v>
      </c>
      <c r="F1359" s="3">
        <v>4.5</v>
      </c>
      <c r="G1359" s="3">
        <v>2222</v>
      </c>
      <c r="H1359" s="3">
        <v>59.2</v>
      </c>
      <c r="I1359" s="3">
        <v>32.4</v>
      </c>
      <c r="J1359" s="3">
        <v>8.1999999999999993</v>
      </c>
      <c r="K1359" s="3">
        <v>0.2</v>
      </c>
      <c r="L1359" s="3">
        <v>9.1999999999999993</v>
      </c>
      <c r="M1359" t="str">
        <f>IF(acs2015_county_data[[#This Row],[PublicWork]]&gt;='Описательные характеристики'!$F$5,"да","нет")</f>
        <v>да</v>
      </c>
      <c r="N1359" t="str">
        <f>IF(acs2015_county_data[[#This Row],[Unemployment]]&gt;='Описательные характеристики'!$I$5,"да","нет")</f>
        <v>да</v>
      </c>
    </row>
    <row r="1360" spans="1:14" x14ac:dyDescent="0.35">
      <c r="A1360">
        <v>27089</v>
      </c>
      <c r="B1360" t="s">
        <v>916</v>
      </c>
      <c r="C1360" t="s">
        <v>60</v>
      </c>
      <c r="D1360" s="2">
        <v>9453</v>
      </c>
      <c r="E1360" s="2">
        <v>27863</v>
      </c>
      <c r="F1360" s="3">
        <v>7.3</v>
      </c>
      <c r="G1360" s="3">
        <v>4726</v>
      </c>
      <c r="H1360" s="3">
        <v>76.900000000000006</v>
      </c>
      <c r="I1360" s="3">
        <v>12.8</v>
      </c>
      <c r="J1360" s="3">
        <v>10</v>
      </c>
      <c r="K1360" s="3">
        <v>0.3</v>
      </c>
      <c r="L1360" s="3">
        <v>4.7</v>
      </c>
      <c r="M1360" t="str">
        <f>IF(acs2015_county_data[[#This Row],[PublicWork]]&gt;='Описательные характеристики'!$F$5,"да","нет")</f>
        <v>нет</v>
      </c>
      <c r="N1360" t="str">
        <f>IF(acs2015_county_data[[#This Row],[Unemployment]]&gt;='Описательные характеристики'!$I$5,"да","нет")</f>
        <v>нет</v>
      </c>
    </row>
    <row r="1361" spans="1:14" x14ac:dyDescent="0.35">
      <c r="A1361">
        <v>27091</v>
      </c>
      <c r="B1361" t="s">
        <v>916</v>
      </c>
      <c r="C1361" t="s">
        <v>334</v>
      </c>
      <c r="D1361" s="2">
        <v>20350</v>
      </c>
      <c r="E1361" s="2">
        <v>28244</v>
      </c>
      <c r="F1361" s="3">
        <v>5.2</v>
      </c>
      <c r="G1361" s="3">
        <v>10273</v>
      </c>
      <c r="H1361" s="3">
        <v>79.8</v>
      </c>
      <c r="I1361" s="3">
        <v>9.3000000000000007</v>
      </c>
      <c r="J1361" s="3">
        <v>10.5</v>
      </c>
      <c r="K1361" s="3">
        <v>0.3</v>
      </c>
      <c r="L1361" s="3">
        <v>3.5</v>
      </c>
      <c r="M1361" t="str">
        <f>IF(acs2015_county_data[[#This Row],[PublicWork]]&gt;='Описательные характеристики'!$F$5,"да","нет")</f>
        <v>нет</v>
      </c>
      <c r="N1361" t="str">
        <f>IF(acs2015_county_data[[#This Row],[Unemployment]]&gt;='Описательные характеристики'!$I$5,"да","нет")</f>
        <v>нет</v>
      </c>
    </row>
    <row r="1362" spans="1:14" x14ac:dyDescent="0.35">
      <c r="A1362">
        <v>27093</v>
      </c>
      <c r="B1362" t="s">
        <v>916</v>
      </c>
      <c r="C1362" t="s">
        <v>946</v>
      </c>
      <c r="D1362" s="2">
        <v>23129</v>
      </c>
      <c r="E1362" s="2">
        <v>27313</v>
      </c>
      <c r="F1362" s="3">
        <v>4.4000000000000004</v>
      </c>
      <c r="G1362" s="3">
        <v>11477</v>
      </c>
      <c r="H1362" s="3">
        <v>80.599999999999994</v>
      </c>
      <c r="I1362" s="3">
        <v>11.4</v>
      </c>
      <c r="J1362" s="3">
        <v>7.3</v>
      </c>
      <c r="K1362" s="3">
        <v>0.7</v>
      </c>
      <c r="L1362" s="3">
        <v>4.7</v>
      </c>
      <c r="M1362" t="str">
        <f>IF(acs2015_county_data[[#This Row],[PublicWork]]&gt;='Описательные характеристики'!$F$5,"да","нет")</f>
        <v>нет</v>
      </c>
      <c r="N1362" t="str">
        <f>IF(acs2015_county_data[[#This Row],[Unemployment]]&gt;='Описательные характеристики'!$I$5,"да","нет")</f>
        <v>нет</v>
      </c>
    </row>
    <row r="1363" spans="1:14" x14ac:dyDescent="0.35">
      <c r="A1363">
        <v>27095</v>
      </c>
      <c r="B1363" t="s">
        <v>916</v>
      </c>
      <c r="C1363" t="s">
        <v>947</v>
      </c>
      <c r="D1363" s="2">
        <v>25809</v>
      </c>
      <c r="E1363" s="2">
        <v>23603</v>
      </c>
      <c r="F1363" s="3">
        <v>4.4000000000000004</v>
      </c>
      <c r="G1363" s="3">
        <v>11752</v>
      </c>
      <c r="H1363" s="3">
        <v>78.2</v>
      </c>
      <c r="I1363" s="3">
        <v>15.1</v>
      </c>
      <c r="J1363" s="3">
        <v>6.6</v>
      </c>
      <c r="K1363" s="3">
        <v>0.1</v>
      </c>
      <c r="L1363" s="3">
        <v>7.7</v>
      </c>
      <c r="M1363" t="str">
        <f>IF(acs2015_county_data[[#This Row],[PublicWork]]&gt;='Описательные характеристики'!$F$5,"да","нет")</f>
        <v>нет</v>
      </c>
      <c r="N1363" t="str">
        <f>IF(acs2015_county_data[[#This Row],[Unemployment]]&gt;='Описательные характеристики'!$I$5,"да","нет")</f>
        <v>да</v>
      </c>
    </row>
    <row r="1364" spans="1:14" x14ac:dyDescent="0.35">
      <c r="A1364">
        <v>27097</v>
      </c>
      <c r="B1364" t="s">
        <v>916</v>
      </c>
      <c r="C1364" t="s">
        <v>948</v>
      </c>
      <c r="D1364" s="2">
        <v>32962</v>
      </c>
      <c r="E1364" s="2">
        <v>24984</v>
      </c>
      <c r="F1364" s="3">
        <v>7</v>
      </c>
      <c r="G1364" s="3">
        <v>16533</v>
      </c>
      <c r="H1364" s="3">
        <v>77.599999999999994</v>
      </c>
      <c r="I1364" s="3">
        <v>12</v>
      </c>
      <c r="J1364" s="3">
        <v>9.6999999999999993</v>
      </c>
      <c r="K1364" s="3">
        <v>0.6</v>
      </c>
      <c r="L1364" s="3">
        <v>5.8</v>
      </c>
      <c r="M1364" t="str">
        <f>IF(acs2015_county_data[[#This Row],[PublicWork]]&gt;='Описательные характеристики'!$F$5,"да","нет")</f>
        <v>нет</v>
      </c>
      <c r="N1364" t="str">
        <f>IF(acs2015_county_data[[#This Row],[Unemployment]]&gt;='Описательные характеристики'!$I$5,"да","нет")</f>
        <v>нет</v>
      </c>
    </row>
    <row r="1365" spans="1:14" x14ac:dyDescent="0.35">
      <c r="A1365">
        <v>27099</v>
      </c>
      <c r="B1365" t="s">
        <v>916</v>
      </c>
      <c r="C1365" t="s">
        <v>949</v>
      </c>
      <c r="D1365" s="2">
        <v>39227</v>
      </c>
      <c r="E1365" s="2">
        <v>26265</v>
      </c>
      <c r="F1365" s="3">
        <v>4</v>
      </c>
      <c r="G1365" s="3">
        <v>19166</v>
      </c>
      <c r="H1365" s="3">
        <v>83.5</v>
      </c>
      <c r="I1365" s="3">
        <v>10.199999999999999</v>
      </c>
      <c r="J1365" s="3">
        <v>6.3</v>
      </c>
      <c r="K1365" s="3">
        <v>0.1</v>
      </c>
      <c r="L1365" s="3">
        <v>6.5</v>
      </c>
      <c r="M1365" t="str">
        <f>IF(acs2015_county_data[[#This Row],[PublicWork]]&gt;='Описательные характеристики'!$F$5,"да","нет")</f>
        <v>нет</v>
      </c>
      <c r="N1365" t="str">
        <f>IF(acs2015_county_data[[#This Row],[Unemployment]]&gt;='Описательные характеристики'!$I$5,"да","нет")</f>
        <v>нет</v>
      </c>
    </row>
    <row r="1366" spans="1:14" x14ac:dyDescent="0.35">
      <c r="A1366">
        <v>27101</v>
      </c>
      <c r="B1366" t="s">
        <v>916</v>
      </c>
      <c r="C1366" t="s">
        <v>424</v>
      </c>
      <c r="D1366" s="2">
        <v>8529</v>
      </c>
      <c r="E1366" s="2">
        <v>28976</v>
      </c>
      <c r="F1366" s="3">
        <v>8.4</v>
      </c>
      <c r="G1366" s="3">
        <v>4244</v>
      </c>
      <c r="H1366" s="3">
        <v>70.7</v>
      </c>
      <c r="I1366" s="3">
        <v>15.2</v>
      </c>
      <c r="J1366" s="3">
        <v>13.6</v>
      </c>
      <c r="K1366" s="3">
        <v>0.4</v>
      </c>
      <c r="L1366" s="3">
        <v>4.5</v>
      </c>
      <c r="M1366" t="str">
        <f>IF(acs2015_county_data[[#This Row],[PublicWork]]&gt;='Описательные характеристики'!$F$5,"да","нет")</f>
        <v>нет</v>
      </c>
      <c r="N1366" t="str">
        <f>IF(acs2015_county_data[[#This Row],[Unemployment]]&gt;='Описательные характеристики'!$I$5,"да","нет")</f>
        <v>нет</v>
      </c>
    </row>
    <row r="1367" spans="1:14" x14ac:dyDescent="0.35">
      <c r="A1367">
        <v>27103</v>
      </c>
      <c r="B1367" t="s">
        <v>916</v>
      </c>
      <c r="C1367" t="s">
        <v>950</v>
      </c>
      <c r="D1367" s="2">
        <v>33086</v>
      </c>
      <c r="E1367" s="2">
        <v>28118</v>
      </c>
      <c r="F1367" s="3">
        <v>9</v>
      </c>
      <c r="G1367" s="3">
        <v>18672</v>
      </c>
      <c r="H1367" s="3">
        <v>78.3</v>
      </c>
      <c r="I1367" s="3">
        <v>15.5</v>
      </c>
      <c r="J1367" s="3">
        <v>6</v>
      </c>
      <c r="K1367" s="3">
        <v>0.2</v>
      </c>
      <c r="L1367" s="3">
        <v>4</v>
      </c>
      <c r="M1367" t="str">
        <f>IF(acs2015_county_data[[#This Row],[PublicWork]]&gt;='Описательные характеристики'!$F$5,"да","нет")</f>
        <v>нет</v>
      </c>
      <c r="N1367" t="str">
        <f>IF(acs2015_county_data[[#This Row],[Unemployment]]&gt;='Описательные характеристики'!$I$5,"да","нет")</f>
        <v>нет</v>
      </c>
    </row>
    <row r="1368" spans="1:14" x14ac:dyDescent="0.35">
      <c r="A1368">
        <v>27105</v>
      </c>
      <c r="B1368" t="s">
        <v>916</v>
      </c>
      <c r="C1368" t="s">
        <v>951</v>
      </c>
      <c r="D1368" s="2">
        <v>21687</v>
      </c>
      <c r="E1368" s="2">
        <v>23515</v>
      </c>
      <c r="F1368" s="3">
        <v>4.3</v>
      </c>
      <c r="G1368" s="3">
        <v>10431</v>
      </c>
      <c r="H1368" s="3">
        <v>81.3</v>
      </c>
      <c r="I1368" s="3">
        <v>9.5</v>
      </c>
      <c r="J1368" s="3">
        <v>8.9</v>
      </c>
      <c r="K1368" s="3">
        <v>0.3</v>
      </c>
      <c r="L1368" s="3">
        <v>6.9</v>
      </c>
      <c r="M1368" t="str">
        <f>IF(acs2015_county_data[[#This Row],[PublicWork]]&gt;='Описательные характеристики'!$F$5,"да","нет")</f>
        <v>нет</v>
      </c>
      <c r="N1368" t="str">
        <f>IF(acs2015_county_data[[#This Row],[Unemployment]]&gt;='Описательные характеристики'!$I$5,"да","нет")</f>
        <v>нет</v>
      </c>
    </row>
    <row r="1369" spans="1:14" x14ac:dyDescent="0.35">
      <c r="A1369">
        <v>27107</v>
      </c>
      <c r="B1369" t="s">
        <v>916</v>
      </c>
      <c r="C1369" t="s">
        <v>952</v>
      </c>
      <c r="D1369" s="2">
        <v>6692</v>
      </c>
      <c r="E1369" s="2">
        <v>25314</v>
      </c>
      <c r="F1369" s="3">
        <v>8.4</v>
      </c>
      <c r="G1369" s="3">
        <v>3105</v>
      </c>
      <c r="H1369" s="3">
        <v>69.2</v>
      </c>
      <c r="I1369" s="3">
        <v>15.9</v>
      </c>
      <c r="J1369" s="3">
        <v>14.5</v>
      </c>
      <c r="K1369" s="3">
        <v>0.4</v>
      </c>
      <c r="L1369" s="3">
        <v>5.0999999999999996</v>
      </c>
      <c r="M1369" t="str">
        <f>IF(acs2015_county_data[[#This Row],[PublicWork]]&gt;='Описательные характеристики'!$F$5,"да","нет")</f>
        <v>нет</v>
      </c>
      <c r="N1369" t="str">
        <f>IF(acs2015_county_data[[#This Row],[Unemployment]]&gt;='Описательные характеристики'!$I$5,"да","нет")</f>
        <v>нет</v>
      </c>
    </row>
    <row r="1370" spans="1:14" x14ac:dyDescent="0.35">
      <c r="A1370">
        <v>27109</v>
      </c>
      <c r="B1370" t="s">
        <v>916</v>
      </c>
      <c r="C1370" t="s">
        <v>953</v>
      </c>
      <c r="D1370" s="2">
        <v>148736</v>
      </c>
      <c r="E1370" s="2">
        <v>35267</v>
      </c>
      <c r="F1370" s="3">
        <v>3.7</v>
      </c>
      <c r="G1370" s="3">
        <v>80162</v>
      </c>
      <c r="H1370" s="3">
        <v>86.2</v>
      </c>
      <c r="I1370" s="3">
        <v>9.1</v>
      </c>
      <c r="J1370" s="3">
        <v>4.5999999999999996</v>
      </c>
      <c r="K1370" s="3">
        <v>0.1</v>
      </c>
      <c r="L1370" s="3">
        <v>4.0999999999999996</v>
      </c>
      <c r="M1370" t="str">
        <f>IF(acs2015_county_data[[#This Row],[PublicWork]]&gt;='Описательные характеристики'!$F$5,"да","нет")</f>
        <v>нет</v>
      </c>
      <c r="N1370" t="str">
        <f>IF(acs2015_county_data[[#This Row],[Unemployment]]&gt;='Описательные характеристики'!$I$5,"да","нет")</f>
        <v>нет</v>
      </c>
    </row>
    <row r="1371" spans="1:14" x14ac:dyDescent="0.35">
      <c r="A1371">
        <v>27111</v>
      </c>
      <c r="B1371" t="s">
        <v>916</v>
      </c>
      <c r="C1371" t="s">
        <v>954</v>
      </c>
      <c r="D1371" s="2">
        <v>57511</v>
      </c>
      <c r="E1371" s="2">
        <v>28066</v>
      </c>
      <c r="F1371" s="3">
        <v>5.5</v>
      </c>
      <c r="G1371" s="3">
        <v>27662</v>
      </c>
      <c r="H1371" s="3">
        <v>77.5</v>
      </c>
      <c r="I1371" s="3">
        <v>13.1</v>
      </c>
      <c r="J1371" s="3">
        <v>9.1999999999999993</v>
      </c>
      <c r="K1371" s="3">
        <v>0.3</v>
      </c>
      <c r="L1371" s="3">
        <v>4.4000000000000004</v>
      </c>
      <c r="M1371" t="str">
        <f>IF(acs2015_county_data[[#This Row],[PublicWork]]&gt;='Описательные характеристики'!$F$5,"да","нет")</f>
        <v>нет</v>
      </c>
      <c r="N1371" t="str">
        <f>IF(acs2015_county_data[[#This Row],[Unemployment]]&gt;='Описательные характеристики'!$I$5,"да","нет")</f>
        <v>нет</v>
      </c>
    </row>
    <row r="1372" spans="1:14" x14ac:dyDescent="0.35">
      <c r="A1372">
        <v>27113</v>
      </c>
      <c r="B1372" t="s">
        <v>916</v>
      </c>
      <c r="C1372" t="s">
        <v>955</v>
      </c>
      <c r="D1372" s="2">
        <v>14110</v>
      </c>
      <c r="E1372" s="2">
        <v>25500</v>
      </c>
      <c r="F1372" s="3">
        <v>5.2</v>
      </c>
      <c r="G1372" s="3">
        <v>7636</v>
      </c>
      <c r="H1372" s="3">
        <v>82.9</v>
      </c>
      <c r="I1372" s="3">
        <v>9.3000000000000007</v>
      </c>
      <c r="J1372" s="3">
        <v>7.6</v>
      </c>
      <c r="K1372" s="3">
        <v>0.2</v>
      </c>
      <c r="L1372" s="3">
        <v>3</v>
      </c>
      <c r="M1372" t="str">
        <f>IF(acs2015_county_data[[#This Row],[PublicWork]]&gt;='Описательные характеристики'!$F$5,"да","нет")</f>
        <v>нет</v>
      </c>
      <c r="N1372" t="str">
        <f>IF(acs2015_county_data[[#This Row],[Unemployment]]&gt;='Описательные характеристики'!$I$5,"да","нет")</f>
        <v>нет</v>
      </c>
    </row>
    <row r="1373" spans="1:14" x14ac:dyDescent="0.35">
      <c r="A1373">
        <v>27115</v>
      </c>
      <c r="B1373" t="s">
        <v>916</v>
      </c>
      <c r="C1373" t="s">
        <v>956</v>
      </c>
      <c r="D1373" s="2">
        <v>29218</v>
      </c>
      <c r="E1373" s="2">
        <v>22436</v>
      </c>
      <c r="F1373" s="3">
        <v>4</v>
      </c>
      <c r="G1373" s="3">
        <v>12645</v>
      </c>
      <c r="H1373" s="3">
        <v>75.5</v>
      </c>
      <c r="I1373" s="3">
        <v>16.899999999999999</v>
      </c>
      <c r="J1373" s="3">
        <v>7.3</v>
      </c>
      <c r="K1373" s="3">
        <v>0.3</v>
      </c>
      <c r="L1373" s="3">
        <v>7.4</v>
      </c>
      <c r="M1373" t="str">
        <f>IF(acs2015_county_data[[#This Row],[PublicWork]]&gt;='Описательные характеристики'!$F$5,"да","нет")</f>
        <v>да</v>
      </c>
      <c r="N1373" t="str">
        <f>IF(acs2015_county_data[[#This Row],[Unemployment]]&gt;='Описательные характеристики'!$I$5,"да","нет")</f>
        <v>нет</v>
      </c>
    </row>
    <row r="1374" spans="1:14" x14ac:dyDescent="0.35">
      <c r="A1374">
        <v>27117</v>
      </c>
      <c r="B1374" t="s">
        <v>916</v>
      </c>
      <c r="C1374" t="s">
        <v>957</v>
      </c>
      <c r="D1374" s="2">
        <v>9354</v>
      </c>
      <c r="E1374" s="2">
        <v>26842</v>
      </c>
      <c r="F1374" s="3">
        <v>7.8</v>
      </c>
      <c r="G1374" s="3">
        <v>4572</v>
      </c>
      <c r="H1374" s="3">
        <v>77.3</v>
      </c>
      <c r="I1374" s="3">
        <v>10.5</v>
      </c>
      <c r="J1374" s="3">
        <v>12</v>
      </c>
      <c r="K1374" s="3">
        <v>0.2</v>
      </c>
      <c r="L1374" s="3">
        <v>4.2</v>
      </c>
      <c r="M1374" t="str">
        <f>IF(acs2015_county_data[[#This Row],[PublicWork]]&gt;='Описательные характеристики'!$F$5,"да","нет")</f>
        <v>нет</v>
      </c>
      <c r="N1374" t="str">
        <f>IF(acs2015_county_data[[#This Row],[Unemployment]]&gt;='Описательные характеристики'!$I$5,"да","нет")</f>
        <v>нет</v>
      </c>
    </row>
    <row r="1375" spans="1:14" x14ac:dyDescent="0.35">
      <c r="A1375">
        <v>27119</v>
      </c>
      <c r="B1375" t="s">
        <v>916</v>
      </c>
      <c r="C1375" t="s">
        <v>164</v>
      </c>
      <c r="D1375" s="2">
        <v>31547</v>
      </c>
      <c r="E1375" s="2">
        <v>26766</v>
      </c>
      <c r="F1375" s="3">
        <v>5.0999999999999996</v>
      </c>
      <c r="G1375" s="3">
        <v>15978</v>
      </c>
      <c r="H1375" s="3">
        <v>75.5</v>
      </c>
      <c r="I1375" s="3">
        <v>16.5</v>
      </c>
      <c r="J1375" s="3">
        <v>7.8</v>
      </c>
      <c r="K1375" s="3">
        <v>0.2</v>
      </c>
      <c r="L1375" s="3">
        <v>4.5999999999999996</v>
      </c>
      <c r="M1375" t="str">
        <f>IF(acs2015_county_data[[#This Row],[PublicWork]]&gt;='Описательные характеристики'!$F$5,"да","нет")</f>
        <v>да</v>
      </c>
      <c r="N1375" t="str">
        <f>IF(acs2015_county_data[[#This Row],[Unemployment]]&gt;='Описательные характеристики'!$I$5,"да","нет")</f>
        <v>нет</v>
      </c>
    </row>
    <row r="1376" spans="1:14" x14ac:dyDescent="0.35">
      <c r="A1376">
        <v>27121</v>
      </c>
      <c r="B1376" t="s">
        <v>916</v>
      </c>
      <c r="C1376" t="s">
        <v>165</v>
      </c>
      <c r="D1376" s="2">
        <v>10948</v>
      </c>
      <c r="E1376" s="2">
        <v>30071</v>
      </c>
      <c r="F1376" s="3">
        <v>5.3</v>
      </c>
      <c r="G1376" s="3">
        <v>5406</v>
      </c>
      <c r="H1376" s="3">
        <v>77.7</v>
      </c>
      <c r="I1376" s="3">
        <v>13.3</v>
      </c>
      <c r="J1376" s="3">
        <v>8.5</v>
      </c>
      <c r="K1376" s="3">
        <v>0.5</v>
      </c>
      <c r="L1376" s="3">
        <v>4.0999999999999996</v>
      </c>
      <c r="M1376" t="str">
        <f>IF(acs2015_county_data[[#This Row],[PublicWork]]&gt;='Описательные характеристики'!$F$5,"да","нет")</f>
        <v>нет</v>
      </c>
      <c r="N1376" t="str">
        <f>IF(acs2015_county_data[[#This Row],[Unemployment]]&gt;='Описательные характеристики'!$I$5,"да","нет")</f>
        <v>нет</v>
      </c>
    </row>
    <row r="1377" spans="1:14" x14ac:dyDescent="0.35">
      <c r="A1377">
        <v>27123</v>
      </c>
      <c r="B1377" t="s">
        <v>916</v>
      </c>
      <c r="C1377" t="s">
        <v>958</v>
      </c>
      <c r="D1377" s="2">
        <v>527411</v>
      </c>
      <c r="E1377" s="2">
        <v>30333</v>
      </c>
      <c r="F1377" s="3">
        <v>5.0999999999999996</v>
      </c>
      <c r="G1377" s="3">
        <v>266709</v>
      </c>
      <c r="H1377" s="3">
        <v>81.8</v>
      </c>
      <c r="I1377" s="3">
        <v>13.7</v>
      </c>
      <c r="J1377" s="3">
        <v>4.4000000000000004</v>
      </c>
      <c r="K1377" s="3">
        <v>0.1</v>
      </c>
      <c r="L1377" s="3">
        <v>7.1</v>
      </c>
      <c r="M1377" t="str">
        <f>IF(acs2015_county_data[[#This Row],[PublicWork]]&gt;='Описательные характеристики'!$F$5,"да","нет")</f>
        <v>нет</v>
      </c>
      <c r="N1377" t="str">
        <f>IF(acs2015_county_data[[#This Row],[Unemployment]]&gt;='Описательные характеристики'!$I$5,"да","нет")</f>
        <v>нет</v>
      </c>
    </row>
    <row r="1378" spans="1:14" x14ac:dyDescent="0.35">
      <c r="A1378">
        <v>27125</v>
      </c>
      <c r="B1378" t="s">
        <v>916</v>
      </c>
      <c r="C1378" t="s">
        <v>959</v>
      </c>
      <c r="D1378" s="2">
        <v>4061</v>
      </c>
      <c r="E1378" s="2">
        <v>25183</v>
      </c>
      <c r="F1378" s="3">
        <v>6</v>
      </c>
      <c r="G1378" s="3">
        <v>2079</v>
      </c>
      <c r="H1378" s="3">
        <v>77.2</v>
      </c>
      <c r="I1378" s="3">
        <v>13.5</v>
      </c>
      <c r="J1378" s="3">
        <v>9</v>
      </c>
      <c r="K1378" s="3">
        <v>0.3</v>
      </c>
      <c r="L1378" s="3">
        <v>3.5</v>
      </c>
      <c r="M1378" t="str">
        <f>IF(acs2015_county_data[[#This Row],[PublicWork]]&gt;='Описательные характеристики'!$F$5,"да","нет")</f>
        <v>нет</v>
      </c>
      <c r="N1378" t="str">
        <f>IF(acs2015_county_data[[#This Row],[Unemployment]]&gt;='Описательные характеристики'!$I$5,"да","нет")</f>
        <v>нет</v>
      </c>
    </row>
    <row r="1379" spans="1:14" x14ac:dyDescent="0.35">
      <c r="A1379">
        <v>27127</v>
      </c>
      <c r="B1379" t="s">
        <v>916</v>
      </c>
      <c r="C1379" t="s">
        <v>960</v>
      </c>
      <c r="D1379" s="2">
        <v>15723</v>
      </c>
      <c r="E1379" s="2">
        <v>25716</v>
      </c>
      <c r="F1379" s="3">
        <v>8.5</v>
      </c>
      <c r="G1379" s="3">
        <v>7577</v>
      </c>
      <c r="H1379" s="3">
        <v>77.099999999999994</v>
      </c>
      <c r="I1379" s="3">
        <v>10.199999999999999</v>
      </c>
      <c r="J1379" s="3">
        <v>12.3</v>
      </c>
      <c r="K1379" s="3">
        <v>0.3</v>
      </c>
      <c r="L1379" s="3">
        <v>4</v>
      </c>
      <c r="M1379" t="str">
        <f>IF(acs2015_county_data[[#This Row],[PublicWork]]&gt;='Описательные характеристики'!$F$5,"да","нет")</f>
        <v>нет</v>
      </c>
      <c r="N1379" t="str">
        <f>IF(acs2015_county_data[[#This Row],[Unemployment]]&gt;='Описательные характеристики'!$I$5,"да","нет")</f>
        <v>нет</v>
      </c>
    </row>
    <row r="1380" spans="1:14" x14ac:dyDescent="0.35">
      <c r="A1380">
        <v>27129</v>
      </c>
      <c r="B1380" t="s">
        <v>916</v>
      </c>
      <c r="C1380" t="s">
        <v>961</v>
      </c>
      <c r="D1380" s="2">
        <v>15171</v>
      </c>
      <c r="E1380" s="2">
        <v>28698</v>
      </c>
      <c r="F1380" s="3">
        <v>7.1</v>
      </c>
      <c r="G1380" s="3">
        <v>7573</v>
      </c>
      <c r="H1380" s="3">
        <v>77.8</v>
      </c>
      <c r="I1380" s="3">
        <v>12</v>
      </c>
      <c r="J1380" s="3">
        <v>10.1</v>
      </c>
      <c r="K1380" s="3">
        <v>0.1</v>
      </c>
      <c r="L1380" s="3">
        <v>5</v>
      </c>
      <c r="M1380" t="str">
        <f>IF(acs2015_county_data[[#This Row],[PublicWork]]&gt;='Описательные характеристики'!$F$5,"да","нет")</f>
        <v>нет</v>
      </c>
      <c r="N1380" t="str">
        <f>IF(acs2015_county_data[[#This Row],[Unemployment]]&gt;='Описательные характеристики'!$I$5,"да","нет")</f>
        <v>нет</v>
      </c>
    </row>
    <row r="1381" spans="1:14" x14ac:dyDescent="0.35">
      <c r="A1381">
        <v>27131</v>
      </c>
      <c r="B1381" t="s">
        <v>916</v>
      </c>
      <c r="C1381" t="s">
        <v>691</v>
      </c>
      <c r="D1381" s="2">
        <v>64886</v>
      </c>
      <c r="E1381" s="2">
        <v>26660</v>
      </c>
      <c r="F1381" s="3">
        <v>13.2</v>
      </c>
      <c r="G1381" s="3">
        <v>33503</v>
      </c>
      <c r="H1381" s="3">
        <v>82.4</v>
      </c>
      <c r="I1381" s="3">
        <v>10.8</v>
      </c>
      <c r="J1381" s="3">
        <v>6.5</v>
      </c>
      <c r="K1381" s="3">
        <v>0.3</v>
      </c>
      <c r="L1381" s="3">
        <v>5.6</v>
      </c>
      <c r="M1381" t="str">
        <f>IF(acs2015_county_data[[#This Row],[PublicWork]]&gt;='Описательные характеристики'!$F$5,"да","нет")</f>
        <v>нет</v>
      </c>
      <c r="N1381" t="str">
        <f>IF(acs2015_county_data[[#This Row],[Unemployment]]&gt;='Описательные характеристики'!$I$5,"да","нет")</f>
        <v>нет</v>
      </c>
    </row>
    <row r="1382" spans="1:14" x14ac:dyDescent="0.35">
      <c r="A1382">
        <v>27133</v>
      </c>
      <c r="B1382" t="s">
        <v>916</v>
      </c>
      <c r="C1382" t="s">
        <v>962</v>
      </c>
      <c r="D1382" s="2">
        <v>9563</v>
      </c>
      <c r="E1382" s="2">
        <v>26065</v>
      </c>
      <c r="F1382" s="3">
        <v>7.5</v>
      </c>
      <c r="G1382" s="3">
        <v>4716</v>
      </c>
      <c r="H1382" s="3">
        <v>76.900000000000006</v>
      </c>
      <c r="I1382" s="3">
        <v>11.3</v>
      </c>
      <c r="J1382" s="3">
        <v>11.5</v>
      </c>
      <c r="K1382" s="3">
        <v>0.3</v>
      </c>
      <c r="L1382" s="3">
        <v>3.7</v>
      </c>
      <c r="M1382" t="str">
        <f>IF(acs2015_county_data[[#This Row],[PublicWork]]&gt;='Описательные характеристики'!$F$5,"да","нет")</f>
        <v>нет</v>
      </c>
      <c r="N1382" t="str">
        <f>IF(acs2015_county_data[[#This Row],[Unemployment]]&gt;='Описательные характеристики'!$I$5,"да","нет")</f>
        <v>нет</v>
      </c>
    </row>
    <row r="1383" spans="1:14" x14ac:dyDescent="0.35">
      <c r="A1383">
        <v>27135</v>
      </c>
      <c r="B1383" t="s">
        <v>916</v>
      </c>
      <c r="C1383" t="s">
        <v>963</v>
      </c>
      <c r="D1383" s="2">
        <v>15615</v>
      </c>
      <c r="E1383" s="2">
        <v>26698</v>
      </c>
      <c r="F1383" s="3">
        <v>5.2</v>
      </c>
      <c r="G1383" s="3">
        <v>8447</v>
      </c>
      <c r="H1383" s="3">
        <v>82.9</v>
      </c>
      <c r="I1383" s="3">
        <v>10.5</v>
      </c>
      <c r="J1383" s="3">
        <v>6.5</v>
      </c>
      <c r="K1383" s="3">
        <v>0.2</v>
      </c>
      <c r="L1383" s="3">
        <v>2.7</v>
      </c>
      <c r="M1383" t="str">
        <f>IF(acs2015_county_data[[#This Row],[PublicWork]]&gt;='Описательные характеристики'!$F$5,"да","нет")</f>
        <v>нет</v>
      </c>
      <c r="N1383" t="str">
        <f>IF(acs2015_county_data[[#This Row],[Unemployment]]&gt;='Описательные характеристики'!$I$5,"да","нет")</f>
        <v>нет</v>
      </c>
    </row>
    <row r="1384" spans="1:14" x14ac:dyDescent="0.35">
      <c r="A1384">
        <v>27137</v>
      </c>
      <c r="B1384" t="s">
        <v>916</v>
      </c>
      <c r="C1384" t="s">
        <v>964</v>
      </c>
      <c r="D1384" s="2">
        <v>200506</v>
      </c>
      <c r="E1384" s="2">
        <v>27190</v>
      </c>
      <c r="F1384" s="3">
        <v>3.9</v>
      </c>
      <c r="G1384" s="3">
        <v>96700</v>
      </c>
      <c r="H1384" s="3">
        <v>80.599999999999994</v>
      </c>
      <c r="I1384" s="3">
        <v>14.7</v>
      </c>
      <c r="J1384" s="3">
        <v>4.7</v>
      </c>
      <c r="K1384" s="3">
        <v>0.1</v>
      </c>
      <c r="L1384" s="3">
        <v>6.9</v>
      </c>
      <c r="M1384" t="str">
        <f>IF(acs2015_county_data[[#This Row],[PublicWork]]&gt;='Описательные характеристики'!$F$5,"да","нет")</f>
        <v>нет</v>
      </c>
      <c r="N1384" t="str">
        <f>IF(acs2015_county_data[[#This Row],[Unemployment]]&gt;='Описательные характеристики'!$I$5,"да","нет")</f>
        <v>нет</v>
      </c>
    </row>
    <row r="1385" spans="1:14" x14ac:dyDescent="0.35">
      <c r="A1385">
        <v>27139</v>
      </c>
      <c r="B1385" t="s">
        <v>916</v>
      </c>
      <c r="C1385" t="s">
        <v>169</v>
      </c>
      <c r="D1385" s="2">
        <v>137322</v>
      </c>
      <c r="E1385" s="2">
        <v>36180</v>
      </c>
      <c r="F1385" s="3">
        <v>5</v>
      </c>
      <c r="G1385" s="3">
        <v>74498</v>
      </c>
      <c r="H1385" s="3">
        <v>86.6</v>
      </c>
      <c r="I1385" s="3">
        <v>9.1999999999999993</v>
      </c>
      <c r="J1385" s="3">
        <v>4.0999999999999996</v>
      </c>
      <c r="K1385" s="3">
        <v>0.1</v>
      </c>
      <c r="L1385" s="3">
        <v>4.5999999999999996</v>
      </c>
      <c r="M1385" t="str">
        <f>IF(acs2015_county_data[[#This Row],[PublicWork]]&gt;='Описательные характеристики'!$F$5,"да","нет")</f>
        <v>нет</v>
      </c>
      <c r="N1385" t="str">
        <f>IF(acs2015_county_data[[#This Row],[Unemployment]]&gt;='Описательные характеристики'!$I$5,"да","нет")</f>
        <v>нет</v>
      </c>
    </row>
    <row r="1386" spans="1:14" x14ac:dyDescent="0.35">
      <c r="A1386">
        <v>27141</v>
      </c>
      <c r="B1386" t="s">
        <v>916</v>
      </c>
      <c r="C1386" t="s">
        <v>965</v>
      </c>
      <c r="D1386" s="2">
        <v>90401</v>
      </c>
      <c r="E1386" s="2">
        <v>29923</v>
      </c>
      <c r="F1386" s="3">
        <v>4.3</v>
      </c>
      <c r="G1386" s="3">
        <v>47444</v>
      </c>
      <c r="H1386" s="3">
        <v>83.9</v>
      </c>
      <c r="I1386" s="3">
        <v>11.2</v>
      </c>
      <c r="J1386" s="3">
        <v>4.7</v>
      </c>
      <c r="K1386" s="3">
        <v>0.2</v>
      </c>
      <c r="L1386" s="3">
        <v>5.2</v>
      </c>
      <c r="M1386" t="str">
        <f>IF(acs2015_county_data[[#This Row],[PublicWork]]&gt;='Описательные характеристики'!$F$5,"да","нет")</f>
        <v>нет</v>
      </c>
      <c r="N1386" t="str">
        <f>IF(acs2015_county_data[[#This Row],[Unemployment]]&gt;='Описательные характеристики'!$I$5,"да","нет")</f>
        <v>нет</v>
      </c>
    </row>
    <row r="1387" spans="1:14" x14ac:dyDescent="0.35">
      <c r="A1387">
        <v>27143</v>
      </c>
      <c r="B1387" t="s">
        <v>916</v>
      </c>
      <c r="C1387" t="s">
        <v>966</v>
      </c>
      <c r="D1387" s="2">
        <v>15021</v>
      </c>
      <c r="E1387" s="2">
        <v>27493</v>
      </c>
      <c r="F1387" s="3">
        <v>8.1999999999999993</v>
      </c>
      <c r="G1387" s="3">
        <v>7867</v>
      </c>
      <c r="H1387" s="3">
        <v>77.900000000000006</v>
      </c>
      <c r="I1387" s="3">
        <v>11.4</v>
      </c>
      <c r="J1387" s="3">
        <v>10.3</v>
      </c>
      <c r="K1387" s="3">
        <v>0.4</v>
      </c>
      <c r="L1387" s="3">
        <v>5.5</v>
      </c>
      <c r="M1387" t="str">
        <f>IF(acs2015_county_data[[#This Row],[PublicWork]]&gt;='Описательные характеристики'!$F$5,"да","нет")</f>
        <v>нет</v>
      </c>
      <c r="N1387" t="str">
        <f>IF(acs2015_county_data[[#This Row],[Unemployment]]&gt;='Описательные характеристики'!$I$5,"да","нет")</f>
        <v>нет</v>
      </c>
    </row>
    <row r="1388" spans="1:14" x14ac:dyDescent="0.35">
      <c r="A1388">
        <v>27145</v>
      </c>
      <c r="B1388" t="s">
        <v>916</v>
      </c>
      <c r="C1388" t="s">
        <v>967</v>
      </c>
      <c r="D1388" s="2">
        <v>152595</v>
      </c>
      <c r="E1388" s="2">
        <v>27135</v>
      </c>
      <c r="F1388" s="3">
        <v>6.2</v>
      </c>
      <c r="G1388" s="3">
        <v>83520</v>
      </c>
      <c r="H1388" s="3">
        <v>83.2</v>
      </c>
      <c r="I1388" s="3">
        <v>11</v>
      </c>
      <c r="J1388" s="3">
        <v>5.6</v>
      </c>
      <c r="K1388" s="3">
        <v>0.2</v>
      </c>
      <c r="L1388" s="3">
        <v>5</v>
      </c>
      <c r="M1388" t="str">
        <f>IF(acs2015_county_data[[#This Row],[PublicWork]]&gt;='Описательные характеристики'!$F$5,"да","нет")</f>
        <v>нет</v>
      </c>
      <c r="N1388" t="str">
        <f>IF(acs2015_county_data[[#This Row],[Unemployment]]&gt;='Описательные характеристики'!$I$5,"да","нет")</f>
        <v>нет</v>
      </c>
    </row>
    <row r="1389" spans="1:14" x14ac:dyDescent="0.35">
      <c r="A1389">
        <v>27147</v>
      </c>
      <c r="B1389" t="s">
        <v>916</v>
      </c>
      <c r="C1389" t="s">
        <v>968</v>
      </c>
      <c r="D1389" s="2">
        <v>36523</v>
      </c>
      <c r="E1389" s="2">
        <v>28087</v>
      </c>
      <c r="F1389" s="3">
        <v>3.3</v>
      </c>
      <c r="G1389" s="3">
        <v>18434</v>
      </c>
      <c r="H1389" s="3">
        <v>84</v>
      </c>
      <c r="I1389" s="3">
        <v>10.3</v>
      </c>
      <c r="J1389" s="3">
        <v>5.7</v>
      </c>
      <c r="K1389" s="3">
        <v>0.1</v>
      </c>
      <c r="L1389" s="3">
        <v>4.9000000000000004</v>
      </c>
      <c r="M1389" t="str">
        <f>IF(acs2015_county_data[[#This Row],[PublicWork]]&gt;='Описательные характеристики'!$F$5,"да","нет")</f>
        <v>нет</v>
      </c>
      <c r="N1389" t="str">
        <f>IF(acs2015_county_data[[#This Row],[Unemployment]]&gt;='Описательные характеристики'!$I$5,"да","нет")</f>
        <v>нет</v>
      </c>
    </row>
    <row r="1390" spans="1:14" x14ac:dyDescent="0.35">
      <c r="A1390">
        <v>27149</v>
      </c>
      <c r="B1390" t="s">
        <v>916</v>
      </c>
      <c r="C1390" t="s">
        <v>701</v>
      </c>
      <c r="D1390" s="2">
        <v>9771</v>
      </c>
      <c r="E1390" s="2">
        <v>25739</v>
      </c>
      <c r="F1390" s="3">
        <v>5.3</v>
      </c>
      <c r="G1390" s="3">
        <v>5058</v>
      </c>
      <c r="H1390" s="3">
        <v>72.5</v>
      </c>
      <c r="I1390" s="3">
        <v>20</v>
      </c>
      <c r="J1390" s="3">
        <v>7.3</v>
      </c>
      <c r="K1390" s="3">
        <v>0.3</v>
      </c>
      <c r="L1390" s="3">
        <v>3.1</v>
      </c>
      <c r="M1390" t="str">
        <f>IF(acs2015_county_data[[#This Row],[PublicWork]]&gt;='Описательные характеристики'!$F$5,"да","нет")</f>
        <v>да</v>
      </c>
      <c r="N1390" t="str">
        <f>IF(acs2015_county_data[[#This Row],[Unemployment]]&gt;='Описательные характеристики'!$I$5,"да","нет")</f>
        <v>нет</v>
      </c>
    </row>
    <row r="1391" spans="1:14" x14ac:dyDescent="0.35">
      <c r="A1391">
        <v>27151</v>
      </c>
      <c r="B1391" t="s">
        <v>916</v>
      </c>
      <c r="C1391" t="s">
        <v>969</v>
      </c>
      <c r="D1391" s="2">
        <v>9525</v>
      </c>
      <c r="E1391" s="2">
        <v>27202</v>
      </c>
      <c r="F1391" s="3">
        <v>6.7</v>
      </c>
      <c r="G1391" s="3">
        <v>4865</v>
      </c>
      <c r="H1391" s="3">
        <v>72.5</v>
      </c>
      <c r="I1391" s="3">
        <v>14.8</v>
      </c>
      <c r="J1391" s="3">
        <v>12.4</v>
      </c>
      <c r="K1391" s="3">
        <v>0.3</v>
      </c>
      <c r="L1391" s="3">
        <v>3.9</v>
      </c>
      <c r="M1391" t="str">
        <f>IF(acs2015_county_data[[#This Row],[PublicWork]]&gt;='Описательные характеристики'!$F$5,"да","нет")</f>
        <v>нет</v>
      </c>
      <c r="N1391" t="str">
        <f>IF(acs2015_county_data[[#This Row],[Unemployment]]&gt;='Описательные характеристики'!$I$5,"да","нет")</f>
        <v>нет</v>
      </c>
    </row>
    <row r="1392" spans="1:14" x14ac:dyDescent="0.35">
      <c r="A1392">
        <v>27153</v>
      </c>
      <c r="B1392" t="s">
        <v>916</v>
      </c>
      <c r="C1392" t="s">
        <v>762</v>
      </c>
      <c r="D1392" s="2">
        <v>24466</v>
      </c>
      <c r="E1392" s="2">
        <v>23808</v>
      </c>
      <c r="F1392" s="3">
        <v>7.8</v>
      </c>
      <c r="G1392" s="3">
        <v>11437</v>
      </c>
      <c r="H1392" s="3">
        <v>76</v>
      </c>
      <c r="I1392" s="3">
        <v>12.1</v>
      </c>
      <c r="J1392" s="3">
        <v>11.1</v>
      </c>
      <c r="K1392" s="3">
        <v>0.8</v>
      </c>
      <c r="L1392" s="3">
        <v>5.0999999999999996</v>
      </c>
      <c r="M1392" t="str">
        <f>IF(acs2015_county_data[[#This Row],[PublicWork]]&gt;='Описательные характеристики'!$F$5,"да","нет")</f>
        <v>нет</v>
      </c>
      <c r="N1392" t="str">
        <f>IF(acs2015_county_data[[#This Row],[Unemployment]]&gt;='Описательные характеристики'!$I$5,"да","нет")</f>
        <v>нет</v>
      </c>
    </row>
    <row r="1393" spans="1:14" x14ac:dyDescent="0.35">
      <c r="A1393">
        <v>27155</v>
      </c>
      <c r="B1393" t="s">
        <v>916</v>
      </c>
      <c r="C1393" t="s">
        <v>970</v>
      </c>
      <c r="D1393" s="2">
        <v>3429</v>
      </c>
      <c r="E1393" s="2">
        <v>29120</v>
      </c>
      <c r="F1393" s="3">
        <v>10.199999999999999</v>
      </c>
      <c r="G1393" s="3">
        <v>1623</v>
      </c>
      <c r="H1393" s="3">
        <v>66.3</v>
      </c>
      <c r="I1393" s="3">
        <v>15.5</v>
      </c>
      <c r="J1393" s="3">
        <v>18</v>
      </c>
      <c r="K1393" s="3">
        <v>0.2</v>
      </c>
      <c r="L1393" s="3">
        <v>2.9</v>
      </c>
      <c r="M1393" t="str">
        <f>IF(acs2015_county_data[[#This Row],[PublicWork]]&gt;='Описательные характеристики'!$F$5,"да","нет")</f>
        <v>нет</v>
      </c>
      <c r="N1393" t="str">
        <f>IF(acs2015_county_data[[#This Row],[Unemployment]]&gt;='Описательные характеристики'!$I$5,"да","нет")</f>
        <v>нет</v>
      </c>
    </row>
    <row r="1394" spans="1:14" x14ac:dyDescent="0.35">
      <c r="A1394">
        <v>27157</v>
      </c>
      <c r="B1394" t="s">
        <v>916</v>
      </c>
      <c r="C1394" t="s">
        <v>971</v>
      </c>
      <c r="D1394" s="2">
        <v>21381</v>
      </c>
      <c r="E1394" s="2">
        <v>30468</v>
      </c>
      <c r="F1394" s="3">
        <v>5.7</v>
      </c>
      <c r="G1394" s="3">
        <v>11221</v>
      </c>
      <c r="H1394" s="3">
        <v>79.5</v>
      </c>
      <c r="I1394" s="3">
        <v>9.4</v>
      </c>
      <c r="J1394" s="3">
        <v>10.9</v>
      </c>
      <c r="K1394" s="3">
        <v>0.2</v>
      </c>
      <c r="L1394" s="3">
        <v>3.6</v>
      </c>
      <c r="M1394" t="str">
        <f>IF(acs2015_county_data[[#This Row],[PublicWork]]&gt;='Описательные характеристики'!$F$5,"да","нет")</f>
        <v>нет</v>
      </c>
      <c r="N1394" t="str">
        <f>IF(acs2015_county_data[[#This Row],[Unemployment]]&gt;='Описательные характеристики'!$I$5,"да","нет")</f>
        <v>нет</v>
      </c>
    </row>
    <row r="1395" spans="1:14" x14ac:dyDescent="0.35">
      <c r="A1395">
        <v>27159</v>
      </c>
      <c r="B1395" t="s">
        <v>916</v>
      </c>
      <c r="C1395" t="s">
        <v>972</v>
      </c>
      <c r="D1395" s="2">
        <v>13759</v>
      </c>
      <c r="E1395" s="2">
        <v>22002</v>
      </c>
      <c r="F1395" s="3">
        <v>4.7</v>
      </c>
      <c r="G1395" s="3">
        <v>5859</v>
      </c>
      <c r="H1395" s="3">
        <v>78.8</v>
      </c>
      <c r="I1395" s="3">
        <v>12.5</v>
      </c>
      <c r="J1395" s="3">
        <v>8.6</v>
      </c>
      <c r="K1395" s="3">
        <v>0.1</v>
      </c>
      <c r="L1395" s="3">
        <v>5.2</v>
      </c>
      <c r="M1395" t="str">
        <f>IF(acs2015_county_data[[#This Row],[PublicWork]]&gt;='Описательные характеристики'!$F$5,"да","нет")</f>
        <v>нет</v>
      </c>
      <c r="N1395" t="str">
        <f>IF(acs2015_county_data[[#This Row],[Unemployment]]&gt;='Описательные характеристики'!$I$5,"да","нет")</f>
        <v>нет</v>
      </c>
    </row>
    <row r="1396" spans="1:14" x14ac:dyDescent="0.35">
      <c r="A1396">
        <v>27161</v>
      </c>
      <c r="B1396" t="s">
        <v>916</v>
      </c>
      <c r="C1396" t="s">
        <v>973</v>
      </c>
      <c r="D1396" s="2">
        <v>19076</v>
      </c>
      <c r="E1396" s="2">
        <v>26457</v>
      </c>
      <c r="F1396" s="3">
        <v>6.1</v>
      </c>
      <c r="G1396" s="3">
        <v>9630</v>
      </c>
      <c r="H1396" s="3">
        <v>79.5</v>
      </c>
      <c r="I1396" s="3">
        <v>11.9</v>
      </c>
      <c r="J1396" s="3">
        <v>8.4</v>
      </c>
      <c r="K1396" s="3">
        <v>0.2</v>
      </c>
      <c r="L1396" s="3">
        <v>4.5999999999999996</v>
      </c>
      <c r="M1396" t="str">
        <f>IF(acs2015_county_data[[#This Row],[PublicWork]]&gt;='Описательные характеристики'!$F$5,"да","нет")</f>
        <v>нет</v>
      </c>
      <c r="N1396" t="str">
        <f>IF(acs2015_county_data[[#This Row],[Unemployment]]&gt;='Описательные характеристики'!$I$5,"да","нет")</f>
        <v>нет</v>
      </c>
    </row>
    <row r="1397" spans="1:14" x14ac:dyDescent="0.35">
      <c r="A1397">
        <v>27163</v>
      </c>
      <c r="B1397" t="s">
        <v>916</v>
      </c>
      <c r="C1397" t="s">
        <v>75</v>
      </c>
      <c r="D1397" s="2">
        <v>246670</v>
      </c>
      <c r="E1397" s="2">
        <v>38461</v>
      </c>
      <c r="F1397" s="3">
        <v>4.8</v>
      </c>
      <c r="G1397" s="3">
        <v>130036</v>
      </c>
      <c r="H1397" s="3">
        <v>82.4</v>
      </c>
      <c r="I1397" s="3">
        <v>13.3</v>
      </c>
      <c r="J1397" s="3">
        <v>4.3</v>
      </c>
      <c r="K1397" s="3">
        <v>0.1</v>
      </c>
      <c r="L1397" s="3">
        <v>4.8</v>
      </c>
      <c r="M1397" t="str">
        <f>IF(acs2015_county_data[[#This Row],[PublicWork]]&gt;='Описательные характеристики'!$F$5,"да","нет")</f>
        <v>нет</v>
      </c>
      <c r="N1397" t="str">
        <f>IF(acs2015_county_data[[#This Row],[Unemployment]]&gt;='Описательные характеристики'!$I$5,"да","нет")</f>
        <v>нет</v>
      </c>
    </row>
    <row r="1398" spans="1:14" x14ac:dyDescent="0.35">
      <c r="A1398">
        <v>27165</v>
      </c>
      <c r="B1398" t="s">
        <v>916</v>
      </c>
      <c r="C1398" t="s">
        <v>974</v>
      </c>
      <c r="D1398" s="2">
        <v>11054</v>
      </c>
      <c r="E1398" s="2">
        <v>25973</v>
      </c>
      <c r="F1398" s="3">
        <v>6.3</v>
      </c>
      <c r="G1398" s="3">
        <v>5676</v>
      </c>
      <c r="H1398" s="3">
        <v>79.7</v>
      </c>
      <c r="I1398" s="3">
        <v>11.2</v>
      </c>
      <c r="J1398" s="3">
        <v>8.5</v>
      </c>
      <c r="K1398" s="3">
        <v>0.7</v>
      </c>
      <c r="L1398" s="3">
        <v>2.9</v>
      </c>
      <c r="M1398" t="str">
        <f>IF(acs2015_county_data[[#This Row],[PublicWork]]&gt;='Описательные характеристики'!$F$5,"да","нет")</f>
        <v>нет</v>
      </c>
      <c r="N1398" t="str">
        <f>IF(acs2015_county_data[[#This Row],[Unemployment]]&gt;='Описательные характеристики'!$I$5,"да","нет")</f>
        <v>нет</v>
      </c>
    </row>
    <row r="1399" spans="1:14" x14ac:dyDescent="0.35">
      <c r="A1399">
        <v>27167</v>
      </c>
      <c r="B1399" t="s">
        <v>916</v>
      </c>
      <c r="C1399" t="s">
        <v>975</v>
      </c>
      <c r="D1399" s="2">
        <v>6526</v>
      </c>
      <c r="E1399" s="2">
        <v>26862</v>
      </c>
      <c r="F1399" s="3">
        <v>7.6</v>
      </c>
      <c r="G1399" s="3">
        <v>3312</v>
      </c>
      <c r="H1399" s="3">
        <v>71.599999999999994</v>
      </c>
      <c r="I1399" s="3">
        <v>15.9</v>
      </c>
      <c r="J1399" s="3">
        <v>11.7</v>
      </c>
      <c r="K1399" s="3">
        <v>0.8</v>
      </c>
      <c r="L1399" s="3">
        <v>2</v>
      </c>
      <c r="M1399" t="str">
        <f>IF(acs2015_county_data[[#This Row],[PublicWork]]&gt;='Описательные характеристики'!$F$5,"да","нет")</f>
        <v>нет</v>
      </c>
      <c r="N1399" t="str">
        <f>IF(acs2015_county_data[[#This Row],[Unemployment]]&gt;='Описательные характеристики'!$I$5,"да","нет")</f>
        <v>нет</v>
      </c>
    </row>
    <row r="1400" spans="1:14" x14ac:dyDescent="0.35">
      <c r="A1400">
        <v>27169</v>
      </c>
      <c r="B1400" t="s">
        <v>916</v>
      </c>
      <c r="C1400" t="s">
        <v>976</v>
      </c>
      <c r="D1400" s="2">
        <v>51213</v>
      </c>
      <c r="E1400" s="2">
        <v>24660</v>
      </c>
      <c r="F1400" s="3">
        <v>4.5999999999999996</v>
      </c>
      <c r="G1400" s="3">
        <v>28307</v>
      </c>
      <c r="H1400" s="3">
        <v>82.3</v>
      </c>
      <c r="I1400" s="3">
        <v>11.4</v>
      </c>
      <c r="J1400" s="3">
        <v>6</v>
      </c>
      <c r="K1400" s="3">
        <v>0.3</v>
      </c>
      <c r="L1400" s="3">
        <v>6.2</v>
      </c>
      <c r="M1400" t="str">
        <f>IF(acs2015_county_data[[#This Row],[PublicWork]]&gt;='Описательные характеристики'!$F$5,"да","нет")</f>
        <v>нет</v>
      </c>
      <c r="N1400" t="str">
        <f>IF(acs2015_county_data[[#This Row],[Unemployment]]&gt;='Описательные характеристики'!$I$5,"да","нет")</f>
        <v>нет</v>
      </c>
    </row>
    <row r="1401" spans="1:14" x14ac:dyDescent="0.35">
      <c r="A1401">
        <v>27171</v>
      </c>
      <c r="B1401" t="s">
        <v>916</v>
      </c>
      <c r="C1401" t="s">
        <v>642</v>
      </c>
      <c r="D1401" s="2">
        <v>128691</v>
      </c>
      <c r="E1401" s="2">
        <v>30238</v>
      </c>
      <c r="F1401" s="3">
        <v>4.8</v>
      </c>
      <c r="G1401" s="3">
        <v>67669</v>
      </c>
      <c r="H1401" s="3">
        <v>83.8</v>
      </c>
      <c r="I1401" s="3">
        <v>10.199999999999999</v>
      </c>
      <c r="J1401" s="3">
        <v>5.9</v>
      </c>
      <c r="K1401" s="3">
        <v>0.1</v>
      </c>
      <c r="L1401" s="3">
        <v>5.2</v>
      </c>
      <c r="M1401" t="str">
        <f>IF(acs2015_county_data[[#This Row],[PublicWork]]&gt;='Описательные характеристики'!$F$5,"да","нет")</f>
        <v>нет</v>
      </c>
      <c r="N1401" t="str">
        <f>IF(acs2015_county_data[[#This Row],[Unemployment]]&gt;='Описательные характеристики'!$I$5,"да","нет")</f>
        <v>нет</v>
      </c>
    </row>
    <row r="1402" spans="1:14" x14ac:dyDescent="0.35">
      <c r="A1402">
        <v>27173</v>
      </c>
      <c r="B1402" t="s">
        <v>916</v>
      </c>
      <c r="C1402" t="s">
        <v>977</v>
      </c>
      <c r="D1402" s="2">
        <v>10092</v>
      </c>
      <c r="E1402" s="2">
        <v>26885</v>
      </c>
      <c r="F1402" s="3">
        <v>9.4</v>
      </c>
      <c r="G1402" s="3">
        <v>5147</v>
      </c>
      <c r="H1402" s="3">
        <v>73.8</v>
      </c>
      <c r="I1402" s="3">
        <v>11.4</v>
      </c>
      <c r="J1402" s="3">
        <v>14.6</v>
      </c>
      <c r="K1402" s="3">
        <v>0.3</v>
      </c>
      <c r="L1402" s="3">
        <v>3.4</v>
      </c>
      <c r="M1402" t="str">
        <f>IF(acs2015_county_data[[#This Row],[PublicWork]]&gt;='Описательные характеристики'!$F$5,"да","нет")</f>
        <v>нет</v>
      </c>
      <c r="N1402" t="str">
        <f>IF(acs2015_county_data[[#This Row],[Unemployment]]&gt;='Описательные характеристики'!$I$5,"да","нет")</f>
        <v>нет</v>
      </c>
    </row>
    <row r="1403" spans="1:14" x14ac:dyDescent="0.35">
      <c r="A1403">
        <v>28001</v>
      </c>
      <c r="B1403" t="s">
        <v>157</v>
      </c>
      <c r="C1403" t="s">
        <v>237</v>
      </c>
      <c r="D1403" s="2">
        <v>31979</v>
      </c>
      <c r="E1403" s="2">
        <v>17669</v>
      </c>
      <c r="F1403" s="3">
        <v>3.2</v>
      </c>
      <c r="G1403" s="3">
        <v>10730</v>
      </c>
      <c r="H1403" s="3">
        <v>76.5</v>
      </c>
      <c r="I1403" s="3">
        <v>16.8</v>
      </c>
      <c r="J1403" s="3">
        <v>6.4</v>
      </c>
      <c r="K1403" s="3">
        <v>0.2</v>
      </c>
      <c r="L1403" s="3">
        <v>11.3</v>
      </c>
      <c r="M1403" t="str">
        <f>IF(acs2015_county_data[[#This Row],[PublicWork]]&gt;='Описательные характеристики'!$F$5,"да","нет")</f>
        <v>да</v>
      </c>
      <c r="N1403" t="str">
        <f>IF(acs2015_county_data[[#This Row],[Unemployment]]&gt;='Описательные характеристики'!$I$5,"да","нет")</f>
        <v>да</v>
      </c>
    </row>
    <row r="1404" spans="1:14" x14ac:dyDescent="0.35">
      <c r="A1404">
        <v>28003</v>
      </c>
      <c r="B1404" t="s">
        <v>157</v>
      </c>
      <c r="C1404" t="s">
        <v>978</v>
      </c>
      <c r="D1404" s="2">
        <v>37319</v>
      </c>
      <c r="E1404" s="2">
        <v>19467</v>
      </c>
      <c r="F1404" s="3">
        <v>1.6</v>
      </c>
      <c r="G1404" s="3">
        <v>14784</v>
      </c>
      <c r="H1404" s="3">
        <v>78.400000000000006</v>
      </c>
      <c r="I1404" s="3">
        <v>14.7</v>
      </c>
      <c r="J1404" s="3">
        <v>6.8</v>
      </c>
      <c r="K1404" s="3">
        <v>0.2</v>
      </c>
      <c r="L1404" s="3">
        <v>9</v>
      </c>
      <c r="M1404" t="str">
        <f>IF(acs2015_county_data[[#This Row],[PublicWork]]&gt;='Описательные характеристики'!$F$5,"да","нет")</f>
        <v>нет</v>
      </c>
      <c r="N1404" t="str">
        <f>IF(acs2015_county_data[[#This Row],[Unemployment]]&gt;='Описательные характеристики'!$I$5,"да","нет")</f>
        <v>да</v>
      </c>
    </row>
    <row r="1405" spans="1:14" x14ac:dyDescent="0.35">
      <c r="A1405">
        <v>28005</v>
      </c>
      <c r="B1405" t="s">
        <v>157</v>
      </c>
      <c r="C1405" t="s">
        <v>979</v>
      </c>
      <c r="D1405" s="2">
        <v>12840</v>
      </c>
      <c r="E1405" s="2">
        <v>17635</v>
      </c>
      <c r="F1405" s="3">
        <v>2.4</v>
      </c>
      <c r="G1405" s="3">
        <v>4562</v>
      </c>
      <c r="H1405" s="3">
        <v>73.5</v>
      </c>
      <c r="I1405" s="3">
        <v>15.8</v>
      </c>
      <c r="J1405" s="3">
        <v>9.5</v>
      </c>
      <c r="K1405" s="3">
        <v>1.2</v>
      </c>
      <c r="L1405" s="3">
        <v>12.7</v>
      </c>
      <c r="M1405" t="str">
        <f>IF(acs2015_county_data[[#This Row],[PublicWork]]&gt;='Описательные характеристики'!$F$5,"да","нет")</f>
        <v>нет</v>
      </c>
      <c r="N1405" t="str">
        <f>IF(acs2015_county_data[[#This Row],[Unemployment]]&gt;='Описательные характеристики'!$I$5,"да","нет")</f>
        <v>да</v>
      </c>
    </row>
    <row r="1406" spans="1:14" x14ac:dyDescent="0.35">
      <c r="A1406">
        <v>28007</v>
      </c>
      <c r="B1406" t="s">
        <v>157</v>
      </c>
      <c r="C1406" t="s">
        <v>980</v>
      </c>
      <c r="D1406" s="2">
        <v>19175</v>
      </c>
      <c r="E1406" s="2">
        <v>20604</v>
      </c>
      <c r="F1406" s="3">
        <v>1.1000000000000001</v>
      </c>
      <c r="G1406" s="3">
        <v>6643</v>
      </c>
      <c r="H1406" s="3">
        <v>73.400000000000006</v>
      </c>
      <c r="I1406" s="3">
        <v>20.5</v>
      </c>
      <c r="J1406" s="3">
        <v>5.8</v>
      </c>
      <c r="K1406" s="3">
        <v>0.3</v>
      </c>
      <c r="L1406" s="3">
        <v>12.6</v>
      </c>
      <c r="M1406" t="str">
        <f>IF(acs2015_county_data[[#This Row],[PublicWork]]&gt;='Описательные характеристики'!$F$5,"да","нет")</f>
        <v>да</v>
      </c>
      <c r="N1406" t="str">
        <f>IF(acs2015_county_data[[#This Row],[Unemployment]]&gt;='Описательные характеристики'!$I$5,"да","нет")</f>
        <v>да</v>
      </c>
    </row>
    <row r="1407" spans="1:14" x14ac:dyDescent="0.35">
      <c r="A1407">
        <v>28009</v>
      </c>
      <c r="B1407" t="s">
        <v>157</v>
      </c>
      <c r="C1407" t="s">
        <v>127</v>
      </c>
      <c r="D1407" s="2">
        <v>8470</v>
      </c>
      <c r="E1407" s="2">
        <v>19935</v>
      </c>
      <c r="F1407" s="3">
        <v>1.7</v>
      </c>
      <c r="G1407" s="3">
        <v>2994</v>
      </c>
      <c r="H1407" s="3">
        <v>84</v>
      </c>
      <c r="I1407" s="3">
        <v>10.7</v>
      </c>
      <c r="J1407" s="3">
        <v>5.3</v>
      </c>
      <c r="K1407" s="3">
        <v>0</v>
      </c>
      <c r="L1407" s="3">
        <v>17.100000000000001</v>
      </c>
      <c r="M1407" t="str">
        <f>IF(acs2015_county_data[[#This Row],[PublicWork]]&gt;='Описательные характеристики'!$F$5,"да","нет")</f>
        <v>нет</v>
      </c>
      <c r="N1407" t="str">
        <f>IF(acs2015_county_data[[#This Row],[Unemployment]]&gt;='Описательные характеристики'!$I$5,"да","нет")</f>
        <v>да</v>
      </c>
    </row>
    <row r="1408" spans="1:14" x14ac:dyDescent="0.35">
      <c r="A1408">
        <v>28011</v>
      </c>
      <c r="B1408" t="s">
        <v>157</v>
      </c>
      <c r="C1408" t="s">
        <v>981</v>
      </c>
      <c r="D1408" s="2">
        <v>33803</v>
      </c>
      <c r="E1408" s="2">
        <v>15751</v>
      </c>
      <c r="F1408" s="3">
        <v>2.2999999999999998</v>
      </c>
      <c r="G1408" s="3">
        <v>11834</v>
      </c>
      <c r="H1408" s="3">
        <v>65.2</v>
      </c>
      <c r="I1408" s="3">
        <v>28.6</v>
      </c>
      <c r="J1408" s="3">
        <v>6.1</v>
      </c>
      <c r="K1408" s="3">
        <v>0.2</v>
      </c>
      <c r="L1408" s="3">
        <v>15.3</v>
      </c>
      <c r="M1408" t="str">
        <f>IF(acs2015_county_data[[#This Row],[PublicWork]]&gt;='Описательные характеристики'!$F$5,"да","нет")</f>
        <v>да</v>
      </c>
      <c r="N1408" t="str">
        <f>IF(acs2015_county_data[[#This Row],[Unemployment]]&gt;='Описательные характеристики'!$I$5,"да","нет")</f>
        <v>да</v>
      </c>
    </row>
    <row r="1409" spans="1:14" x14ac:dyDescent="0.35">
      <c r="A1409">
        <v>28013</v>
      </c>
      <c r="B1409" t="s">
        <v>157</v>
      </c>
      <c r="C1409" t="s">
        <v>22</v>
      </c>
      <c r="D1409" s="2">
        <v>14789</v>
      </c>
      <c r="E1409" s="2">
        <v>17434</v>
      </c>
      <c r="F1409" s="3">
        <v>1.8</v>
      </c>
      <c r="G1409" s="3">
        <v>5580</v>
      </c>
      <c r="H1409" s="3">
        <v>78.400000000000006</v>
      </c>
      <c r="I1409" s="3">
        <v>12.3</v>
      </c>
      <c r="J1409" s="3">
        <v>9.1</v>
      </c>
      <c r="K1409" s="3">
        <v>0.2</v>
      </c>
      <c r="L1409" s="3">
        <v>10.1</v>
      </c>
      <c r="M1409" t="str">
        <f>IF(acs2015_county_data[[#This Row],[PublicWork]]&gt;='Описательные характеристики'!$F$5,"да","нет")</f>
        <v>нет</v>
      </c>
      <c r="N1409" t="str">
        <f>IF(acs2015_county_data[[#This Row],[Unemployment]]&gt;='Описательные характеристики'!$I$5,"да","нет")</f>
        <v>да</v>
      </c>
    </row>
    <row r="1410" spans="1:14" x14ac:dyDescent="0.35">
      <c r="A1410">
        <v>28015</v>
      </c>
      <c r="B1410" t="s">
        <v>157</v>
      </c>
      <c r="C1410" t="s">
        <v>129</v>
      </c>
      <c r="D1410" s="2">
        <v>10338</v>
      </c>
      <c r="E1410" s="2">
        <v>20627</v>
      </c>
      <c r="F1410" s="3">
        <v>0.2</v>
      </c>
      <c r="G1410" s="3">
        <v>3705</v>
      </c>
      <c r="H1410" s="3">
        <v>71.400000000000006</v>
      </c>
      <c r="I1410" s="3">
        <v>20.100000000000001</v>
      </c>
      <c r="J1410" s="3">
        <v>7.7</v>
      </c>
      <c r="K1410" s="3">
        <v>0.8</v>
      </c>
      <c r="L1410" s="3">
        <v>11.9</v>
      </c>
      <c r="M1410" t="str">
        <f>IF(acs2015_county_data[[#This Row],[PublicWork]]&gt;='Описательные характеристики'!$F$5,"да","нет")</f>
        <v>да</v>
      </c>
      <c r="N1410" t="str">
        <f>IF(acs2015_county_data[[#This Row],[Unemployment]]&gt;='Описательные характеристики'!$I$5,"да","нет")</f>
        <v>да</v>
      </c>
    </row>
    <row r="1411" spans="1:14" x14ac:dyDescent="0.35">
      <c r="A1411">
        <v>28017</v>
      </c>
      <c r="B1411" t="s">
        <v>157</v>
      </c>
      <c r="C1411" t="s">
        <v>609</v>
      </c>
      <c r="D1411" s="2">
        <v>17391</v>
      </c>
      <c r="E1411" s="2">
        <v>17538</v>
      </c>
      <c r="F1411" s="3">
        <v>2.2000000000000002</v>
      </c>
      <c r="G1411" s="3">
        <v>6554</v>
      </c>
      <c r="H1411" s="3">
        <v>79.400000000000006</v>
      </c>
      <c r="I1411" s="3">
        <v>14.4</v>
      </c>
      <c r="J1411" s="3">
        <v>6.2</v>
      </c>
      <c r="K1411" s="3">
        <v>0</v>
      </c>
      <c r="L1411" s="3">
        <v>12.2</v>
      </c>
      <c r="M1411" t="str">
        <f>IF(acs2015_county_data[[#This Row],[PublicWork]]&gt;='Описательные характеристики'!$F$5,"да","нет")</f>
        <v>нет</v>
      </c>
      <c r="N1411" t="str">
        <f>IF(acs2015_county_data[[#This Row],[Unemployment]]&gt;='Описательные характеристики'!$I$5,"да","нет")</f>
        <v>да</v>
      </c>
    </row>
    <row r="1412" spans="1:14" x14ac:dyDescent="0.35">
      <c r="A1412">
        <v>28019</v>
      </c>
      <c r="B1412" t="s">
        <v>157</v>
      </c>
      <c r="C1412" t="s">
        <v>26</v>
      </c>
      <c r="D1412" s="2">
        <v>8354</v>
      </c>
      <c r="E1412" s="2">
        <v>17464</v>
      </c>
      <c r="F1412" s="3">
        <v>1.2</v>
      </c>
      <c r="G1412" s="3">
        <v>2921</v>
      </c>
      <c r="H1412" s="3">
        <v>70.900000000000006</v>
      </c>
      <c r="I1412" s="3">
        <v>21.3</v>
      </c>
      <c r="J1412" s="3">
        <v>7.3</v>
      </c>
      <c r="K1412" s="3">
        <v>0.5</v>
      </c>
      <c r="L1412" s="3">
        <v>14.2</v>
      </c>
      <c r="M1412" t="str">
        <f>IF(acs2015_county_data[[#This Row],[PublicWork]]&gt;='Описательные характеристики'!$F$5,"да","нет")</f>
        <v>да</v>
      </c>
      <c r="N1412" t="str">
        <f>IF(acs2015_county_data[[#This Row],[Unemployment]]&gt;='Описательные характеристики'!$I$5,"да","нет")</f>
        <v>да</v>
      </c>
    </row>
    <row r="1413" spans="1:14" x14ac:dyDescent="0.35">
      <c r="A1413">
        <v>28021</v>
      </c>
      <c r="B1413" t="s">
        <v>157</v>
      </c>
      <c r="C1413" t="s">
        <v>778</v>
      </c>
      <c r="D1413" s="2">
        <v>9330</v>
      </c>
      <c r="E1413" s="2">
        <v>12229</v>
      </c>
      <c r="F1413" s="3">
        <v>4.2</v>
      </c>
      <c r="G1413" s="3">
        <v>2411</v>
      </c>
      <c r="H1413" s="3">
        <v>65.900000000000006</v>
      </c>
      <c r="I1413" s="3">
        <v>28.9</v>
      </c>
      <c r="J1413" s="3">
        <v>5.2</v>
      </c>
      <c r="K1413" s="3">
        <v>0</v>
      </c>
      <c r="L1413" s="3">
        <v>17.5</v>
      </c>
      <c r="M1413" t="str">
        <f>IF(acs2015_county_data[[#This Row],[PublicWork]]&gt;='Описательные характеристики'!$F$5,"да","нет")</f>
        <v>да</v>
      </c>
      <c r="N1413" t="str">
        <f>IF(acs2015_county_data[[#This Row],[Unemployment]]&gt;='Описательные характеристики'!$I$5,"да","нет")</f>
        <v>да</v>
      </c>
    </row>
    <row r="1414" spans="1:14" x14ac:dyDescent="0.35">
      <c r="A1414">
        <v>28023</v>
      </c>
      <c r="B1414" t="s">
        <v>157</v>
      </c>
      <c r="C1414" t="s">
        <v>27</v>
      </c>
      <c r="D1414" s="2">
        <v>16362</v>
      </c>
      <c r="E1414" s="2">
        <v>20071</v>
      </c>
      <c r="F1414" s="3">
        <v>3.2</v>
      </c>
      <c r="G1414" s="3">
        <v>6363</v>
      </c>
      <c r="H1414" s="3">
        <v>73</v>
      </c>
      <c r="I1414" s="3">
        <v>20.3</v>
      </c>
      <c r="J1414" s="3">
        <v>6.7</v>
      </c>
      <c r="K1414" s="3">
        <v>0</v>
      </c>
      <c r="L1414" s="3">
        <v>11.7</v>
      </c>
      <c r="M1414" t="str">
        <f>IF(acs2015_county_data[[#This Row],[PublicWork]]&gt;='Описательные характеристики'!$F$5,"да","нет")</f>
        <v>да</v>
      </c>
      <c r="N1414" t="str">
        <f>IF(acs2015_county_data[[#This Row],[Unemployment]]&gt;='Описательные характеристики'!$I$5,"да","нет")</f>
        <v>да</v>
      </c>
    </row>
    <row r="1415" spans="1:14" x14ac:dyDescent="0.35">
      <c r="A1415">
        <v>28025</v>
      </c>
      <c r="B1415" t="s">
        <v>157</v>
      </c>
      <c r="C1415" t="s">
        <v>28</v>
      </c>
      <c r="D1415" s="2">
        <v>20279</v>
      </c>
      <c r="E1415" s="2">
        <v>18405</v>
      </c>
      <c r="F1415" s="3">
        <v>1.1000000000000001</v>
      </c>
      <c r="G1415" s="3">
        <v>7524</v>
      </c>
      <c r="H1415" s="3">
        <v>78.400000000000006</v>
      </c>
      <c r="I1415" s="3">
        <v>14.7</v>
      </c>
      <c r="J1415" s="3">
        <v>6.8</v>
      </c>
      <c r="K1415" s="3">
        <v>0</v>
      </c>
      <c r="L1415" s="3">
        <v>16.2</v>
      </c>
      <c r="M1415" t="str">
        <f>IF(acs2015_county_data[[#This Row],[PublicWork]]&gt;='Описательные характеристики'!$F$5,"да","нет")</f>
        <v>нет</v>
      </c>
      <c r="N1415" t="str">
        <f>IF(acs2015_county_data[[#This Row],[Unemployment]]&gt;='Описательные характеристики'!$I$5,"да","нет")</f>
        <v>да</v>
      </c>
    </row>
    <row r="1416" spans="1:14" x14ac:dyDescent="0.35">
      <c r="A1416">
        <v>28027</v>
      </c>
      <c r="B1416" t="s">
        <v>157</v>
      </c>
      <c r="C1416" t="s">
        <v>982</v>
      </c>
      <c r="D1416" s="2">
        <v>25254</v>
      </c>
      <c r="E1416" s="2">
        <v>15393</v>
      </c>
      <c r="F1416" s="3">
        <v>2.2000000000000002</v>
      </c>
      <c r="G1416" s="3">
        <v>8706</v>
      </c>
      <c r="H1416" s="3">
        <v>69.900000000000006</v>
      </c>
      <c r="I1416" s="3">
        <v>23.5</v>
      </c>
      <c r="J1416" s="3">
        <v>6.3</v>
      </c>
      <c r="K1416" s="3">
        <v>0.2</v>
      </c>
      <c r="L1416" s="3">
        <v>20.3</v>
      </c>
      <c r="M1416" t="str">
        <f>IF(acs2015_county_data[[#This Row],[PublicWork]]&gt;='Описательные характеристики'!$F$5,"да","нет")</f>
        <v>да</v>
      </c>
      <c r="N1416" t="str">
        <f>IF(acs2015_county_data[[#This Row],[Unemployment]]&gt;='Описательные характеристики'!$I$5,"да","нет")</f>
        <v>да</v>
      </c>
    </row>
    <row r="1417" spans="1:14" x14ac:dyDescent="0.35">
      <c r="A1417">
        <v>28029</v>
      </c>
      <c r="B1417" t="s">
        <v>157</v>
      </c>
      <c r="C1417" t="s">
        <v>983</v>
      </c>
      <c r="D1417" s="2">
        <v>28921</v>
      </c>
      <c r="E1417" s="2">
        <v>17762</v>
      </c>
      <c r="F1417" s="3">
        <v>1.5</v>
      </c>
      <c r="G1417" s="3">
        <v>10280</v>
      </c>
      <c r="H1417" s="3">
        <v>79.7</v>
      </c>
      <c r="I1417" s="3">
        <v>15.1</v>
      </c>
      <c r="J1417" s="3">
        <v>5.2</v>
      </c>
      <c r="K1417" s="3">
        <v>0</v>
      </c>
      <c r="L1417" s="3">
        <v>14.3</v>
      </c>
      <c r="M1417" t="str">
        <f>IF(acs2015_county_data[[#This Row],[PublicWork]]&gt;='Описательные характеристики'!$F$5,"да","нет")</f>
        <v>нет</v>
      </c>
      <c r="N1417" t="str">
        <f>IF(acs2015_county_data[[#This Row],[Unemployment]]&gt;='Описательные характеристики'!$I$5,"да","нет")</f>
        <v>да</v>
      </c>
    </row>
    <row r="1418" spans="1:14" x14ac:dyDescent="0.35">
      <c r="A1418">
        <v>28031</v>
      </c>
      <c r="B1418" t="s">
        <v>157</v>
      </c>
      <c r="C1418" t="s">
        <v>984</v>
      </c>
      <c r="D1418" s="2">
        <v>19471</v>
      </c>
      <c r="E1418" s="2">
        <v>16245</v>
      </c>
      <c r="F1418" s="3">
        <v>0.4</v>
      </c>
      <c r="G1418" s="3">
        <v>6628</v>
      </c>
      <c r="H1418" s="3">
        <v>78.400000000000006</v>
      </c>
      <c r="I1418" s="3">
        <v>15.6</v>
      </c>
      <c r="J1418" s="3">
        <v>5.9</v>
      </c>
      <c r="K1418" s="3">
        <v>0.1</v>
      </c>
      <c r="L1418" s="3">
        <v>13.7</v>
      </c>
      <c r="M1418" t="str">
        <f>IF(acs2015_county_data[[#This Row],[PublicWork]]&gt;='Описательные характеристики'!$F$5,"да","нет")</f>
        <v>нет</v>
      </c>
      <c r="N1418" t="str">
        <f>IF(acs2015_county_data[[#This Row],[Unemployment]]&gt;='Описательные характеристики'!$I$5,"да","нет")</f>
        <v>да</v>
      </c>
    </row>
    <row r="1419" spans="1:14" x14ac:dyDescent="0.35">
      <c r="A1419">
        <v>28033</v>
      </c>
      <c r="B1419" t="s">
        <v>157</v>
      </c>
      <c r="C1419" t="s">
        <v>315</v>
      </c>
      <c r="D1419" s="2">
        <v>168586</v>
      </c>
      <c r="E1419" s="2">
        <v>26085</v>
      </c>
      <c r="F1419" s="3">
        <v>2.7</v>
      </c>
      <c r="G1419" s="3">
        <v>82634</v>
      </c>
      <c r="H1419" s="3">
        <v>82.4</v>
      </c>
      <c r="I1419" s="3">
        <v>12.6</v>
      </c>
      <c r="J1419" s="3">
        <v>5</v>
      </c>
      <c r="K1419" s="3">
        <v>0</v>
      </c>
      <c r="L1419" s="3">
        <v>7.6</v>
      </c>
      <c r="M1419" t="str">
        <f>IF(acs2015_county_data[[#This Row],[PublicWork]]&gt;='Описательные характеристики'!$F$5,"да","нет")</f>
        <v>нет</v>
      </c>
      <c r="N1419" t="str">
        <f>IF(acs2015_county_data[[#This Row],[Unemployment]]&gt;='Описательные характеристики'!$I$5,"да","нет")</f>
        <v>да</v>
      </c>
    </row>
    <row r="1420" spans="1:14" x14ac:dyDescent="0.35">
      <c r="A1420">
        <v>28035</v>
      </c>
      <c r="B1420" t="s">
        <v>157</v>
      </c>
      <c r="C1420" t="s">
        <v>985</v>
      </c>
      <c r="D1420" s="2">
        <v>76267</v>
      </c>
      <c r="E1420" s="2">
        <v>19897</v>
      </c>
      <c r="F1420" s="3">
        <v>1.5</v>
      </c>
      <c r="G1420" s="3">
        <v>32647</v>
      </c>
      <c r="H1420" s="3">
        <v>77.900000000000006</v>
      </c>
      <c r="I1420" s="3">
        <v>18.3</v>
      </c>
      <c r="J1420" s="3">
        <v>3.8</v>
      </c>
      <c r="K1420" s="3">
        <v>0</v>
      </c>
      <c r="L1420" s="3">
        <v>13.1</v>
      </c>
      <c r="M1420" t="str">
        <f>IF(acs2015_county_data[[#This Row],[PublicWork]]&gt;='Описательные характеристики'!$F$5,"да","нет")</f>
        <v>да</v>
      </c>
      <c r="N1420" t="str">
        <f>IF(acs2015_county_data[[#This Row],[Unemployment]]&gt;='Описательные характеристики'!$I$5,"да","нет")</f>
        <v>да</v>
      </c>
    </row>
    <row r="1421" spans="1:14" x14ac:dyDescent="0.35">
      <c r="A1421">
        <v>28037</v>
      </c>
      <c r="B1421" t="s">
        <v>157</v>
      </c>
      <c r="C1421" t="s">
        <v>43</v>
      </c>
      <c r="D1421" s="2">
        <v>7857</v>
      </c>
      <c r="E1421" s="2">
        <v>22098</v>
      </c>
      <c r="F1421" s="3">
        <v>0.6</v>
      </c>
      <c r="G1421" s="3">
        <v>3102</v>
      </c>
      <c r="H1421" s="3">
        <v>70.5</v>
      </c>
      <c r="I1421" s="3">
        <v>22.2</v>
      </c>
      <c r="J1421" s="3">
        <v>7.2</v>
      </c>
      <c r="K1421" s="3">
        <v>0</v>
      </c>
      <c r="L1421" s="3">
        <v>8.9</v>
      </c>
      <c r="M1421" t="str">
        <f>IF(acs2015_county_data[[#This Row],[PublicWork]]&gt;='Описательные характеристики'!$F$5,"да","нет")</f>
        <v>да</v>
      </c>
      <c r="N1421" t="str">
        <f>IF(acs2015_county_data[[#This Row],[Unemployment]]&gt;='Описательные характеристики'!$I$5,"да","нет")</f>
        <v>да</v>
      </c>
    </row>
    <row r="1422" spans="1:14" x14ac:dyDescent="0.35">
      <c r="A1422">
        <v>28039</v>
      </c>
      <c r="B1422" t="s">
        <v>157</v>
      </c>
      <c r="C1422" t="s">
        <v>986</v>
      </c>
      <c r="D1422" s="2">
        <v>23104</v>
      </c>
      <c r="E1422" s="2">
        <v>21413</v>
      </c>
      <c r="F1422" s="3">
        <v>1.5</v>
      </c>
      <c r="G1422" s="3">
        <v>8260</v>
      </c>
      <c r="H1422" s="3">
        <v>81.8</v>
      </c>
      <c r="I1422" s="3">
        <v>12.7</v>
      </c>
      <c r="J1422" s="3">
        <v>5.3</v>
      </c>
      <c r="K1422" s="3">
        <v>0.2</v>
      </c>
      <c r="L1422" s="3">
        <v>9</v>
      </c>
      <c r="M1422" t="str">
        <f>IF(acs2015_county_data[[#This Row],[PublicWork]]&gt;='Описательные характеристики'!$F$5,"да","нет")</f>
        <v>нет</v>
      </c>
      <c r="N1422" t="str">
        <f>IF(acs2015_county_data[[#This Row],[Unemployment]]&gt;='Описательные характеристики'!$I$5,"да","нет")</f>
        <v>да</v>
      </c>
    </row>
    <row r="1423" spans="1:14" x14ac:dyDescent="0.35">
      <c r="A1423">
        <v>28041</v>
      </c>
      <c r="B1423" t="s">
        <v>157</v>
      </c>
      <c r="C1423" t="s">
        <v>45</v>
      </c>
      <c r="D1423" s="2">
        <v>14129</v>
      </c>
      <c r="E1423" s="2">
        <v>15728</v>
      </c>
      <c r="F1423" s="3">
        <v>3.3</v>
      </c>
      <c r="G1423" s="3">
        <v>3955</v>
      </c>
      <c r="H1423" s="3">
        <v>68.8</v>
      </c>
      <c r="I1423" s="3">
        <v>27.7</v>
      </c>
      <c r="J1423" s="3">
        <v>3.4</v>
      </c>
      <c r="K1423" s="3">
        <v>0</v>
      </c>
      <c r="L1423" s="3">
        <v>12.6</v>
      </c>
      <c r="M1423" t="str">
        <f>IF(acs2015_county_data[[#This Row],[PublicWork]]&gt;='Описательные характеристики'!$F$5,"да","нет")</f>
        <v>да</v>
      </c>
      <c r="N1423" t="str">
        <f>IF(acs2015_county_data[[#This Row],[Unemployment]]&gt;='Описательные характеристики'!$I$5,"да","нет")</f>
        <v>да</v>
      </c>
    </row>
    <row r="1424" spans="1:14" x14ac:dyDescent="0.35">
      <c r="A1424">
        <v>28043</v>
      </c>
      <c r="B1424" t="s">
        <v>157</v>
      </c>
      <c r="C1424" t="s">
        <v>987</v>
      </c>
      <c r="D1424" s="2">
        <v>21591</v>
      </c>
      <c r="E1424" s="2">
        <v>19138</v>
      </c>
      <c r="F1424" s="3">
        <v>0.8</v>
      </c>
      <c r="G1424" s="3">
        <v>8169</v>
      </c>
      <c r="H1424" s="3">
        <v>82.2</v>
      </c>
      <c r="I1424" s="3">
        <v>12.6</v>
      </c>
      <c r="J1424" s="3">
        <v>5.0999999999999996</v>
      </c>
      <c r="K1424" s="3">
        <v>0.1</v>
      </c>
      <c r="L1424" s="3">
        <v>9.4</v>
      </c>
      <c r="M1424" t="str">
        <f>IF(acs2015_county_data[[#This Row],[PublicWork]]&gt;='Описательные характеристики'!$F$5,"да","нет")</f>
        <v>нет</v>
      </c>
      <c r="N1424" t="str">
        <f>IF(acs2015_county_data[[#This Row],[Unemployment]]&gt;='Описательные характеристики'!$I$5,"да","нет")</f>
        <v>да</v>
      </c>
    </row>
    <row r="1425" spans="1:14" x14ac:dyDescent="0.35">
      <c r="A1425">
        <v>28045</v>
      </c>
      <c r="B1425" t="s">
        <v>157</v>
      </c>
      <c r="C1425" t="s">
        <v>406</v>
      </c>
      <c r="D1425" s="2">
        <v>45627</v>
      </c>
      <c r="E1425" s="2">
        <v>22286</v>
      </c>
      <c r="F1425" s="3">
        <v>2.5</v>
      </c>
      <c r="G1425" s="3">
        <v>18482</v>
      </c>
      <c r="H1425" s="3">
        <v>76.7</v>
      </c>
      <c r="I1425" s="3">
        <v>14.1</v>
      </c>
      <c r="J1425" s="3">
        <v>8.8000000000000007</v>
      </c>
      <c r="K1425" s="3">
        <v>0.4</v>
      </c>
      <c r="L1425" s="3">
        <v>10.1</v>
      </c>
      <c r="M1425" t="str">
        <f>IF(acs2015_county_data[[#This Row],[PublicWork]]&gt;='Описательные характеристики'!$F$5,"да","нет")</f>
        <v>нет</v>
      </c>
      <c r="N1425" t="str">
        <f>IF(acs2015_county_data[[#This Row],[Unemployment]]&gt;='Описательные характеристики'!$I$5,"да","нет")</f>
        <v>да</v>
      </c>
    </row>
    <row r="1426" spans="1:14" x14ac:dyDescent="0.35">
      <c r="A1426">
        <v>28047</v>
      </c>
      <c r="B1426" t="s">
        <v>157</v>
      </c>
      <c r="C1426" t="s">
        <v>568</v>
      </c>
      <c r="D1426" s="2">
        <v>196268</v>
      </c>
      <c r="E1426" s="2">
        <v>22120</v>
      </c>
      <c r="F1426" s="3">
        <v>2.1</v>
      </c>
      <c r="G1426" s="3">
        <v>82911</v>
      </c>
      <c r="H1426" s="3">
        <v>74.900000000000006</v>
      </c>
      <c r="I1426" s="3">
        <v>19.2</v>
      </c>
      <c r="J1426" s="3">
        <v>5.8</v>
      </c>
      <c r="K1426" s="3">
        <v>0.1</v>
      </c>
      <c r="L1426" s="3">
        <v>9.6999999999999993</v>
      </c>
      <c r="M1426" t="str">
        <f>IF(acs2015_county_data[[#This Row],[PublicWork]]&gt;='Описательные характеристики'!$F$5,"да","нет")</f>
        <v>да</v>
      </c>
      <c r="N1426" t="str">
        <f>IF(acs2015_county_data[[#This Row],[Unemployment]]&gt;='Описательные характеристики'!$I$5,"да","нет")</f>
        <v>да</v>
      </c>
    </row>
    <row r="1427" spans="1:14" x14ac:dyDescent="0.35">
      <c r="A1427">
        <v>28049</v>
      </c>
      <c r="B1427" t="s">
        <v>157</v>
      </c>
      <c r="C1427" t="s">
        <v>988</v>
      </c>
      <c r="D1427" s="2">
        <v>245874</v>
      </c>
      <c r="E1427" s="2">
        <v>20598</v>
      </c>
      <c r="F1427" s="3">
        <v>2.6</v>
      </c>
      <c r="G1427" s="3">
        <v>105504</v>
      </c>
      <c r="H1427" s="3">
        <v>70.900000000000006</v>
      </c>
      <c r="I1427" s="3">
        <v>23.3</v>
      </c>
      <c r="J1427" s="3">
        <v>5.8</v>
      </c>
      <c r="K1427" s="3">
        <v>0.1</v>
      </c>
      <c r="L1427" s="3">
        <v>10.3</v>
      </c>
      <c r="M1427" t="str">
        <f>IF(acs2015_county_data[[#This Row],[PublicWork]]&gt;='Описательные характеристики'!$F$5,"да","нет")</f>
        <v>да</v>
      </c>
      <c r="N1427" t="str">
        <f>IF(acs2015_county_data[[#This Row],[Unemployment]]&gt;='Описательные характеристики'!$I$5,"да","нет")</f>
        <v>да</v>
      </c>
    </row>
    <row r="1428" spans="1:14" x14ac:dyDescent="0.35">
      <c r="A1428">
        <v>28051</v>
      </c>
      <c r="B1428" t="s">
        <v>157</v>
      </c>
      <c r="C1428" t="s">
        <v>329</v>
      </c>
      <c r="D1428" s="2">
        <v>18772</v>
      </c>
      <c r="E1428" s="2">
        <v>11972</v>
      </c>
      <c r="F1428" s="3">
        <v>1.1000000000000001</v>
      </c>
      <c r="G1428" s="3">
        <v>5301</v>
      </c>
      <c r="H1428" s="3">
        <v>72.7</v>
      </c>
      <c r="I1428" s="3">
        <v>23.8</v>
      </c>
      <c r="J1428" s="3">
        <v>3.5</v>
      </c>
      <c r="K1428" s="3">
        <v>0</v>
      </c>
      <c r="L1428" s="3">
        <v>19.2</v>
      </c>
      <c r="M1428" t="str">
        <f>IF(acs2015_county_data[[#This Row],[PublicWork]]&gt;='Описательные характеристики'!$F$5,"да","нет")</f>
        <v>да</v>
      </c>
      <c r="N1428" t="str">
        <f>IF(acs2015_county_data[[#This Row],[Unemployment]]&gt;='Описательные характеристики'!$I$5,"да","нет")</f>
        <v>да</v>
      </c>
    </row>
    <row r="1429" spans="1:14" x14ac:dyDescent="0.35">
      <c r="A1429">
        <v>28053</v>
      </c>
      <c r="B1429" t="s">
        <v>157</v>
      </c>
      <c r="C1429" t="s">
        <v>989</v>
      </c>
      <c r="D1429" s="2">
        <v>8984</v>
      </c>
      <c r="E1429" s="2">
        <v>13503</v>
      </c>
      <c r="F1429" s="3">
        <v>1.5</v>
      </c>
      <c r="G1429" s="3">
        <v>2678</v>
      </c>
      <c r="H1429" s="3">
        <v>74.3</v>
      </c>
      <c r="I1429" s="3">
        <v>18.899999999999999</v>
      </c>
      <c r="J1429" s="3">
        <v>6.6</v>
      </c>
      <c r="K1429" s="3">
        <v>0.2</v>
      </c>
      <c r="L1429" s="3">
        <v>26.8</v>
      </c>
      <c r="M1429" t="str">
        <f>IF(acs2015_county_data[[#This Row],[PublicWork]]&gt;='Описательные характеристики'!$F$5,"да","нет")</f>
        <v>да</v>
      </c>
      <c r="N1429" t="str">
        <f>IF(acs2015_county_data[[#This Row],[Unemployment]]&gt;='Описательные характеристики'!$I$5,"да","нет")</f>
        <v>да</v>
      </c>
    </row>
    <row r="1430" spans="1:14" x14ac:dyDescent="0.35">
      <c r="A1430">
        <v>28055</v>
      </c>
      <c r="B1430" t="s">
        <v>157</v>
      </c>
      <c r="C1430" t="s">
        <v>990</v>
      </c>
      <c r="D1430" s="2">
        <v>1291</v>
      </c>
      <c r="E1430" s="2">
        <v>12423</v>
      </c>
      <c r="F1430" s="3">
        <v>2.2999999999999998</v>
      </c>
      <c r="G1430" s="3">
        <v>305</v>
      </c>
      <c r="H1430" s="3">
        <v>77.7</v>
      </c>
      <c r="I1430" s="3">
        <v>15.4</v>
      </c>
      <c r="J1430" s="3">
        <v>6.9</v>
      </c>
      <c r="K1430" s="3">
        <v>0</v>
      </c>
      <c r="L1430" s="3">
        <v>11.6</v>
      </c>
      <c r="M1430" t="str">
        <f>IF(acs2015_county_data[[#This Row],[PublicWork]]&gt;='Описательные характеристики'!$F$5,"да","нет")</f>
        <v>нет</v>
      </c>
      <c r="N1430" t="str">
        <f>IF(acs2015_county_data[[#This Row],[Unemployment]]&gt;='Описательные характеристики'!$I$5,"да","нет")</f>
        <v>да</v>
      </c>
    </row>
    <row r="1431" spans="1:14" x14ac:dyDescent="0.35">
      <c r="A1431">
        <v>28057</v>
      </c>
      <c r="B1431" t="s">
        <v>157</v>
      </c>
      <c r="C1431" t="s">
        <v>991</v>
      </c>
      <c r="D1431" s="2">
        <v>23451</v>
      </c>
      <c r="E1431" s="2">
        <v>19483</v>
      </c>
      <c r="F1431" s="3">
        <v>2.2000000000000002</v>
      </c>
      <c r="G1431" s="3">
        <v>9428</v>
      </c>
      <c r="H1431" s="3">
        <v>77.900000000000006</v>
      </c>
      <c r="I1431" s="3">
        <v>16.100000000000001</v>
      </c>
      <c r="J1431" s="3">
        <v>5.8</v>
      </c>
      <c r="K1431" s="3">
        <v>0.2</v>
      </c>
      <c r="L1431" s="3">
        <v>9.3000000000000007</v>
      </c>
      <c r="M1431" t="str">
        <f>IF(acs2015_county_data[[#This Row],[PublicWork]]&gt;='Описательные характеристики'!$F$5,"да","нет")</f>
        <v>нет</v>
      </c>
      <c r="N1431" t="str">
        <f>IF(acs2015_county_data[[#This Row],[Unemployment]]&gt;='Описательные характеристики'!$I$5,"да","нет")</f>
        <v>да</v>
      </c>
    </row>
    <row r="1432" spans="1:14" x14ac:dyDescent="0.35">
      <c r="A1432">
        <v>28059</v>
      </c>
      <c r="B1432" t="s">
        <v>157</v>
      </c>
      <c r="C1432" t="s">
        <v>49</v>
      </c>
      <c r="D1432" s="2">
        <v>140676</v>
      </c>
      <c r="E1432" s="2">
        <v>24001</v>
      </c>
      <c r="F1432" s="3">
        <v>1.8</v>
      </c>
      <c r="G1432" s="3">
        <v>58824</v>
      </c>
      <c r="H1432" s="3">
        <v>78</v>
      </c>
      <c r="I1432" s="3">
        <v>16.7</v>
      </c>
      <c r="J1432" s="3">
        <v>5.2</v>
      </c>
      <c r="K1432" s="3">
        <v>0.1</v>
      </c>
      <c r="L1432" s="3">
        <v>9.1</v>
      </c>
      <c r="M1432" t="str">
        <f>IF(acs2015_county_data[[#This Row],[PublicWork]]&gt;='Описательные характеристики'!$F$5,"да","нет")</f>
        <v>да</v>
      </c>
      <c r="N1432" t="str">
        <f>IF(acs2015_county_data[[#This Row],[Unemployment]]&gt;='Описательные характеристики'!$I$5,"да","нет")</f>
        <v>да</v>
      </c>
    </row>
    <row r="1433" spans="1:14" x14ac:dyDescent="0.35">
      <c r="A1433">
        <v>28061</v>
      </c>
      <c r="B1433" t="s">
        <v>157</v>
      </c>
      <c r="C1433" t="s">
        <v>412</v>
      </c>
      <c r="D1433" s="2">
        <v>16588</v>
      </c>
      <c r="E1433" s="2">
        <v>18260</v>
      </c>
      <c r="F1433" s="3">
        <v>0.9</v>
      </c>
      <c r="G1433" s="3">
        <v>6257</v>
      </c>
      <c r="H1433" s="3">
        <v>80.099999999999994</v>
      </c>
      <c r="I1433" s="3">
        <v>17.399999999999999</v>
      </c>
      <c r="J1433" s="3">
        <v>2.5</v>
      </c>
      <c r="K1433" s="3">
        <v>0</v>
      </c>
      <c r="L1433" s="3">
        <v>7.9</v>
      </c>
      <c r="M1433" t="str">
        <f>IF(acs2015_county_data[[#This Row],[PublicWork]]&gt;='Описательные характеристики'!$F$5,"да","нет")</f>
        <v>да</v>
      </c>
      <c r="N1433" t="str">
        <f>IF(acs2015_county_data[[#This Row],[Unemployment]]&gt;='Описательные характеристики'!$I$5,"да","нет")</f>
        <v>да</v>
      </c>
    </row>
    <row r="1434" spans="1:14" x14ac:dyDescent="0.35">
      <c r="A1434">
        <v>28063</v>
      </c>
      <c r="B1434" t="s">
        <v>157</v>
      </c>
      <c r="C1434" t="s">
        <v>50</v>
      </c>
      <c r="D1434" s="2">
        <v>7586</v>
      </c>
      <c r="E1434" s="2">
        <v>12601</v>
      </c>
      <c r="F1434" s="3">
        <v>0.7</v>
      </c>
      <c r="G1434" s="3">
        <v>1861</v>
      </c>
      <c r="H1434" s="3">
        <v>64.8</v>
      </c>
      <c r="I1434" s="3">
        <v>34.799999999999997</v>
      </c>
      <c r="J1434" s="3">
        <v>0.4</v>
      </c>
      <c r="K1434" s="3">
        <v>0</v>
      </c>
      <c r="L1434" s="3">
        <v>15.9</v>
      </c>
      <c r="M1434" t="str">
        <f>IF(acs2015_county_data[[#This Row],[PublicWork]]&gt;='Описательные характеристики'!$F$5,"да","нет")</f>
        <v>да</v>
      </c>
      <c r="N1434" t="str">
        <f>IF(acs2015_county_data[[#This Row],[Unemployment]]&gt;='Описательные характеристики'!$I$5,"да","нет")</f>
        <v>да</v>
      </c>
    </row>
    <row r="1435" spans="1:14" x14ac:dyDescent="0.35">
      <c r="A1435">
        <v>28065</v>
      </c>
      <c r="B1435" t="s">
        <v>157</v>
      </c>
      <c r="C1435" t="s">
        <v>787</v>
      </c>
      <c r="D1435" s="2">
        <v>11941</v>
      </c>
      <c r="E1435" s="2">
        <v>15682</v>
      </c>
      <c r="F1435" s="3">
        <v>0.8</v>
      </c>
      <c r="G1435" s="3">
        <v>4094</v>
      </c>
      <c r="H1435" s="3">
        <v>82.9</v>
      </c>
      <c r="I1435" s="3">
        <v>14.9</v>
      </c>
      <c r="J1435" s="3">
        <v>2.2999999999999998</v>
      </c>
      <c r="K1435" s="3">
        <v>0</v>
      </c>
      <c r="L1435" s="3">
        <v>12.9</v>
      </c>
      <c r="M1435" t="str">
        <f>IF(acs2015_county_data[[#This Row],[PublicWork]]&gt;='Описательные характеристики'!$F$5,"да","нет")</f>
        <v>нет</v>
      </c>
      <c r="N1435" t="str">
        <f>IF(acs2015_county_data[[#This Row],[Unemployment]]&gt;='Описательные характеристики'!$I$5,"да","нет")</f>
        <v>да</v>
      </c>
    </row>
    <row r="1436" spans="1:14" x14ac:dyDescent="0.35">
      <c r="A1436">
        <v>28067</v>
      </c>
      <c r="B1436" t="s">
        <v>157</v>
      </c>
      <c r="C1436" t="s">
        <v>415</v>
      </c>
      <c r="D1436" s="2">
        <v>68276</v>
      </c>
      <c r="E1436" s="2">
        <v>20465</v>
      </c>
      <c r="F1436" s="3">
        <v>1.4</v>
      </c>
      <c r="G1436" s="3">
        <v>26436</v>
      </c>
      <c r="H1436" s="3">
        <v>75.900000000000006</v>
      </c>
      <c r="I1436" s="3">
        <v>18.600000000000001</v>
      </c>
      <c r="J1436" s="3">
        <v>5.4</v>
      </c>
      <c r="K1436" s="3">
        <v>0.1</v>
      </c>
      <c r="L1436" s="3">
        <v>7.4</v>
      </c>
      <c r="M1436" t="str">
        <f>IF(acs2015_county_data[[#This Row],[PublicWork]]&gt;='Описательные характеристики'!$F$5,"да","нет")</f>
        <v>да</v>
      </c>
      <c r="N1436" t="str">
        <f>IF(acs2015_county_data[[#This Row],[Unemployment]]&gt;='Описательные характеристики'!$I$5,"да","нет")</f>
        <v>нет</v>
      </c>
    </row>
    <row r="1437" spans="1:14" x14ac:dyDescent="0.35">
      <c r="A1437">
        <v>28069</v>
      </c>
      <c r="B1437" t="s">
        <v>157</v>
      </c>
      <c r="C1437" t="s">
        <v>992</v>
      </c>
      <c r="D1437" s="2">
        <v>10211</v>
      </c>
      <c r="E1437" s="2">
        <v>14516</v>
      </c>
      <c r="F1437" s="3">
        <v>4.0999999999999996</v>
      </c>
      <c r="G1437" s="3">
        <v>3537</v>
      </c>
      <c r="H1437" s="3">
        <v>74.400000000000006</v>
      </c>
      <c r="I1437" s="3">
        <v>18.899999999999999</v>
      </c>
      <c r="J1437" s="3">
        <v>6.7</v>
      </c>
      <c r="K1437" s="3">
        <v>0</v>
      </c>
      <c r="L1437" s="3">
        <v>10.1</v>
      </c>
      <c r="M1437" t="str">
        <f>IF(acs2015_county_data[[#This Row],[PublicWork]]&gt;='Описательные характеристики'!$F$5,"да","нет")</f>
        <v>да</v>
      </c>
      <c r="N1437" t="str">
        <f>IF(acs2015_county_data[[#This Row],[Unemployment]]&gt;='Описательные характеристики'!$I$5,"да","нет")</f>
        <v>да</v>
      </c>
    </row>
    <row r="1438" spans="1:14" x14ac:dyDescent="0.35">
      <c r="A1438">
        <v>28071</v>
      </c>
      <c r="B1438" t="s">
        <v>157</v>
      </c>
      <c r="C1438" t="s">
        <v>151</v>
      </c>
      <c r="D1438" s="2">
        <v>51169</v>
      </c>
      <c r="E1438" s="2">
        <v>23227</v>
      </c>
      <c r="F1438" s="3">
        <v>2.9</v>
      </c>
      <c r="G1438" s="3">
        <v>22584</v>
      </c>
      <c r="H1438" s="3">
        <v>67.2</v>
      </c>
      <c r="I1438" s="3">
        <v>27.4</v>
      </c>
      <c r="J1438" s="3">
        <v>5.4</v>
      </c>
      <c r="K1438" s="3">
        <v>0</v>
      </c>
      <c r="L1438" s="3">
        <v>8.4</v>
      </c>
      <c r="M1438" t="str">
        <f>IF(acs2015_county_data[[#This Row],[PublicWork]]&gt;='Описательные характеристики'!$F$5,"да","нет")</f>
        <v>да</v>
      </c>
      <c r="N1438" t="str">
        <f>IF(acs2015_county_data[[#This Row],[Unemployment]]&gt;='Описательные характеристики'!$I$5,"да","нет")</f>
        <v>да</v>
      </c>
    </row>
    <row r="1439" spans="1:14" x14ac:dyDescent="0.35">
      <c r="A1439">
        <v>28073</v>
      </c>
      <c r="B1439" t="s">
        <v>157</v>
      </c>
      <c r="C1439" t="s">
        <v>51</v>
      </c>
      <c r="D1439" s="2">
        <v>58885</v>
      </c>
      <c r="E1439" s="2">
        <v>26403</v>
      </c>
      <c r="F1439" s="3">
        <v>2</v>
      </c>
      <c r="G1439" s="3">
        <v>26952</v>
      </c>
      <c r="H1439" s="3">
        <v>75.400000000000006</v>
      </c>
      <c r="I1439" s="3">
        <v>19</v>
      </c>
      <c r="J1439" s="3">
        <v>5.6</v>
      </c>
      <c r="K1439" s="3">
        <v>0.1</v>
      </c>
      <c r="L1439" s="3">
        <v>8.5</v>
      </c>
      <c r="M1439" t="str">
        <f>IF(acs2015_county_data[[#This Row],[PublicWork]]&gt;='Описательные характеристики'!$F$5,"да","нет")</f>
        <v>да</v>
      </c>
      <c r="N1439" t="str">
        <f>IF(acs2015_county_data[[#This Row],[Unemployment]]&gt;='Описательные характеристики'!$I$5,"да","нет")</f>
        <v>да</v>
      </c>
    </row>
    <row r="1440" spans="1:14" x14ac:dyDescent="0.35">
      <c r="A1440">
        <v>28075</v>
      </c>
      <c r="B1440" t="s">
        <v>157</v>
      </c>
      <c r="C1440" t="s">
        <v>993</v>
      </c>
      <c r="D1440" s="2">
        <v>79832</v>
      </c>
      <c r="E1440" s="2">
        <v>21525</v>
      </c>
      <c r="F1440" s="3">
        <v>1.5</v>
      </c>
      <c r="G1440" s="3">
        <v>32747</v>
      </c>
      <c r="H1440" s="3">
        <v>79.5</v>
      </c>
      <c r="I1440" s="3">
        <v>16.5</v>
      </c>
      <c r="J1440" s="3">
        <v>3.7</v>
      </c>
      <c r="K1440" s="3">
        <v>0.2</v>
      </c>
      <c r="L1440" s="3">
        <v>9.6</v>
      </c>
      <c r="M1440" t="str">
        <f>IF(acs2015_county_data[[#This Row],[PublicWork]]&gt;='Описательные характеристики'!$F$5,"да","нет")</f>
        <v>да</v>
      </c>
      <c r="N1440" t="str">
        <f>IF(acs2015_county_data[[#This Row],[Unemployment]]&gt;='Описательные характеристики'!$I$5,"да","нет")</f>
        <v>да</v>
      </c>
    </row>
    <row r="1441" spans="1:14" x14ac:dyDescent="0.35">
      <c r="A1441">
        <v>28077</v>
      </c>
      <c r="B1441" t="s">
        <v>157</v>
      </c>
      <c r="C1441" t="s">
        <v>52</v>
      </c>
      <c r="D1441" s="2">
        <v>12586</v>
      </c>
      <c r="E1441" s="2">
        <v>19844</v>
      </c>
      <c r="F1441" s="3">
        <v>3.4</v>
      </c>
      <c r="G1441" s="3">
        <v>4638</v>
      </c>
      <c r="H1441" s="3">
        <v>79.900000000000006</v>
      </c>
      <c r="I1441" s="3">
        <v>14.3</v>
      </c>
      <c r="J1441" s="3">
        <v>5.4</v>
      </c>
      <c r="K1441" s="3">
        <v>0.4</v>
      </c>
      <c r="L1441" s="3">
        <v>10.8</v>
      </c>
      <c r="M1441" t="str">
        <f>IF(acs2015_county_data[[#This Row],[PublicWork]]&gt;='Описательные характеристики'!$F$5,"да","нет")</f>
        <v>нет</v>
      </c>
      <c r="N1441" t="str">
        <f>IF(acs2015_county_data[[#This Row],[Unemployment]]&gt;='Описательные характеристики'!$I$5,"да","нет")</f>
        <v>да</v>
      </c>
    </row>
    <row r="1442" spans="1:14" x14ac:dyDescent="0.35">
      <c r="A1442">
        <v>28079</v>
      </c>
      <c r="B1442" t="s">
        <v>157</v>
      </c>
      <c r="C1442" t="s">
        <v>994</v>
      </c>
      <c r="D1442" s="2">
        <v>23153</v>
      </c>
      <c r="E1442" s="2">
        <v>17696</v>
      </c>
      <c r="F1442" s="3">
        <v>1.2</v>
      </c>
      <c r="G1442" s="3">
        <v>8537</v>
      </c>
      <c r="H1442" s="3">
        <v>74.5</v>
      </c>
      <c r="I1442" s="3">
        <v>19.3</v>
      </c>
      <c r="J1442" s="3">
        <v>6.2</v>
      </c>
      <c r="K1442" s="3">
        <v>0</v>
      </c>
      <c r="L1442" s="3">
        <v>10.5</v>
      </c>
      <c r="M1442" t="str">
        <f>IF(acs2015_county_data[[#This Row],[PublicWork]]&gt;='Описательные характеристики'!$F$5,"да","нет")</f>
        <v>да</v>
      </c>
      <c r="N1442" t="str">
        <f>IF(acs2015_county_data[[#This Row],[Unemployment]]&gt;='Описательные характеристики'!$I$5,"да","нет")</f>
        <v>да</v>
      </c>
    </row>
    <row r="1443" spans="1:14" x14ac:dyDescent="0.35">
      <c r="A1443">
        <v>28081</v>
      </c>
      <c r="B1443" t="s">
        <v>157</v>
      </c>
      <c r="C1443" t="s">
        <v>53</v>
      </c>
      <c r="D1443" s="2">
        <v>85036</v>
      </c>
      <c r="E1443" s="2">
        <v>22282</v>
      </c>
      <c r="F1443" s="3">
        <v>1.9</v>
      </c>
      <c r="G1443" s="3">
        <v>37654</v>
      </c>
      <c r="H1443" s="3">
        <v>83.2</v>
      </c>
      <c r="I1443" s="3">
        <v>12.3</v>
      </c>
      <c r="J1443" s="3">
        <v>4.4000000000000004</v>
      </c>
      <c r="K1443" s="3">
        <v>0.1</v>
      </c>
      <c r="L1443" s="3">
        <v>7.8</v>
      </c>
      <c r="M1443" t="str">
        <f>IF(acs2015_county_data[[#This Row],[PublicWork]]&gt;='Описательные характеристики'!$F$5,"да","нет")</f>
        <v>нет</v>
      </c>
      <c r="N1443" t="str">
        <f>IF(acs2015_county_data[[#This Row],[Unemployment]]&gt;='Описательные характеристики'!$I$5,"да","нет")</f>
        <v>да</v>
      </c>
    </row>
    <row r="1444" spans="1:14" x14ac:dyDescent="0.35">
      <c r="A1444">
        <v>28083</v>
      </c>
      <c r="B1444" t="s">
        <v>157</v>
      </c>
      <c r="C1444" t="s">
        <v>995</v>
      </c>
      <c r="D1444" s="2">
        <v>31516</v>
      </c>
      <c r="E1444" s="2">
        <v>14563</v>
      </c>
      <c r="F1444" s="3">
        <v>1.9</v>
      </c>
      <c r="G1444" s="3">
        <v>9422</v>
      </c>
      <c r="H1444" s="3">
        <v>72</v>
      </c>
      <c r="I1444" s="3">
        <v>21.9</v>
      </c>
      <c r="J1444" s="3">
        <v>6</v>
      </c>
      <c r="K1444" s="3">
        <v>0.1</v>
      </c>
      <c r="L1444" s="3">
        <v>16.3</v>
      </c>
      <c r="M1444" t="str">
        <f>IF(acs2015_county_data[[#This Row],[PublicWork]]&gt;='Описательные характеристики'!$F$5,"да","нет")</f>
        <v>да</v>
      </c>
      <c r="N1444" t="str">
        <f>IF(acs2015_county_data[[#This Row],[Unemployment]]&gt;='Описательные характеристики'!$I$5,"да","нет")</f>
        <v>да</v>
      </c>
    </row>
    <row r="1445" spans="1:14" x14ac:dyDescent="0.35">
      <c r="A1445">
        <v>28085</v>
      </c>
      <c r="B1445" t="s">
        <v>157</v>
      </c>
      <c r="C1445" t="s">
        <v>152</v>
      </c>
      <c r="D1445" s="2">
        <v>34765</v>
      </c>
      <c r="E1445" s="2">
        <v>18844</v>
      </c>
      <c r="F1445" s="3">
        <v>2.7</v>
      </c>
      <c r="G1445" s="3">
        <v>13182</v>
      </c>
      <c r="H1445" s="3">
        <v>79.8</v>
      </c>
      <c r="I1445" s="3">
        <v>13.2</v>
      </c>
      <c r="J1445" s="3">
        <v>6.9</v>
      </c>
      <c r="K1445" s="3">
        <v>0</v>
      </c>
      <c r="L1445" s="3">
        <v>7.5</v>
      </c>
      <c r="M1445" t="str">
        <f>IF(acs2015_county_data[[#This Row],[PublicWork]]&gt;='Описательные характеристики'!$F$5,"да","нет")</f>
        <v>нет</v>
      </c>
      <c r="N1445" t="str">
        <f>IF(acs2015_county_data[[#This Row],[Unemployment]]&gt;='Описательные характеристики'!$I$5,"да","нет")</f>
        <v>нет</v>
      </c>
    </row>
    <row r="1446" spans="1:14" x14ac:dyDescent="0.35">
      <c r="A1446">
        <v>28087</v>
      </c>
      <c r="B1446" t="s">
        <v>157</v>
      </c>
      <c r="C1446" t="s">
        <v>55</v>
      </c>
      <c r="D1446" s="2">
        <v>59699</v>
      </c>
      <c r="E1446" s="2">
        <v>21410</v>
      </c>
      <c r="F1446" s="3">
        <v>1.7</v>
      </c>
      <c r="G1446" s="3">
        <v>24232</v>
      </c>
      <c r="H1446" s="3">
        <v>74.8</v>
      </c>
      <c r="I1446" s="3">
        <v>19.600000000000001</v>
      </c>
      <c r="J1446" s="3">
        <v>5.5</v>
      </c>
      <c r="K1446" s="3">
        <v>0.1</v>
      </c>
      <c r="L1446" s="3">
        <v>12.6</v>
      </c>
      <c r="M1446" t="str">
        <f>IF(acs2015_county_data[[#This Row],[PublicWork]]&gt;='Описательные характеристики'!$F$5,"да","нет")</f>
        <v>да</v>
      </c>
      <c r="N1446" t="str">
        <f>IF(acs2015_county_data[[#This Row],[Unemployment]]&gt;='Описательные характеристики'!$I$5,"да","нет")</f>
        <v>да</v>
      </c>
    </row>
    <row r="1447" spans="1:14" x14ac:dyDescent="0.35">
      <c r="A1447">
        <v>28089</v>
      </c>
      <c r="B1447" t="s">
        <v>157</v>
      </c>
      <c r="C1447" t="s">
        <v>57</v>
      </c>
      <c r="D1447" s="2">
        <v>100202</v>
      </c>
      <c r="E1447" s="2">
        <v>34478</v>
      </c>
      <c r="F1447" s="3">
        <v>2.2999999999999998</v>
      </c>
      <c r="G1447" s="3">
        <v>48562</v>
      </c>
      <c r="H1447" s="3">
        <v>74.8</v>
      </c>
      <c r="I1447" s="3">
        <v>19.100000000000001</v>
      </c>
      <c r="J1447" s="3">
        <v>6</v>
      </c>
      <c r="K1447" s="3">
        <v>0.1</v>
      </c>
      <c r="L1447" s="3">
        <v>5.4</v>
      </c>
      <c r="M1447" t="str">
        <f>IF(acs2015_county_data[[#This Row],[PublicWork]]&gt;='Описательные характеристики'!$F$5,"да","нет")</f>
        <v>да</v>
      </c>
      <c r="N1447" t="str">
        <f>IF(acs2015_county_data[[#This Row],[Unemployment]]&gt;='Описательные характеристики'!$I$5,"да","нет")</f>
        <v>нет</v>
      </c>
    </row>
    <row r="1448" spans="1:14" x14ac:dyDescent="0.35">
      <c r="A1448">
        <v>28091</v>
      </c>
      <c r="B1448" t="s">
        <v>157</v>
      </c>
      <c r="C1448" t="s">
        <v>59</v>
      </c>
      <c r="D1448" s="2">
        <v>26109</v>
      </c>
      <c r="E1448" s="2">
        <v>19491</v>
      </c>
      <c r="F1448" s="3">
        <v>4.2</v>
      </c>
      <c r="G1448" s="3">
        <v>9272</v>
      </c>
      <c r="H1448" s="3">
        <v>76.8</v>
      </c>
      <c r="I1448" s="3">
        <v>16</v>
      </c>
      <c r="J1448" s="3">
        <v>6.6</v>
      </c>
      <c r="K1448" s="3">
        <v>0.7</v>
      </c>
      <c r="L1448" s="3">
        <v>10.4</v>
      </c>
      <c r="M1448" t="str">
        <f>IF(acs2015_county_data[[#This Row],[PublicWork]]&gt;='Описательные характеристики'!$F$5,"да","нет")</f>
        <v>нет</v>
      </c>
      <c r="N1448" t="str">
        <f>IF(acs2015_county_data[[#This Row],[Unemployment]]&gt;='Описательные характеристики'!$I$5,"да","нет")</f>
        <v>да</v>
      </c>
    </row>
    <row r="1449" spans="1:14" x14ac:dyDescent="0.35">
      <c r="A1449">
        <v>28093</v>
      </c>
      <c r="B1449" t="s">
        <v>157</v>
      </c>
      <c r="C1449" t="s">
        <v>60</v>
      </c>
      <c r="D1449" s="2">
        <v>36385</v>
      </c>
      <c r="E1449" s="2">
        <v>19047</v>
      </c>
      <c r="F1449" s="3">
        <v>5.7</v>
      </c>
      <c r="G1449" s="3">
        <v>14066</v>
      </c>
      <c r="H1449" s="3">
        <v>79.8</v>
      </c>
      <c r="I1449" s="3">
        <v>12.5</v>
      </c>
      <c r="J1449" s="3">
        <v>7.6</v>
      </c>
      <c r="K1449" s="3">
        <v>0.1</v>
      </c>
      <c r="L1449" s="3">
        <v>8.4</v>
      </c>
      <c r="M1449" t="str">
        <f>IF(acs2015_county_data[[#This Row],[PublicWork]]&gt;='Описательные характеристики'!$F$5,"да","нет")</f>
        <v>нет</v>
      </c>
      <c r="N1449" t="str">
        <f>IF(acs2015_county_data[[#This Row],[Unemployment]]&gt;='Описательные характеристики'!$I$5,"да","нет")</f>
        <v>да</v>
      </c>
    </row>
    <row r="1450" spans="1:14" x14ac:dyDescent="0.35">
      <c r="A1450">
        <v>28095</v>
      </c>
      <c r="B1450" t="s">
        <v>157</v>
      </c>
      <c r="C1450" t="s">
        <v>62</v>
      </c>
      <c r="D1450" s="2">
        <v>36175</v>
      </c>
      <c r="E1450" s="2">
        <v>19215</v>
      </c>
      <c r="F1450" s="3">
        <v>1.6</v>
      </c>
      <c r="G1450" s="3">
        <v>14217</v>
      </c>
      <c r="H1450" s="3">
        <v>80</v>
      </c>
      <c r="I1450" s="3">
        <v>14.8</v>
      </c>
      <c r="J1450" s="3">
        <v>4.7</v>
      </c>
      <c r="K1450" s="3">
        <v>0.4</v>
      </c>
      <c r="L1450" s="3">
        <v>10.9</v>
      </c>
      <c r="M1450" t="str">
        <f>IF(acs2015_county_data[[#This Row],[PublicWork]]&gt;='Описательные характеристики'!$F$5,"да","нет")</f>
        <v>нет</v>
      </c>
      <c r="N1450" t="str">
        <f>IF(acs2015_county_data[[#This Row],[Unemployment]]&gt;='Описательные характеристики'!$I$5,"да","нет")</f>
        <v>да</v>
      </c>
    </row>
    <row r="1451" spans="1:14" x14ac:dyDescent="0.35">
      <c r="A1451">
        <v>28097</v>
      </c>
      <c r="B1451" t="s">
        <v>157</v>
      </c>
      <c r="C1451" t="s">
        <v>158</v>
      </c>
      <c r="D1451" s="2">
        <v>10464</v>
      </c>
      <c r="E1451" s="2">
        <v>17674</v>
      </c>
      <c r="F1451" s="3">
        <v>1</v>
      </c>
      <c r="G1451" s="3">
        <v>3608</v>
      </c>
      <c r="H1451" s="3">
        <v>70.7</v>
      </c>
      <c r="I1451" s="3">
        <v>24.5</v>
      </c>
      <c r="J1451" s="3">
        <v>4.8</v>
      </c>
      <c r="K1451" s="3">
        <v>0</v>
      </c>
      <c r="L1451" s="3">
        <v>8.5</v>
      </c>
      <c r="M1451" t="str">
        <f>IF(acs2015_county_data[[#This Row],[PublicWork]]&gt;='Описательные характеристики'!$F$5,"да","нет")</f>
        <v>да</v>
      </c>
      <c r="N1451" t="str">
        <f>IF(acs2015_county_data[[#This Row],[Unemployment]]&gt;='Описательные характеристики'!$I$5,"да","нет")</f>
        <v>да</v>
      </c>
    </row>
    <row r="1452" spans="1:14" x14ac:dyDescent="0.35">
      <c r="A1452">
        <v>28099</v>
      </c>
      <c r="B1452" t="s">
        <v>157</v>
      </c>
      <c r="C1452" t="s">
        <v>996</v>
      </c>
      <c r="D1452" s="2">
        <v>29553</v>
      </c>
      <c r="E1452" s="2">
        <v>18572</v>
      </c>
      <c r="F1452" s="3">
        <v>1.2</v>
      </c>
      <c r="G1452" s="3">
        <v>12268</v>
      </c>
      <c r="H1452" s="3">
        <v>71.599999999999994</v>
      </c>
      <c r="I1452" s="3">
        <v>22.9</v>
      </c>
      <c r="J1452" s="3">
        <v>5</v>
      </c>
      <c r="K1452" s="3">
        <v>0.5</v>
      </c>
      <c r="L1452" s="3">
        <v>9.8000000000000007</v>
      </c>
      <c r="M1452" t="str">
        <f>IF(acs2015_county_data[[#This Row],[PublicWork]]&gt;='Описательные характеристики'!$F$5,"да","нет")</f>
        <v>да</v>
      </c>
      <c r="N1452" t="str">
        <f>IF(acs2015_county_data[[#This Row],[Unemployment]]&gt;='Описательные характеристики'!$I$5,"да","нет")</f>
        <v>да</v>
      </c>
    </row>
    <row r="1453" spans="1:14" x14ac:dyDescent="0.35">
      <c r="A1453">
        <v>28101</v>
      </c>
      <c r="B1453" t="s">
        <v>157</v>
      </c>
      <c r="C1453" t="s">
        <v>160</v>
      </c>
      <c r="D1453" s="2">
        <v>21663</v>
      </c>
      <c r="E1453" s="2">
        <v>20413</v>
      </c>
      <c r="F1453" s="3">
        <v>2.6</v>
      </c>
      <c r="G1453" s="3">
        <v>8319</v>
      </c>
      <c r="H1453" s="3">
        <v>68.3</v>
      </c>
      <c r="I1453" s="3">
        <v>25.8</v>
      </c>
      <c r="J1453" s="3">
        <v>5.9</v>
      </c>
      <c r="K1453" s="3">
        <v>0</v>
      </c>
      <c r="L1453" s="3">
        <v>10.6</v>
      </c>
      <c r="M1453" t="str">
        <f>IF(acs2015_county_data[[#This Row],[PublicWork]]&gt;='Описательные характеристики'!$F$5,"да","нет")</f>
        <v>да</v>
      </c>
      <c r="N1453" t="str">
        <f>IF(acs2015_county_data[[#This Row],[Unemployment]]&gt;='Описательные характеристики'!$I$5,"да","нет")</f>
        <v>да</v>
      </c>
    </row>
    <row r="1454" spans="1:14" x14ac:dyDescent="0.35">
      <c r="A1454">
        <v>28103</v>
      </c>
      <c r="B1454" t="s">
        <v>157</v>
      </c>
      <c r="C1454" t="s">
        <v>997</v>
      </c>
      <c r="D1454" s="2">
        <v>11143</v>
      </c>
      <c r="E1454" s="2">
        <v>14450</v>
      </c>
      <c r="F1454" s="3">
        <v>4.8</v>
      </c>
      <c r="G1454" s="3">
        <v>3841</v>
      </c>
      <c r="H1454" s="3">
        <v>72.8</v>
      </c>
      <c r="I1454" s="3">
        <v>16.100000000000001</v>
      </c>
      <c r="J1454" s="3">
        <v>10</v>
      </c>
      <c r="K1454" s="3">
        <v>1</v>
      </c>
      <c r="L1454" s="3">
        <v>19</v>
      </c>
      <c r="M1454" t="str">
        <f>IF(acs2015_county_data[[#This Row],[PublicWork]]&gt;='Описательные характеристики'!$F$5,"да","нет")</f>
        <v>нет</v>
      </c>
      <c r="N1454" t="str">
        <f>IF(acs2015_county_data[[#This Row],[Unemployment]]&gt;='Описательные характеристики'!$I$5,"да","нет")</f>
        <v>да</v>
      </c>
    </row>
    <row r="1455" spans="1:14" x14ac:dyDescent="0.35">
      <c r="A1455">
        <v>28105</v>
      </c>
      <c r="B1455" t="s">
        <v>157</v>
      </c>
      <c r="C1455" t="s">
        <v>998</v>
      </c>
      <c r="D1455" s="2">
        <v>49048</v>
      </c>
      <c r="E1455" s="2">
        <v>20091</v>
      </c>
      <c r="F1455" s="3">
        <v>3.9</v>
      </c>
      <c r="G1455" s="3">
        <v>19381</v>
      </c>
      <c r="H1455" s="3">
        <v>60.4</v>
      </c>
      <c r="I1455" s="3">
        <v>36.200000000000003</v>
      </c>
      <c r="J1455" s="3">
        <v>2.9</v>
      </c>
      <c r="K1455" s="3">
        <v>0.5</v>
      </c>
      <c r="L1455" s="3">
        <v>13.3</v>
      </c>
      <c r="M1455" t="str">
        <f>IF(acs2015_county_data[[#This Row],[PublicWork]]&gt;='Описательные характеристики'!$F$5,"да","нет")</f>
        <v>да</v>
      </c>
      <c r="N1455" t="str">
        <f>IF(acs2015_county_data[[#This Row],[Unemployment]]&gt;='Описательные характеристики'!$I$5,"да","нет")</f>
        <v>да</v>
      </c>
    </row>
    <row r="1456" spans="1:14" x14ac:dyDescent="0.35">
      <c r="A1456">
        <v>28107</v>
      </c>
      <c r="B1456" t="s">
        <v>157</v>
      </c>
      <c r="C1456" t="s">
        <v>999</v>
      </c>
      <c r="D1456" s="2">
        <v>34373</v>
      </c>
      <c r="E1456" s="2">
        <v>19525</v>
      </c>
      <c r="F1456" s="3">
        <v>4.2</v>
      </c>
      <c r="G1456" s="3">
        <v>12826</v>
      </c>
      <c r="H1456" s="3">
        <v>80.099999999999994</v>
      </c>
      <c r="I1456" s="3">
        <v>16.3</v>
      </c>
      <c r="J1456" s="3">
        <v>3.6</v>
      </c>
      <c r="K1456" s="3">
        <v>0</v>
      </c>
      <c r="L1456" s="3">
        <v>10.3</v>
      </c>
      <c r="M1456" t="str">
        <f>IF(acs2015_county_data[[#This Row],[PublicWork]]&gt;='Описательные характеристики'!$F$5,"да","нет")</f>
        <v>да</v>
      </c>
      <c r="N1456" t="str">
        <f>IF(acs2015_county_data[[#This Row],[Unemployment]]&gt;='Описательные характеристики'!$I$5,"да","нет")</f>
        <v>да</v>
      </c>
    </row>
    <row r="1457" spans="1:14" x14ac:dyDescent="0.35">
      <c r="A1457">
        <v>28109</v>
      </c>
      <c r="B1457" t="s">
        <v>157</v>
      </c>
      <c r="C1457" t="s">
        <v>1000</v>
      </c>
      <c r="D1457" s="2">
        <v>55196</v>
      </c>
      <c r="E1457" s="2">
        <v>19786</v>
      </c>
      <c r="F1457" s="3">
        <v>2.1</v>
      </c>
      <c r="G1457" s="3">
        <v>20219</v>
      </c>
      <c r="H1457" s="3">
        <v>76.099999999999994</v>
      </c>
      <c r="I1457" s="3">
        <v>17.5</v>
      </c>
      <c r="J1457" s="3">
        <v>6.3</v>
      </c>
      <c r="K1457" s="3">
        <v>0.1</v>
      </c>
      <c r="L1457" s="3">
        <v>12.1</v>
      </c>
      <c r="M1457" t="str">
        <f>IF(acs2015_county_data[[#This Row],[PublicWork]]&gt;='Описательные характеристики'!$F$5,"да","нет")</f>
        <v>да</v>
      </c>
      <c r="N1457" t="str">
        <f>IF(acs2015_county_data[[#This Row],[Unemployment]]&gt;='Описательные характеристики'!$I$5,"да","нет")</f>
        <v>да</v>
      </c>
    </row>
    <row r="1458" spans="1:14" x14ac:dyDescent="0.35">
      <c r="A1458">
        <v>28111</v>
      </c>
      <c r="B1458" t="s">
        <v>157</v>
      </c>
      <c r="C1458" t="s">
        <v>64</v>
      </c>
      <c r="D1458" s="2">
        <v>12187</v>
      </c>
      <c r="E1458" s="2">
        <v>17928</v>
      </c>
      <c r="F1458" s="3">
        <v>0.7</v>
      </c>
      <c r="G1458" s="3">
        <v>4131</v>
      </c>
      <c r="H1458" s="3">
        <v>73.2</v>
      </c>
      <c r="I1458" s="3">
        <v>20.6</v>
      </c>
      <c r="J1458" s="3">
        <v>5.8</v>
      </c>
      <c r="K1458" s="3">
        <v>0.3</v>
      </c>
      <c r="L1458" s="3">
        <v>12.9</v>
      </c>
      <c r="M1458" t="str">
        <f>IF(acs2015_county_data[[#This Row],[PublicWork]]&gt;='Описательные характеристики'!$F$5,"да","нет")</f>
        <v>да</v>
      </c>
      <c r="N1458" t="str">
        <f>IF(acs2015_county_data[[#This Row],[Unemployment]]&gt;='Описательные характеристики'!$I$5,"да","нет")</f>
        <v>да</v>
      </c>
    </row>
    <row r="1459" spans="1:14" x14ac:dyDescent="0.35">
      <c r="A1459">
        <v>28113</v>
      </c>
      <c r="B1459" t="s">
        <v>157</v>
      </c>
      <c r="C1459" t="s">
        <v>66</v>
      </c>
      <c r="D1459" s="2">
        <v>40075</v>
      </c>
      <c r="E1459" s="2">
        <v>17777</v>
      </c>
      <c r="F1459" s="3">
        <v>1.8</v>
      </c>
      <c r="G1459" s="3">
        <v>14477</v>
      </c>
      <c r="H1459" s="3">
        <v>79.599999999999994</v>
      </c>
      <c r="I1459" s="3">
        <v>14.5</v>
      </c>
      <c r="J1459" s="3">
        <v>5.6</v>
      </c>
      <c r="K1459" s="3">
        <v>0.2</v>
      </c>
      <c r="L1459" s="3">
        <v>9.5</v>
      </c>
      <c r="M1459" t="str">
        <f>IF(acs2015_county_data[[#This Row],[PublicWork]]&gt;='Описательные характеристики'!$F$5,"да","нет")</f>
        <v>нет</v>
      </c>
      <c r="N1459" t="str">
        <f>IF(acs2015_county_data[[#This Row],[Unemployment]]&gt;='Описательные характеристики'!$I$5,"да","нет")</f>
        <v>да</v>
      </c>
    </row>
    <row r="1460" spans="1:14" x14ac:dyDescent="0.35">
      <c r="A1460">
        <v>28115</v>
      </c>
      <c r="B1460" t="s">
        <v>157</v>
      </c>
      <c r="C1460" t="s">
        <v>1001</v>
      </c>
      <c r="D1460" s="2">
        <v>30517</v>
      </c>
      <c r="E1460" s="2">
        <v>19695</v>
      </c>
      <c r="F1460" s="3">
        <v>2.1</v>
      </c>
      <c r="G1460" s="3">
        <v>13476</v>
      </c>
      <c r="H1460" s="3">
        <v>82.9</v>
      </c>
      <c r="I1460" s="3">
        <v>11.7</v>
      </c>
      <c r="J1460" s="3">
        <v>5.3</v>
      </c>
      <c r="K1460" s="3">
        <v>0.1</v>
      </c>
      <c r="L1460" s="3">
        <v>6.6</v>
      </c>
      <c r="M1460" t="str">
        <f>IF(acs2015_county_data[[#This Row],[PublicWork]]&gt;='Описательные характеристики'!$F$5,"да","нет")</f>
        <v>нет</v>
      </c>
      <c r="N1460" t="str">
        <f>IF(acs2015_county_data[[#This Row],[Unemployment]]&gt;='Описательные характеристики'!$I$5,"да","нет")</f>
        <v>нет</v>
      </c>
    </row>
    <row r="1461" spans="1:14" x14ac:dyDescent="0.35">
      <c r="A1461">
        <v>28117</v>
      </c>
      <c r="B1461" t="s">
        <v>157</v>
      </c>
      <c r="C1461" t="s">
        <v>1002</v>
      </c>
      <c r="D1461" s="2">
        <v>25380</v>
      </c>
      <c r="E1461" s="2">
        <v>17644</v>
      </c>
      <c r="F1461" s="3">
        <v>1.4</v>
      </c>
      <c r="G1461" s="3">
        <v>9559</v>
      </c>
      <c r="H1461" s="3">
        <v>76.7</v>
      </c>
      <c r="I1461" s="3">
        <v>15.3</v>
      </c>
      <c r="J1461" s="3">
        <v>8</v>
      </c>
      <c r="K1461" s="3">
        <v>0</v>
      </c>
      <c r="L1461" s="3">
        <v>10.199999999999999</v>
      </c>
      <c r="M1461" t="str">
        <f>IF(acs2015_county_data[[#This Row],[PublicWork]]&gt;='Описательные характеристики'!$F$5,"да","нет")</f>
        <v>нет</v>
      </c>
      <c r="N1461" t="str">
        <f>IF(acs2015_county_data[[#This Row],[Unemployment]]&gt;='Описательные характеристики'!$I$5,"да","нет")</f>
        <v>да</v>
      </c>
    </row>
    <row r="1462" spans="1:14" x14ac:dyDescent="0.35">
      <c r="A1462">
        <v>28119</v>
      </c>
      <c r="B1462" t="s">
        <v>157</v>
      </c>
      <c r="C1462" t="s">
        <v>431</v>
      </c>
      <c r="D1462" s="2">
        <v>7761</v>
      </c>
      <c r="E1462" s="2">
        <v>14503</v>
      </c>
      <c r="F1462" s="3">
        <v>2.5</v>
      </c>
      <c r="G1462" s="3">
        <v>2324</v>
      </c>
      <c r="H1462" s="3">
        <v>68.099999999999994</v>
      </c>
      <c r="I1462" s="3">
        <v>24.4</v>
      </c>
      <c r="J1462" s="3">
        <v>7.5</v>
      </c>
      <c r="K1462" s="3">
        <v>0</v>
      </c>
      <c r="L1462" s="3">
        <v>25.3</v>
      </c>
      <c r="M1462" t="str">
        <f>IF(acs2015_county_data[[#This Row],[PublicWork]]&gt;='Описательные характеристики'!$F$5,"да","нет")</f>
        <v>да</v>
      </c>
      <c r="N1462" t="str">
        <f>IF(acs2015_county_data[[#This Row],[Unemployment]]&gt;='Описательные характеристики'!$I$5,"да","нет")</f>
        <v>да</v>
      </c>
    </row>
    <row r="1463" spans="1:14" x14ac:dyDescent="0.35">
      <c r="A1463">
        <v>28121</v>
      </c>
      <c r="B1463" t="s">
        <v>157</v>
      </c>
      <c r="C1463" t="s">
        <v>1003</v>
      </c>
      <c r="D1463" s="2">
        <v>146761</v>
      </c>
      <c r="E1463" s="2">
        <v>27389</v>
      </c>
      <c r="F1463" s="3">
        <v>2.2999999999999998</v>
      </c>
      <c r="G1463" s="3">
        <v>69233</v>
      </c>
      <c r="H1463" s="3">
        <v>76.5</v>
      </c>
      <c r="I1463" s="3">
        <v>19.3</v>
      </c>
      <c r="J1463" s="3">
        <v>4.0999999999999996</v>
      </c>
      <c r="K1463" s="3">
        <v>0.1</v>
      </c>
      <c r="L1463" s="3">
        <v>5.4</v>
      </c>
      <c r="M1463" t="str">
        <f>IF(acs2015_county_data[[#This Row],[PublicWork]]&gt;='Описательные характеристики'!$F$5,"да","нет")</f>
        <v>да</v>
      </c>
      <c r="N1463" t="str">
        <f>IF(acs2015_county_data[[#This Row],[Unemployment]]&gt;='Описательные характеристики'!$I$5,"да","нет")</f>
        <v>нет</v>
      </c>
    </row>
    <row r="1464" spans="1:14" x14ac:dyDescent="0.35">
      <c r="A1464">
        <v>28123</v>
      </c>
      <c r="B1464" t="s">
        <v>157</v>
      </c>
      <c r="C1464" t="s">
        <v>169</v>
      </c>
      <c r="D1464" s="2">
        <v>28293</v>
      </c>
      <c r="E1464" s="2">
        <v>17256</v>
      </c>
      <c r="F1464" s="3">
        <v>2.2999999999999998</v>
      </c>
      <c r="G1464" s="3">
        <v>10867</v>
      </c>
      <c r="H1464" s="3">
        <v>77.400000000000006</v>
      </c>
      <c r="I1464" s="3">
        <v>16.100000000000001</v>
      </c>
      <c r="J1464" s="3">
        <v>6.3</v>
      </c>
      <c r="K1464" s="3">
        <v>0.1</v>
      </c>
      <c r="L1464" s="3">
        <v>13.1</v>
      </c>
      <c r="M1464" t="str">
        <f>IF(acs2015_county_data[[#This Row],[PublicWork]]&gt;='Описательные характеристики'!$F$5,"да","нет")</f>
        <v>нет</v>
      </c>
      <c r="N1464" t="str">
        <f>IF(acs2015_county_data[[#This Row],[Unemployment]]&gt;='Описательные характеристики'!$I$5,"да","нет")</f>
        <v>да</v>
      </c>
    </row>
    <row r="1465" spans="1:14" x14ac:dyDescent="0.35">
      <c r="A1465">
        <v>28125</v>
      </c>
      <c r="B1465" t="s">
        <v>157</v>
      </c>
      <c r="C1465" t="s">
        <v>1004</v>
      </c>
      <c r="D1465" s="2">
        <v>4805</v>
      </c>
      <c r="E1465" s="2">
        <v>15993</v>
      </c>
      <c r="F1465" s="3">
        <v>0.4</v>
      </c>
      <c r="G1465" s="3">
        <v>1678</v>
      </c>
      <c r="H1465" s="3">
        <v>71.7</v>
      </c>
      <c r="I1465" s="3">
        <v>23.5</v>
      </c>
      <c r="J1465" s="3">
        <v>4.7</v>
      </c>
      <c r="K1465" s="3">
        <v>0.1</v>
      </c>
      <c r="L1465" s="3">
        <v>22.1</v>
      </c>
      <c r="M1465" t="str">
        <f>IF(acs2015_county_data[[#This Row],[PublicWork]]&gt;='Описательные характеристики'!$F$5,"да","нет")</f>
        <v>да</v>
      </c>
      <c r="N1465" t="str">
        <f>IF(acs2015_county_data[[#This Row],[Unemployment]]&gt;='Описательные характеристики'!$I$5,"да","нет")</f>
        <v>да</v>
      </c>
    </row>
    <row r="1466" spans="1:14" x14ac:dyDescent="0.35">
      <c r="A1466">
        <v>28127</v>
      </c>
      <c r="B1466" t="s">
        <v>157</v>
      </c>
      <c r="C1466" t="s">
        <v>761</v>
      </c>
      <c r="D1466" s="2">
        <v>27401</v>
      </c>
      <c r="E1466" s="2">
        <v>17412</v>
      </c>
      <c r="F1466" s="3">
        <v>1.4</v>
      </c>
      <c r="G1466" s="3">
        <v>9821</v>
      </c>
      <c r="H1466" s="3">
        <v>79.2</v>
      </c>
      <c r="I1466" s="3">
        <v>14.6</v>
      </c>
      <c r="J1466" s="3">
        <v>6.1</v>
      </c>
      <c r="K1466" s="3">
        <v>0.1</v>
      </c>
      <c r="L1466" s="3">
        <v>10.9</v>
      </c>
      <c r="M1466" t="str">
        <f>IF(acs2015_county_data[[#This Row],[PublicWork]]&gt;='Описательные характеристики'!$F$5,"да","нет")</f>
        <v>нет</v>
      </c>
      <c r="N1466" t="str">
        <f>IF(acs2015_county_data[[#This Row],[Unemployment]]&gt;='Описательные характеристики'!$I$5,"да","нет")</f>
        <v>да</v>
      </c>
    </row>
    <row r="1467" spans="1:14" x14ac:dyDescent="0.35">
      <c r="A1467">
        <v>28129</v>
      </c>
      <c r="B1467" t="s">
        <v>157</v>
      </c>
      <c r="C1467" t="s">
        <v>698</v>
      </c>
      <c r="D1467" s="2">
        <v>16257</v>
      </c>
      <c r="E1467" s="2">
        <v>21050</v>
      </c>
      <c r="F1467" s="3">
        <v>2.5</v>
      </c>
      <c r="G1467" s="3">
        <v>6433</v>
      </c>
      <c r="H1467" s="3">
        <v>75.400000000000006</v>
      </c>
      <c r="I1467" s="3">
        <v>15.2</v>
      </c>
      <c r="J1467" s="3">
        <v>8.5</v>
      </c>
      <c r="K1467" s="3">
        <v>0.8</v>
      </c>
      <c r="L1467" s="3">
        <v>4.8</v>
      </c>
      <c r="M1467" t="str">
        <f>IF(acs2015_county_data[[#This Row],[PublicWork]]&gt;='Описательные характеристики'!$F$5,"да","нет")</f>
        <v>нет</v>
      </c>
      <c r="N1467" t="str">
        <f>IF(acs2015_county_data[[#This Row],[Unemployment]]&gt;='Описательные характеристики'!$I$5,"да","нет")</f>
        <v>нет</v>
      </c>
    </row>
    <row r="1468" spans="1:14" x14ac:dyDescent="0.35">
      <c r="A1468">
        <v>28131</v>
      </c>
      <c r="B1468" t="s">
        <v>157</v>
      </c>
      <c r="C1468" t="s">
        <v>174</v>
      </c>
      <c r="D1468" s="2">
        <v>17978</v>
      </c>
      <c r="E1468" s="2">
        <v>19484</v>
      </c>
      <c r="F1468" s="3">
        <v>1.9</v>
      </c>
      <c r="G1468" s="3">
        <v>6920</v>
      </c>
      <c r="H1468" s="3">
        <v>72.5</v>
      </c>
      <c r="I1468" s="3">
        <v>21.3</v>
      </c>
      <c r="J1468" s="3">
        <v>6.2</v>
      </c>
      <c r="K1468" s="3">
        <v>0</v>
      </c>
      <c r="L1468" s="3">
        <v>9.6999999999999993</v>
      </c>
      <c r="M1468" t="str">
        <f>IF(acs2015_county_data[[#This Row],[PublicWork]]&gt;='Описательные характеристики'!$F$5,"да","нет")</f>
        <v>да</v>
      </c>
      <c r="N1468" t="str">
        <f>IF(acs2015_county_data[[#This Row],[Unemployment]]&gt;='Описательные характеристики'!$I$5,"да","нет")</f>
        <v>да</v>
      </c>
    </row>
    <row r="1469" spans="1:14" x14ac:dyDescent="0.35">
      <c r="A1469">
        <v>28133</v>
      </c>
      <c r="B1469" t="s">
        <v>157</v>
      </c>
      <c r="C1469" t="s">
        <v>1995</v>
      </c>
      <c r="D1469" s="2">
        <v>27911</v>
      </c>
      <c r="E1469" s="2">
        <v>13718</v>
      </c>
      <c r="F1469" s="3">
        <v>0.7</v>
      </c>
      <c r="G1469" s="3">
        <v>8382</v>
      </c>
      <c r="H1469" s="3">
        <v>70.900000000000006</v>
      </c>
      <c r="I1469" s="3">
        <v>23.6</v>
      </c>
      <c r="J1469" s="3">
        <v>5</v>
      </c>
      <c r="K1469" s="3">
        <v>0.5</v>
      </c>
      <c r="L1469" s="3">
        <v>20.100000000000001</v>
      </c>
      <c r="M1469" t="str">
        <f>IF(acs2015_county_data[[#This Row],[PublicWork]]&gt;='Описательные характеристики'!$F$5,"да","нет")</f>
        <v>да</v>
      </c>
      <c r="N1469" t="str">
        <f>IF(acs2015_county_data[[#This Row],[Unemployment]]&gt;='Описательные характеристики'!$I$5,"да","нет")</f>
        <v>да</v>
      </c>
    </row>
    <row r="1470" spans="1:14" x14ac:dyDescent="0.35">
      <c r="A1470">
        <v>28135</v>
      </c>
      <c r="B1470" t="s">
        <v>157</v>
      </c>
      <c r="C1470" t="s">
        <v>1005</v>
      </c>
      <c r="D1470" s="2">
        <v>14959</v>
      </c>
      <c r="E1470" s="2">
        <v>13819</v>
      </c>
      <c r="F1470" s="3">
        <v>3.6</v>
      </c>
      <c r="G1470" s="3">
        <v>3806</v>
      </c>
      <c r="H1470" s="3">
        <v>68.5</v>
      </c>
      <c r="I1470" s="3">
        <v>23.7</v>
      </c>
      <c r="J1470" s="3">
        <v>7.5</v>
      </c>
      <c r="K1470" s="3">
        <v>0.3</v>
      </c>
      <c r="L1470" s="3">
        <v>19</v>
      </c>
      <c r="M1470" t="str">
        <f>IF(acs2015_county_data[[#This Row],[PublicWork]]&gt;='Описательные характеристики'!$F$5,"да","нет")</f>
        <v>да</v>
      </c>
      <c r="N1470" t="str">
        <f>IF(acs2015_county_data[[#This Row],[Unemployment]]&gt;='Описательные характеристики'!$I$5,"да","нет")</f>
        <v>да</v>
      </c>
    </row>
    <row r="1471" spans="1:14" x14ac:dyDescent="0.35">
      <c r="A1471">
        <v>28137</v>
      </c>
      <c r="B1471" t="s">
        <v>157</v>
      </c>
      <c r="C1471" t="s">
        <v>1006</v>
      </c>
      <c r="D1471" s="2">
        <v>28415</v>
      </c>
      <c r="E1471" s="2">
        <v>21547</v>
      </c>
      <c r="F1471" s="3">
        <v>3.1</v>
      </c>
      <c r="G1471" s="3">
        <v>11418</v>
      </c>
      <c r="H1471" s="3">
        <v>79.900000000000006</v>
      </c>
      <c r="I1471" s="3">
        <v>15.8</v>
      </c>
      <c r="J1471" s="3">
        <v>4.2</v>
      </c>
      <c r="K1471" s="3">
        <v>0.1</v>
      </c>
      <c r="L1471" s="3">
        <v>10</v>
      </c>
      <c r="M1471" t="str">
        <f>IF(acs2015_county_data[[#This Row],[PublicWork]]&gt;='Описательные характеристики'!$F$5,"да","нет")</f>
        <v>нет</v>
      </c>
      <c r="N1471" t="str">
        <f>IF(acs2015_county_data[[#This Row],[Unemployment]]&gt;='Описательные характеристики'!$I$5,"да","нет")</f>
        <v>да</v>
      </c>
    </row>
    <row r="1472" spans="1:14" x14ac:dyDescent="0.35">
      <c r="A1472">
        <v>28139</v>
      </c>
      <c r="B1472" t="s">
        <v>157</v>
      </c>
      <c r="C1472" t="s">
        <v>1007</v>
      </c>
      <c r="D1472" s="2">
        <v>22054</v>
      </c>
      <c r="E1472" s="2">
        <v>20012</v>
      </c>
      <c r="F1472" s="3">
        <v>2.8</v>
      </c>
      <c r="G1472" s="3">
        <v>8428</v>
      </c>
      <c r="H1472" s="3">
        <v>79.599999999999994</v>
      </c>
      <c r="I1472" s="3">
        <v>14</v>
      </c>
      <c r="J1472" s="3">
        <v>6.4</v>
      </c>
      <c r="K1472" s="3">
        <v>0</v>
      </c>
      <c r="L1472" s="3">
        <v>12.2</v>
      </c>
      <c r="M1472" t="str">
        <f>IF(acs2015_county_data[[#This Row],[PublicWork]]&gt;='Описательные характеристики'!$F$5,"да","нет")</f>
        <v>нет</v>
      </c>
      <c r="N1472" t="str">
        <f>IF(acs2015_county_data[[#This Row],[Unemployment]]&gt;='Описательные характеристики'!$I$5,"да","нет")</f>
        <v>да</v>
      </c>
    </row>
    <row r="1473" spans="1:14" x14ac:dyDescent="0.35">
      <c r="A1473">
        <v>28141</v>
      </c>
      <c r="B1473" t="s">
        <v>157</v>
      </c>
      <c r="C1473" t="s">
        <v>1008</v>
      </c>
      <c r="D1473" s="2">
        <v>19539</v>
      </c>
      <c r="E1473" s="2">
        <v>18881</v>
      </c>
      <c r="F1473" s="3">
        <v>1.4</v>
      </c>
      <c r="G1473" s="3">
        <v>7885</v>
      </c>
      <c r="H1473" s="3">
        <v>80.599999999999994</v>
      </c>
      <c r="I1473" s="3">
        <v>13.1</v>
      </c>
      <c r="J1473" s="3">
        <v>6.2</v>
      </c>
      <c r="K1473" s="3">
        <v>0.1</v>
      </c>
      <c r="L1473" s="3">
        <v>10.5</v>
      </c>
      <c r="M1473" t="str">
        <f>IF(acs2015_county_data[[#This Row],[PublicWork]]&gt;='Описательные характеристики'!$F$5,"да","нет")</f>
        <v>нет</v>
      </c>
      <c r="N1473" t="str">
        <f>IF(acs2015_county_data[[#This Row],[Unemployment]]&gt;='Описательные характеристики'!$I$5,"да","нет")</f>
        <v>да</v>
      </c>
    </row>
    <row r="1474" spans="1:14" x14ac:dyDescent="0.35">
      <c r="A1474">
        <v>28143</v>
      </c>
      <c r="B1474" t="s">
        <v>157</v>
      </c>
      <c r="C1474" t="s">
        <v>1009</v>
      </c>
      <c r="D1474" s="2">
        <v>10477</v>
      </c>
      <c r="E1474" s="2">
        <v>17246</v>
      </c>
      <c r="F1474" s="3">
        <v>1</v>
      </c>
      <c r="G1474" s="3">
        <v>4191</v>
      </c>
      <c r="H1474" s="3">
        <v>82.6</v>
      </c>
      <c r="I1474" s="3">
        <v>15.6</v>
      </c>
      <c r="J1474" s="3">
        <v>1.7</v>
      </c>
      <c r="K1474" s="3">
        <v>0.1</v>
      </c>
      <c r="L1474" s="3">
        <v>12.4</v>
      </c>
      <c r="M1474" t="str">
        <f>IF(acs2015_county_data[[#This Row],[PublicWork]]&gt;='Описательные характеристики'!$F$5,"да","нет")</f>
        <v>нет</v>
      </c>
      <c r="N1474" t="str">
        <f>IF(acs2015_county_data[[#This Row],[Unemployment]]&gt;='Описательные характеристики'!$I$5,"да","нет")</f>
        <v>да</v>
      </c>
    </row>
    <row r="1475" spans="1:14" x14ac:dyDescent="0.35">
      <c r="A1475">
        <v>28145</v>
      </c>
      <c r="B1475" t="s">
        <v>157</v>
      </c>
      <c r="C1475" t="s">
        <v>175</v>
      </c>
      <c r="D1475" s="2">
        <v>27811</v>
      </c>
      <c r="E1475" s="2">
        <v>18889</v>
      </c>
      <c r="F1475" s="3">
        <v>3.6</v>
      </c>
      <c r="G1475" s="3">
        <v>10949</v>
      </c>
      <c r="H1475" s="3">
        <v>82.7</v>
      </c>
      <c r="I1475" s="3">
        <v>11.6</v>
      </c>
      <c r="J1475" s="3">
        <v>5.6</v>
      </c>
      <c r="K1475" s="3">
        <v>0.1</v>
      </c>
      <c r="L1475" s="3">
        <v>10.7</v>
      </c>
      <c r="M1475" t="str">
        <f>IF(acs2015_county_data[[#This Row],[PublicWork]]&gt;='Описательные характеристики'!$F$5,"да","нет")</f>
        <v>нет</v>
      </c>
      <c r="N1475" t="str">
        <f>IF(acs2015_county_data[[#This Row],[Unemployment]]&gt;='Описательные характеристики'!$I$5,"да","нет")</f>
        <v>да</v>
      </c>
    </row>
    <row r="1476" spans="1:14" x14ac:dyDescent="0.35">
      <c r="A1476">
        <v>28147</v>
      </c>
      <c r="B1476" t="s">
        <v>157</v>
      </c>
      <c r="C1476" t="s">
        <v>1010</v>
      </c>
      <c r="D1476" s="2">
        <v>14978</v>
      </c>
      <c r="E1476" s="2">
        <v>17872</v>
      </c>
      <c r="F1476" s="3">
        <v>2.9</v>
      </c>
      <c r="G1476" s="3">
        <v>5382</v>
      </c>
      <c r="H1476" s="3">
        <v>72.400000000000006</v>
      </c>
      <c r="I1476" s="3">
        <v>20.100000000000001</v>
      </c>
      <c r="J1476" s="3">
        <v>6.3</v>
      </c>
      <c r="K1476" s="3">
        <v>1.2</v>
      </c>
      <c r="L1476" s="3">
        <v>11.1</v>
      </c>
      <c r="M1476" t="str">
        <f>IF(acs2015_county_data[[#This Row],[PublicWork]]&gt;='Описательные характеристики'!$F$5,"да","нет")</f>
        <v>да</v>
      </c>
      <c r="N1476" t="str">
        <f>IF(acs2015_county_data[[#This Row],[Unemployment]]&gt;='Описательные характеристики'!$I$5,"да","нет")</f>
        <v>да</v>
      </c>
    </row>
    <row r="1477" spans="1:14" x14ac:dyDescent="0.35">
      <c r="A1477">
        <v>28149</v>
      </c>
      <c r="B1477" t="s">
        <v>157</v>
      </c>
      <c r="C1477" t="s">
        <v>456</v>
      </c>
      <c r="D1477" s="2">
        <v>48020</v>
      </c>
      <c r="E1477" s="2">
        <v>22417</v>
      </c>
      <c r="F1477" s="3">
        <v>1.6</v>
      </c>
      <c r="G1477" s="3">
        <v>19554</v>
      </c>
      <c r="H1477" s="3">
        <v>71.8</v>
      </c>
      <c r="I1477" s="3">
        <v>24.3</v>
      </c>
      <c r="J1477" s="3">
        <v>3.7</v>
      </c>
      <c r="K1477" s="3">
        <v>0.2</v>
      </c>
      <c r="L1477" s="3">
        <v>8</v>
      </c>
      <c r="M1477" t="str">
        <f>IF(acs2015_county_data[[#This Row],[PublicWork]]&gt;='Описательные характеристики'!$F$5,"да","нет")</f>
        <v>да</v>
      </c>
      <c r="N1477" t="str">
        <f>IF(acs2015_county_data[[#This Row],[Unemployment]]&gt;='Описательные характеристики'!$I$5,"да","нет")</f>
        <v>да</v>
      </c>
    </row>
    <row r="1478" spans="1:14" x14ac:dyDescent="0.35">
      <c r="A1478">
        <v>28151</v>
      </c>
      <c r="B1478" t="s">
        <v>157</v>
      </c>
      <c r="C1478" t="s">
        <v>75</v>
      </c>
      <c r="D1478" s="2">
        <v>49499</v>
      </c>
      <c r="E1478" s="2">
        <v>17160</v>
      </c>
      <c r="F1478" s="3">
        <v>1.8</v>
      </c>
      <c r="G1478" s="3">
        <v>17034</v>
      </c>
      <c r="H1478" s="3">
        <v>70.5</v>
      </c>
      <c r="I1478" s="3">
        <v>24.1</v>
      </c>
      <c r="J1478" s="3">
        <v>5.2</v>
      </c>
      <c r="K1478" s="3">
        <v>0.1</v>
      </c>
      <c r="L1478" s="3">
        <v>21.7</v>
      </c>
      <c r="M1478" t="str">
        <f>IF(acs2015_county_data[[#This Row],[PublicWork]]&gt;='Описательные характеристики'!$F$5,"да","нет")</f>
        <v>да</v>
      </c>
      <c r="N1478" t="str">
        <f>IF(acs2015_county_data[[#This Row],[Unemployment]]&gt;='Описательные характеристики'!$I$5,"да","нет")</f>
        <v>да</v>
      </c>
    </row>
    <row r="1479" spans="1:14" x14ac:dyDescent="0.35">
      <c r="A1479">
        <v>28153</v>
      </c>
      <c r="B1479" t="s">
        <v>157</v>
      </c>
      <c r="C1479" t="s">
        <v>457</v>
      </c>
      <c r="D1479" s="2">
        <v>20564</v>
      </c>
      <c r="E1479" s="2">
        <v>20231</v>
      </c>
      <c r="F1479" s="3">
        <v>5.0999999999999996</v>
      </c>
      <c r="G1479" s="3">
        <v>7906</v>
      </c>
      <c r="H1479" s="3">
        <v>78.099999999999994</v>
      </c>
      <c r="I1479" s="3">
        <v>14.4</v>
      </c>
      <c r="J1479" s="3">
        <v>7.3</v>
      </c>
      <c r="K1479" s="3">
        <v>0.2</v>
      </c>
      <c r="L1479" s="3">
        <v>9.4</v>
      </c>
      <c r="M1479" t="str">
        <f>IF(acs2015_county_data[[#This Row],[PublicWork]]&gt;='Описательные характеристики'!$F$5,"да","нет")</f>
        <v>нет</v>
      </c>
      <c r="N1479" t="str">
        <f>IF(acs2015_county_data[[#This Row],[Unemployment]]&gt;='Описательные характеристики'!$I$5,"да","нет")</f>
        <v>да</v>
      </c>
    </row>
    <row r="1480" spans="1:14" x14ac:dyDescent="0.35">
      <c r="A1480">
        <v>28155</v>
      </c>
      <c r="B1480" t="s">
        <v>157</v>
      </c>
      <c r="C1480" t="s">
        <v>458</v>
      </c>
      <c r="D1480" s="2">
        <v>9999</v>
      </c>
      <c r="E1480" s="2">
        <v>19938</v>
      </c>
      <c r="F1480" s="3">
        <v>2.5</v>
      </c>
      <c r="G1480" s="3">
        <v>3544</v>
      </c>
      <c r="H1480" s="3">
        <v>68.900000000000006</v>
      </c>
      <c r="I1480" s="3">
        <v>24.9</v>
      </c>
      <c r="J1480" s="3">
        <v>6</v>
      </c>
      <c r="K1480" s="3">
        <v>0.1</v>
      </c>
      <c r="L1480" s="3">
        <v>11.2</v>
      </c>
      <c r="M1480" t="str">
        <f>IF(acs2015_county_data[[#This Row],[PublicWork]]&gt;='Описательные характеристики'!$F$5,"да","нет")</f>
        <v>да</v>
      </c>
      <c r="N1480" t="str">
        <f>IF(acs2015_county_data[[#This Row],[Unemployment]]&gt;='Описательные характеристики'!$I$5,"да","нет")</f>
        <v>да</v>
      </c>
    </row>
    <row r="1481" spans="1:14" x14ac:dyDescent="0.35">
      <c r="A1481">
        <v>28157</v>
      </c>
      <c r="B1481" t="s">
        <v>157</v>
      </c>
      <c r="C1481" t="s">
        <v>462</v>
      </c>
      <c r="D1481" s="2">
        <v>9345</v>
      </c>
      <c r="E1481" s="2">
        <v>15307</v>
      </c>
      <c r="F1481" s="3">
        <v>2.2000000000000002</v>
      </c>
      <c r="G1481" s="3">
        <v>2914</v>
      </c>
      <c r="H1481" s="3">
        <v>64.2</v>
      </c>
      <c r="I1481" s="3">
        <v>33.1</v>
      </c>
      <c r="J1481" s="3">
        <v>2.7</v>
      </c>
      <c r="K1481" s="3">
        <v>0</v>
      </c>
      <c r="L1481" s="3">
        <v>9.6999999999999993</v>
      </c>
      <c r="M1481" t="str">
        <f>IF(acs2015_county_data[[#This Row],[PublicWork]]&gt;='Описательные характеристики'!$F$5,"да","нет")</f>
        <v>да</v>
      </c>
      <c r="N1481" t="str">
        <f>IF(acs2015_county_data[[#This Row],[Unemployment]]&gt;='Описательные характеристики'!$I$5,"да","нет")</f>
        <v>да</v>
      </c>
    </row>
    <row r="1482" spans="1:14" x14ac:dyDescent="0.35">
      <c r="A1482">
        <v>28159</v>
      </c>
      <c r="B1482" t="s">
        <v>157</v>
      </c>
      <c r="C1482" t="s">
        <v>77</v>
      </c>
      <c r="D1482" s="2">
        <v>18697</v>
      </c>
      <c r="E1482" s="2">
        <v>19199</v>
      </c>
      <c r="F1482" s="3">
        <v>1.2</v>
      </c>
      <c r="G1482" s="3">
        <v>7034</v>
      </c>
      <c r="H1482" s="3">
        <v>73.5</v>
      </c>
      <c r="I1482" s="3">
        <v>20.100000000000001</v>
      </c>
      <c r="J1482" s="3">
        <v>6</v>
      </c>
      <c r="K1482" s="3">
        <v>0.4</v>
      </c>
      <c r="L1482" s="3">
        <v>12.3</v>
      </c>
      <c r="M1482" t="str">
        <f>IF(acs2015_county_data[[#This Row],[PublicWork]]&gt;='Описательные характеристики'!$F$5,"да","нет")</f>
        <v>да</v>
      </c>
      <c r="N1482" t="str">
        <f>IF(acs2015_county_data[[#This Row],[Unemployment]]&gt;='Описательные характеристики'!$I$5,"да","нет")</f>
        <v>да</v>
      </c>
    </row>
    <row r="1483" spans="1:14" x14ac:dyDescent="0.35">
      <c r="A1483">
        <v>28161</v>
      </c>
      <c r="B1483" t="s">
        <v>157</v>
      </c>
      <c r="C1483" t="s">
        <v>1011</v>
      </c>
      <c r="D1483" s="2">
        <v>12381</v>
      </c>
      <c r="E1483" s="2">
        <v>19679</v>
      </c>
      <c r="F1483" s="3">
        <v>0.2</v>
      </c>
      <c r="G1483" s="3">
        <v>5055</v>
      </c>
      <c r="H1483" s="3">
        <v>74.8</v>
      </c>
      <c r="I1483" s="3">
        <v>21.4</v>
      </c>
      <c r="J1483" s="3">
        <v>3.8</v>
      </c>
      <c r="K1483" s="3">
        <v>0</v>
      </c>
      <c r="L1483" s="3">
        <v>5.7</v>
      </c>
      <c r="M1483" t="str">
        <f>IF(acs2015_county_data[[#This Row],[PublicWork]]&gt;='Описательные характеристики'!$F$5,"да","нет")</f>
        <v>да</v>
      </c>
      <c r="N1483" t="str">
        <f>IF(acs2015_county_data[[#This Row],[Unemployment]]&gt;='Описательные характеристики'!$I$5,"да","нет")</f>
        <v>нет</v>
      </c>
    </row>
    <row r="1484" spans="1:14" x14ac:dyDescent="0.35">
      <c r="A1484">
        <v>28163</v>
      </c>
      <c r="B1484" t="s">
        <v>157</v>
      </c>
      <c r="C1484" t="s">
        <v>1012</v>
      </c>
      <c r="D1484" s="2">
        <v>27911</v>
      </c>
      <c r="E1484" s="2">
        <v>14934</v>
      </c>
      <c r="F1484" s="3">
        <v>3</v>
      </c>
      <c r="G1484" s="3">
        <v>8382</v>
      </c>
      <c r="H1484" s="3">
        <v>70.400000000000006</v>
      </c>
      <c r="I1484" s="3">
        <v>21.1</v>
      </c>
      <c r="J1484" s="3">
        <v>8.1</v>
      </c>
      <c r="K1484" s="3">
        <v>0.3</v>
      </c>
      <c r="L1484" s="3">
        <v>19.8</v>
      </c>
      <c r="M1484" t="str">
        <f>IF(acs2015_county_data[[#This Row],[PublicWork]]&gt;='Описательные характеристики'!$F$5,"да","нет")</f>
        <v>да</v>
      </c>
      <c r="N1484" t="str">
        <f>IF(acs2015_county_data[[#This Row],[Unemployment]]&gt;='Описательные характеристики'!$I$5,"да","нет")</f>
        <v>да</v>
      </c>
    </row>
    <row r="1485" spans="1:14" x14ac:dyDescent="0.35">
      <c r="A1485">
        <v>29001</v>
      </c>
      <c r="B1485" t="s">
        <v>1013</v>
      </c>
      <c r="C1485" t="s">
        <v>599</v>
      </c>
      <c r="D1485" s="2">
        <v>25560</v>
      </c>
      <c r="E1485" s="2">
        <v>19671</v>
      </c>
      <c r="F1485" s="3">
        <v>3.7</v>
      </c>
      <c r="G1485" s="3">
        <v>11096</v>
      </c>
      <c r="H1485" s="3">
        <v>71.8</v>
      </c>
      <c r="I1485" s="3">
        <v>22.3</v>
      </c>
      <c r="J1485" s="3">
        <v>5.9</v>
      </c>
      <c r="K1485" s="3">
        <v>0</v>
      </c>
      <c r="L1485" s="3">
        <v>7.9</v>
      </c>
      <c r="M1485" t="str">
        <f>IF(acs2015_county_data[[#This Row],[PublicWork]]&gt;='Описательные характеристики'!$F$5,"да","нет")</f>
        <v>да</v>
      </c>
      <c r="N1485" t="str">
        <f>IF(acs2015_county_data[[#This Row],[Unemployment]]&gt;='Описательные характеристики'!$I$5,"да","нет")</f>
        <v>да</v>
      </c>
    </row>
    <row r="1486" spans="1:14" x14ac:dyDescent="0.35">
      <c r="A1486">
        <v>29003</v>
      </c>
      <c r="B1486" t="s">
        <v>1013</v>
      </c>
      <c r="C1486" t="s">
        <v>1014</v>
      </c>
      <c r="D1486" s="2">
        <v>17328</v>
      </c>
      <c r="E1486" s="2">
        <v>26778</v>
      </c>
      <c r="F1486" s="3">
        <v>3.9</v>
      </c>
      <c r="G1486" s="3">
        <v>8583</v>
      </c>
      <c r="H1486" s="3">
        <v>77.5</v>
      </c>
      <c r="I1486" s="3">
        <v>16.3</v>
      </c>
      <c r="J1486" s="3">
        <v>6.1</v>
      </c>
      <c r="K1486" s="3">
        <v>0</v>
      </c>
      <c r="L1486" s="3">
        <v>5</v>
      </c>
      <c r="M1486" t="str">
        <f>IF(acs2015_county_data[[#This Row],[PublicWork]]&gt;='Описательные характеристики'!$F$5,"да","нет")</f>
        <v>да</v>
      </c>
      <c r="N1486" t="str">
        <f>IF(acs2015_county_data[[#This Row],[Unemployment]]&gt;='Описательные характеристики'!$I$5,"да","нет")</f>
        <v>нет</v>
      </c>
    </row>
    <row r="1487" spans="1:14" x14ac:dyDescent="0.35">
      <c r="A1487">
        <v>29005</v>
      </c>
      <c r="B1487" t="s">
        <v>1013</v>
      </c>
      <c r="C1487" t="s">
        <v>645</v>
      </c>
      <c r="D1487" s="2">
        <v>5440</v>
      </c>
      <c r="E1487" s="2">
        <v>26069</v>
      </c>
      <c r="F1487" s="3">
        <v>3.9</v>
      </c>
      <c r="G1487" s="3">
        <v>2691</v>
      </c>
      <c r="H1487" s="3">
        <v>72.2</v>
      </c>
      <c r="I1487" s="3">
        <v>18</v>
      </c>
      <c r="J1487" s="3">
        <v>9.6</v>
      </c>
      <c r="K1487" s="3">
        <v>0.2</v>
      </c>
      <c r="L1487" s="3">
        <v>4.3</v>
      </c>
      <c r="M1487" t="str">
        <f>IF(acs2015_county_data[[#This Row],[PublicWork]]&gt;='Описательные характеристики'!$F$5,"да","нет")</f>
        <v>да</v>
      </c>
      <c r="N1487" t="str">
        <f>IF(acs2015_county_data[[#This Row],[Unemployment]]&gt;='Описательные характеристики'!$I$5,"да","нет")</f>
        <v>нет</v>
      </c>
    </row>
    <row r="1488" spans="1:14" x14ac:dyDescent="0.35">
      <c r="A1488">
        <v>29007</v>
      </c>
      <c r="B1488" t="s">
        <v>1013</v>
      </c>
      <c r="C1488" t="s">
        <v>1015</v>
      </c>
      <c r="D1488" s="2">
        <v>25783</v>
      </c>
      <c r="E1488" s="2">
        <v>18934</v>
      </c>
      <c r="F1488" s="3">
        <v>4.0999999999999996</v>
      </c>
      <c r="G1488" s="3">
        <v>10600</v>
      </c>
      <c r="H1488" s="3">
        <v>75.2</v>
      </c>
      <c r="I1488" s="3">
        <v>17.100000000000001</v>
      </c>
      <c r="J1488" s="3">
        <v>7.5</v>
      </c>
      <c r="K1488" s="3">
        <v>0.2</v>
      </c>
      <c r="L1488" s="3">
        <v>8.8000000000000007</v>
      </c>
      <c r="M1488" t="str">
        <f>IF(acs2015_county_data[[#This Row],[PublicWork]]&gt;='Описательные характеристики'!$F$5,"да","нет")</f>
        <v>да</v>
      </c>
      <c r="N1488" t="str">
        <f>IF(acs2015_county_data[[#This Row],[Unemployment]]&gt;='Описательные характеристики'!$I$5,"да","нет")</f>
        <v>да</v>
      </c>
    </row>
    <row r="1489" spans="1:14" x14ac:dyDescent="0.35">
      <c r="A1489">
        <v>29009</v>
      </c>
      <c r="B1489" t="s">
        <v>1013</v>
      </c>
      <c r="C1489" t="s">
        <v>862</v>
      </c>
      <c r="D1489" s="2">
        <v>35726</v>
      </c>
      <c r="E1489" s="2">
        <v>19313</v>
      </c>
      <c r="F1489" s="3">
        <v>4.2</v>
      </c>
      <c r="G1489" s="3">
        <v>14259</v>
      </c>
      <c r="H1489" s="3">
        <v>78.2</v>
      </c>
      <c r="I1489" s="3">
        <v>11.6</v>
      </c>
      <c r="J1489" s="3">
        <v>10.199999999999999</v>
      </c>
      <c r="K1489" s="3">
        <v>0</v>
      </c>
      <c r="L1489" s="3">
        <v>11.4</v>
      </c>
      <c r="M1489" t="str">
        <f>IF(acs2015_county_data[[#This Row],[PublicWork]]&gt;='Описательные характеристики'!$F$5,"да","нет")</f>
        <v>нет</v>
      </c>
      <c r="N1489" t="str">
        <f>IF(acs2015_county_data[[#This Row],[Unemployment]]&gt;='Описательные характеристики'!$I$5,"да","нет")</f>
        <v>да</v>
      </c>
    </row>
    <row r="1490" spans="1:14" x14ac:dyDescent="0.35">
      <c r="A1490">
        <v>29011</v>
      </c>
      <c r="B1490" t="s">
        <v>1013</v>
      </c>
      <c r="C1490" t="s">
        <v>647</v>
      </c>
      <c r="D1490" s="2">
        <v>12166</v>
      </c>
      <c r="E1490" s="2">
        <v>20780</v>
      </c>
      <c r="F1490" s="3">
        <v>4.5999999999999996</v>
      </c>
      <c r="G1490" s="3">
        <v>5075</v>
      </c>
      <c r="H1490" s="3">
        <v>74.900000000000006</v>
      </c>
      <c r="I1490" s="3">
        <v>12.9</v>
      </c>
      <c r="J1490" s="3">
        <v>11.1</v>
      </c>
      <c r="K1490" s="3">
        <v>1.1000000000000001</v>
      </c>
      <c r="L1490" s="3">
        <v>6.5</v>
      </c>
      <c r="M1490" t="str">
        <f>IF(acs2015_county_data[[#This Row],[PublicWork]]&gt;='Описательные характеристики'!$F$5,"да","нет")</f>
        <v>нет</v>
      </c>
      <c r="N1490" t="str">
        <f>IF(acs2015_county_data[[#This Row],[Unemployment]]&gt;='Описательные характеристики'!$I$5,"да","нет")</f>
        <v>нет</v>
      </c>
    </row>
    <row r="1491" spans="1:14" x14ac:dyDescent="0.35">
      <c r="A1491">
        <v>29013</v>
      </c>
      <c r="B1491" t="s">
        <v>1013</v>
      </c>
      <c r="C1491" t="s">
        <v>1016</v>
      </c>
      <c r="D1491" s="2">
        <v>16643</v>
      </c>
      <c r="E1491" s="2">
        <v>21715</v>
      </c>
      <c r="F1491" s="3">
        <v>6.3</v>
      </c>
      <c r="G1491" s="3">
        <v>7186</v>
      </c>
      <c r="H1491" s="3">
        <v>72.2</v>
      </c>
      <c r="I1491" s="3">
        <v>15.5</v>
      </c>
      <c r="J1491" s="3">
        <v>12</v>
      </c>
      <c r="K1491" s="3">
        <v>0.3</v>
      </c>
      <c r="L1491" s="3">
        <v>6.6</v>
      </c>
      <c r="M1491" t="str">
        <f>IF(acs2015_county_data[[#This Row],[PublicWork]]&gt;='Описательные характеристики'!$F$5,"да","нет")</f>
        <v>нет</v>
      </c>
      <c r="N1491" t="str">
        <f>IF(acs2015_county_data[[#This Row],[Unemployment]]&gt;='Описательные характеристики'!$I$5,"да","нет")</f>
        <v>нет</v>
      </c>
    </row>
    <row r="1492" spans="1:14" x14ac:dyDescent="0.35">
      <c r="A1492">
        <v>29015</v>
      </c>
      <c r="B1492" t="s">
        <v>1013</v>
      </c>
      <c r="C1492" t="s">
        <v>127</v>
      </c>
      <c r="D1492" s="2">
        <v>18854</v>
      </c>
      <c r="E1492" s="2">
        <v>19122</v>
      </c>
      <c r="F1492" s="3">
        <v>6.6</v>
      </c>
      <c r="G1492" s="3">
        <v>6442</v>
      </c>
      <c r="H1492" s="3">
        <v>74</v>
      </c>
      <c r="I1492" s="3">
        <v>14.9</v>
      </c>
      <c r="J1492" s="3">
        <v>10.6</v>
      </c>
      <c r="K1492" s="3">
        <v>0.4</v>
      </c>
      <c r="L1492" s="3">
        <v>10.199999999999999</v>
      </c>
      <c r="M1492" t="str">
        <f>IF(acs2015_county_data[[#This Row],[PublicWork]]&gt;='Описательные характеристики'!$F$5,"да","нет")</f>
        <v>нет</v>
      </c>
      <c r="N1492" t="str">
        <f>IF(acs2015_county_data[[#This Row],[Unemployment]]&gt;='Описательные характеристики'!$I$5,"да","нет")</f>
        <v>да</v>
      </c>
    </row>
    <row r="1493" spans="1:14" x14ac:dyDescent="0.35">
      <c r="A1493">
        <v>29017</v>
      </c>
      <c r="B1493" t="s">
        <v>1013</v>
      </c>
      <c r="C1493" t="s">
        <v>1017</v>
      </c>
      <c r="D1493" s="2">
        <v>12356</v>
      </c>
      <c r="E1493" s="2">
        <v>19605</v>
      </c>
      <c r="F1493" s="3">
        <v>4.5</v>
      </c>
      <c r="G1493" s="3">
        <v>5064</v>
      </c>
      <c r="H1493" s="3">
        <v>79.400000000000006</v>
      </c>
      <c r="I1493" s="3">
        <v>10.6</v>
      </c>
      <c r="J1493" s="3">
        <v>10</v>
      </c>
      <c r="K1493" s="3">
        <v>0.1</v>
      </c>
      <c r="L1493" s="3">
        <v>4</v>
      </c>
      <c r="M1493" t="str">
        <f>IF(acs2015_county_data[[#This Row],[PublicWork]]&gt;='Описательные характеристики'!$F$5,"да","нет")</f>
        <v>нет</v>
      </c>
      <c r="N1493" t="str">
        <f>IF(acs2015_county_data[[#This Row],[Unemployment]]&gt;='Описательные характеристики'!$I$5,"да","нет")</f>
        <v>нет</v>
      </c>
    </row>
    <row r="1494" spans="1:14" x14ac:dyDescent="0.35">
      <c r="A1494">
        <v>29019</v>
      </c>
      <c r="B1494" t="s">
        <v>1013</v>
      </c>
      <c r="C1494" t="s">
        <v>128</v>
      </c>
      <c r="D1494" s="2">
        <v>170770</v>
      </c>
      <c r="E1494" s="2">
        <v>27150</v>
      </c>
      <c r="F1494" s="3">
        <v>3.9</v>
      </c>
      <c r="G1494" s="3">
        <v>90949</v>
      </c>
      <c r="H1494" s="3">
        <v>71.400000000000006</v>
      </c>
      <c r="I1494" s="3">
        <v>24</v>
      </c>
      <c r="J1494" s="3">
        <v>4.4000000000000004</v>
      </c>
      <c r="K1494" s="3">
        <v>0.1</v>
      </c>
      <c r="L1494" s="3">
        <v>5</v>
      </c>
      <c r="M1494" t="str">
        <f>IF(acs2015_county_data[[#This Row],[PublicWork]]&gt;='Описательные характеристики'!$F$5,"да","нет")</f>
        <v>да</v>
      </c>
      <c r="N1494" t="str">
        <f>IF(acs2015_county_data[[#This Row],[Unemployment]]&gt;='Описательные характеристики'!$I$5,"да","нет")</f>
        <v>нет</v>
      </c>
    </row>
    <row r="1495" spans="1:14" x14ac:dyDescent="0.35">
      <c r="A1495">
        <v>29021</v>
      </c>
      <c r="B1495" t="s">
        <v>1013</v>
      </c>
      <c r="C1495" t="s">
        <v>605</v>
      </c>
      <c r="D1495" s="2">
        <v>89561</v>
      </c>
      <c r="E1495" s="2">
        <v>22218</v>
      </c>
      <c r="F1495" s="3">
        <v>2</v>
      </c>
      <c r="G1495" s="3">
        <v>42029</v>
      </c>
      <c r="H1495" s="3">
        <v>84.1</v>
      </c>
      <c r="I1495" s="3">
        <v>11.4</v>
      </c>
      <c r="J1495" s="3">
        <v>4.3</v>
      </c>
      <c r="K1495" s="3">
        <v>0.1</v>
      </c>
      <c r="L1495" s="3">
        <v>7.5</v>
      </c>
      <c r="M1495" t="str">
        <f>IF(acs2015_county_data[[#This Row],[PublicWork]]&gt;='Описательные характеристики'!$F$5,"да","нет")</f>
        <v>нет</v>
      </c>
      <c r="N1495" t="str">
        <f>IF(acs2015_county_data[[#This Row],[Unemployment]]&gt;='Описательные характеристики'!$I$5,"да","нет")</f>
        <v>нет</v>
      </c>
    </row>
    <row r="1496" spans="1:14" x14ac:dyDescent="0.35">
      <c r="A1496">
        <v>29023</v>
      </c>
      <c r="B1496" t="s">
        <v>1013</v>
      </c>
      <c r="C1496" t="s">
        <v>21</v>
      </c>
      <c r="D1496" s="2">
        <v>42951</v>
      </c>
      <c r="E1496" s="2">
        <v>19473</v>
      </c>
      <c r="F1496" s="3">
        <v>2.4</v>
      </c>
      <c r="G1496" s="3">
        <v>17340</v>
      </c>
      <c r="H1496" s="3">
        <v>77</v>
      </c>
      <c r="I1496" s="3">
        <v>15.7</v>
      </c>
      <c r="J1496" s="3">
        <v>7.2</v>
      </c>
      <c r="K1496" s="3">
        <v>0.1</v>
      </c>
      <c r="L1496" s="3">
        <v>9.4</v>
      </c>
      <c r="M1496" t="str">
        <f>IF(acs2015_county_data[[#This Row],[PublicWork]]&gt;='Описательные характеристики'!$F$5,"да","нет")</f>
        <v>нет</v>
      </c>
      <c r="N1496" t="str">
        <f>IF(acs2015_county_data[[#This Row],[Unemployment]]&gt;='Описательные характеристики'!$I$5,"да","нет")</f>
        <v>да</v>
      </c>
    </row>
    <row r="1497" spans="1:14" x14ac:dyDescent="0.35">
      <c r="A1497">
        <v>29025</v>
      </c>
      <c r="B1497" t="s">
        <v>1013</v>
      </c>
      <c r="C1497" t="s">
        <v>721</v>
      </c>
      <c r="D1497" s="2">
        <v>9083</v>
      </c>
      <c r="E1497" s="2">
        <v>23082</v>
      </c>
      <c r="F1497" s="3">
        <v>5.9</v>
      </c>
      <c r="G1497" s="3">
        <v>3889</v>
      </c>
      <c r="H1497" s="3">
        <v>70.8</v>
      </c>
      <c r="I1497" s="3">
        <v>19</v>
      </c>
      <c r="J1497" s="3">
        <v>9.6999999999999993</v>
      </c>
      <c r="K1497" s="3">
        <v>0.5</v>
      </c>
      <c r="L1497" s="3">
        <v>5.2</v>
      </c>
      <c r="M1497" t="str">
        <f>IF(acs2015_county_data[[#This Row],[PublicWork]]&gt;='Описательные характеристики'!$F$5,"да","нет")</f>
        <v>да</v>
      </c>
      <c r="N1497" t="str">
        <f>IF(acs2015_county_data[[#This Row],[Unemployment]]&gt;='Описательные характеристики'!$I$5,"да","нет")</f>
        <v>нет</v>
      </c>
    </row>
    <row r="1498" spans="1:14" x14ac:dyDescent="0.35">
      <c r="A1498">
        <v>29027</v>
      </c>
      <c r="B1498" t="s">
        <v>1013</v>
      </c>
      <c r="C1498" t="s">
        <v>1018</v>
      </c>
      <c r="D1498" s="2">
        <v>44566</v>
      </c>
      <c r="E1498" s="2">
        <v>22520</v>
      </c>
      <c r="F1498" s="3">
        <v>4</v>
      </c>
      <c r="G1498" s="3">
        <v>19844</v>
      </c>
      <c r="H1498" s="3">
        <v>70.8</v>
      </c>
      <c r="I1498" s="3">
        <v>24</v>
      </c>
      <c r="J1498" s="3">
        <v>4.5999999999999996</v>
      </c>
      <c r="K1498" s="3">
        <v>0.6</v>
      </c>
      <c r="L1498" s="3">
        <v>5.0999999999999996</v>
      </c>
      <c r="M1498" t="str">
        <f>IF(acs2015_county_data[[#This Row],[PublicWork]]&gt;='Описательные характеристики'!$F$5,"да","нет")</f>
        <v>да</v>
      </c>
      <c r="N1498" t="str">
        <f>IF(acs2015_county_data[[#This Row],[Unemployment]]&gt;='Описательные характеристики'!$I$5,"да","нет")</f>
        <v>нет</v>
      </c>
    </row>
    <row r="1499" spans="1:14" x14ac:dyDescent="0.35">
      <c r="A1499">
        <v>29029</v>
      </c>
      <c r="B1499" t="s">
        <v>1013</v>
      </c>
      <c r="C1499" t="s">
        <v>370</v>
      </c>
      <c r="D1499" s="2">
        <v>43927</v>
      </c>
      <c r="E1499" s="2">
        <v>23996</v>
      </c>
      <c r="F1499" s="3">
        <v>4.5999999999999996</v>
      </c>
      <c r="G1499" s="3">
        <v>17403</v>
      </c>
      <c r="H1499" s="3">
        <v>77.599999999999994</v>
      </c>
      <c r="I1499" s="3">
        <v>13.2</v>
      </c>
      <c r="J1499" s="3">
        <v>9.1</v>
      </c>
      <c r="K1499" s="3">
        <v>0.2</v>
      </c>
      <c r="L1499" s="3">
        <v>9.1</v>
      </c>
      <c r="M1499" t="str">
        <f>IF(acs2015_county_data[[#This Row],[PublicWork]]&gt;='Описательные характеристики'!$F$5,"да","нет")</f>
        <v>нет</v>
      </c>
      <c r="N1499" t="str">
        <f>IF(acs2015_county_data[[#This Row],[Unemployment]]&gt;='Описательные характеристики'!$I$5,"да","нет")</f>
        <v>да</v>
      </c>
    </row>
    <row r="1500" spans="1:14" x14ac:dyDescent="0.35">
      <c r="A1500">
        <v>29031</v>
      </c>
      <c r="B1500" t="s">
        <v>1013</v>
      </c>
      <c r="C1500" t="s">
        <v>1019</v>
      </c>
      <c r="D1500" s="2">
        <v>77606</v>
      </c>
      <c r="E1500" s="2">
        <v>24479</v>
      </c>
      <c r="F1500" s="3">
        <v>2.1</v>
      </c>
      <c r="G1500" s="3">
        <v>37661</v>
      </c>
      <c r="H1500" s="3">
        <v>81.2</v>
      </c>
      <c r="I1500" s="3">
        <v>13.9</v>
      </c>
      <c r="J1500" s="3">
        <v>4.7</v>
      </c>
      <c r="K1500" s="3">
        <v>0.2</v>
      </c>
      <c r="L1500" s="3">
        <v>6.3</v>
      </c>
      <c r="M1500" t="str">
        <f>IF(acs2015_county_data[[#This Row],[PublicWork]]&gt;='Описательные характеристики'!$F$5,"да","нет")</f>
        <v>нет</v>
      </c>
      <c r="N1500" t="str">
        <f>IF(acs2015_county_data[[#This Row],[Unemployment]]&gt;='Описательные характеристики'!$I$5,"да","нет")</f>
        <v>нет</v>
      </c>
    </row>
    <row r="1501" spans="1:14" x14ac:dyDescent="0.35">
      <c r="A1501">
        <v>29033</v>
      </c>
      <c r="B1501" t="s">
        <v>1013</v>
      </c>
      <c r="C1501" t="s">
        <v>129</v>
      </c>
      <c r="D1501" s="2">
        <v>9096</v>
      </c>
      <c r="E1501" s="2">
        <v>23403</v>
      </c>
      <c r="F1501" s="3">
        <v>7.3</v>
      </c>
      <c r="G1501" s="3">
        <v>4010</v>
      </c>
      <c r="H1501" s="3">
        <v>69.900000000000006</v>
      </c>
      <c r="I1501" s="3">
        <v>16</v>
      </c>
      <c r="J1501" s="3">
        <v>13.3</v>
      </c>
      <c r="K1501" s="3">
        <v>0.8</v>
      </c>
      <c r="L1501" s="3">
        <v>8.9</v>
      </c>
      <c r="M1501" t="str">
        <f>IF(acs2015_county_data[[#This Row],[PublicWork]]&gt;='Описательные характеристики'!$F$5,"да","нет")</f>
        <v>нет</v>
      </c>
      <c r="N1501" t="str">
        <f>IF(acs2015_county_data[[#This Row],[Unemployment]]&gt;='Описательные характеристики'!$I$5,"да","нет")</f>
        <v>да</v>
      </c>
    </row>
    <row r="1502" spans="1:14" x14ac:dyDescent="0.35">
      <c r="A1502">
        <v>29035</v>
      </c>
      <c r="B1502" t="s">
        <v>1013</v>
      </c>
      <c r="C1502" t="s">
        <v>725</v>
      </c>
      <c r="D1502" s="2">
        <v>6284</v>
      </c>
      <c r="E1502" s="2">
        <v>20318</v>
      </c>
      <c r="F1502" s="3">
        <v>6.3</v>
      </c>
      <c r="G1502" s="3">
        <v>2402</v>
      </c>
      <c r="H1502" s="3">
        <v>75.400000000000006</v>
      </c>
      <c r="I1502" s="3">
        <v>14.1</v>
      </c>
      <c r="J1502" s="3">
        <v>10.5</v>
      </c>
      <c r="K1502" s="3">
        <v>0</v>
      </c>
      <c r="L1502" s="3">
        <v>9.6999999999999993</v>
      </c>
      <c r="M1502" t="str">
        <f>IF(acs2015_county_data[[#This Row],[PublicWork]]&gt;='Описательные характеристики'!$F$5,"да","нет")</f>
        <v>нет</v>
      </c>
      <c r="N1502" t="str">
        <f>IF(acs2015_county_data[[#This Row],[Unemployment]]&gt;='Описательные характеристики'!$I$5,"да","нет")</f>
        <v>да</v>
      </c>
    </row>
    <row r="1503" spans="1:14" x14ac:dyDescent="0.35">
      <c r="A1503">
        <v>29037</v>
      </c>
      <c r="B1503" t="s">
        <v>1013</v>
      </c>
      <c r="C1503" t="s">
        <v>508</v>
      </c>
      <c r="D1503" s="2">
        <v>100781</v>
      </c>
      <c r="E1503" s="2">
        <v>28398</v>
      </c>
      <c r="F1503" s="3">
        <v>4.8</v>
      </c>
      <c r="G1503" s="3">
        <v>48122</v>
      </c>
      <c r="H1503" s="3">
        <v>82.1</v>
      </c>
      <c r="I1503" s="3">
        <v>12</v>
      </c>
      <c r="J1503" s="3">
        <v>5.7</v>
      </c>
      <c r="K1503" s="3">
        <v>0.2</v>
      </c>
      <c r="L1503" s="3">
        <v>6.7</v>
      </c>
      <c r="M1503" t="str">
        <f>IF(acs2015_county_data[[#This Row],[PublicWork]]&gt;='Описательные характеристики'!$F$5,"да","нет")</f>
        <v>нет</v>
      </c>
      <c r="N1503" t="str">
        <f>IF(acs2015_county_data[[#This Row],[Unemployment]]&gt;='Описательные характеристики'!$I$5,"да","нет")</f>
        <v>нет</v>
      </c>
    </row>
    <row r="1504" spans="1:14" x14ac:dyDescent="0.35">
      <c r="A1504">
        <v>29039</v>
      </c>
      <c r="B1504" t="s">
        <v>1013</v>
      </c>
      <c r="C1504" t="s">
        <v>607</v>
      </c>
      <c r="D1504" s="2">
        <v>13892</v>
      </c>
      <c r="E1504" s="2">
        <v>18255</v>
      </c>
      <c r="F1504" s="3">
        <v>3</v>
      </c>
      <c r="G1504" s="3">
        <v>5029</v>
      </c>
      <c r="H1504" s="3">
        <v>73.5</v>
      </c>
      <c r="I1504" s="3">
        <v>16.2</v>
      </c>
      <c r="J1504" s="3">
        <v>9.6</v>
      </c>
      <c r="K1504" s="3">
        <v>0.7</v>
      </c>
      <c r="L1504" s="3">
        <v>10.5</v>
      </c>
      <c r="M1504" t="str">
        <f>IF(acs2015_county_data[[#This Row],[PublicWork]]&gt;='Описательные характеристики'!$F$5,"да","нет")</f>
        <v>да</v>
      </c>
      <c r="N1504" t="str">
        <f>IF(acs2015_county_data[[#This Row],[Unemployment]]&gt;='Описательные характеристики'!$I$5,"да","нет")</f>
        <v>да</v>
      </c>
    </row>
    <row r="1505" spans="1:14" x14ac:dyDescent="0.35">
      <c r="A1505">
        <v>29041</v>
      </c>
      <c r="B1505" t="s">
        <v>1013</v>
      </c>
      <c r="C1505" t="s">
        <v>1020</v>
      </c>
      <c r="D1505" s="2">
        <v>7650</v>
      </c>
      <c r="E1505" s="2">
        <v>20953</v>
      </c>
      <c r="F1505" s="3">
        <v>6.3</v>
      </c>
      <c r="G1505" s="3">
        <v>3323</v>
      </c>
      <c r="H1505" s="3">
        <v>72.3</v>
      </c>
      <c r="I1505" s="3">
        <v>14.5</v>
      </c>
      <c r="J1505" s="3">
        <v>13</v>
      </c>
      <c r="K1505" s="3">
        <v>0.2</v>
      </c>
      <c r="L1505" s="3">
        <v>3.8</v>
      </c>
      <c r="M1505" t="str">
        <f>IF(acs2015_county_data[[#This Row],[PublicWork]]&gt;='Описательные характеристики'!$F$5,"да","нет")</f>
        <v>нет</v>
      </c>
      <c r="N1505" t="str">
        <f>IF(acs2015_county_data[[#This Row],[Unemployment]]&gt;='Описательные характеристики'!$I$5,"да","нет")</f>
        <v>нет</v>
      </c>
    </row>
    <row r="1506" spans="1:14" x14ac:dyDescent="0.35">
      <c r="A1506">
        <v>29043</v>
      </c>
      <c r="B1506" t="s">
        <v>1013</v>
      </c>
      <c r="C1506" t="s">
        <v>510</v>
      </c>
      <c r="D1506" s="2">
        <v>80904</v>
      </c>
      <c r="E1506" s="2">
        <v>24730</v>
      </c>
      <c r="F1506" s="3">
        <v>4.5999999999999996</v>
      </c>
      <c r="G1506" s="3">
        <v>37578</v>
      </c>
      <c r="H1506" s="3">
        <v>81.400000000000006</v>
      </c>
      <c r="I1506" s="3">
        <v>12.2</v>
      </c>
      <c r="J1506" s="3">
        <v>6.3</v>
      </c>
      <c r="K1506" s="3">
        <v>0.1</v>
      </c>
      <c r="L1506" s="3">
        <v>6.4</v>
      </c>
      <c r="M1506" t="str">
        <f>IF(acs2015_county_data[[#This Row],[PublicWork]]&gt;='Описательные характеристики'!$F$5,"да","нет")</f>
        <v>нет</v>
      </c>
      <c r="N1506" t="str">
        <f>IF(acs2015_county_data[[#This Row],[Unemployment]]&gt;='Описательные характеристики'!$I$5,"да","нет")</f>
        <v>нет</v>
      </c>
    </row>
    <row r="1507" spans="1:14" x14ac:dyDescent="0.35">
      <c r="A1507">
        <v>29045</v>
      </c>
      <c r="B1507" t="s">
        <v>1013</v>
      </c>
      <c r="C1507" t="s">
        <v>131</v>
      </c>
      <c r="D1507" s="2">
        <v>6919</v>
      </c>
      <c r="E1507" s="2">
        <v>23463</v>
      </c>
      <c r="F1507" s="3">
        <v>5.9</v>
      </c>
      <c r="G1507" s="3">
        <v>3210</v>
      </c>
      <c r="H1507" s="3">
        <v>74</v>
      </c>
      <c r="I1507" s="3">
        <v>15.7</v>
      </c>
      <c r="J1507" s="3">
        <v>9.9</v>
      </c>
      <c r="K1507" s="3">
        <v>0.4</v>
      </c>
      <c r="L1507" s="3">
        <v>4.5</v>
      </c>
      <c r="M1507" t="str">
        <f>IF(acs2015_county_data[[#This Row],[PublicWork]]&gt;='Описательные характеристики'!$F$5,"да","нет")</f>
        <v>нет</v>
      </c>
      <c r="N1507" t="str">
        <f>IF(acs2015_county_data[[#This Row],[Unemployment]]&gt;='Описательные характеристики'!$I$5,"да","нет")</f>
        <v>нет</v>
      </c>
    </row>
    <row r="1508" spans="1:14" x14ac:dyDescent="0.35">
      <c r="A1508">
        <v>29047</v>
      </c>
      <c r="B1508" t="s">
        <v>1013</v>
      </c>
      <c r="C1508" t="s">
        <v>28</v>
      </c>
      <c r="D1508" s="2">
        <v>230361</v>
      </c>
      <c r="E1508" s="2">
        <v>29793</v>
      </c>
      <c r="F1508" s="3">
        <v>4.2</v>
      </c>
      <c r="G1508" s="3">
        <v>118111</v>
      </c>
      <c r="H1508" s="3">
        <v>83.2</v>
      </c>
      <c r="I1508" s="3">
        <v>12.3</v>
      </c>
      <c r="J1508" s="3">
        <v>4.4000000000000004</v>
      </c>
      <c r="K1508" s="3">
        <v>0.1</v>
      </c>
      <c r="L1508" s="3">
        <v>6.1</v>
      </c>
      <c r="M1508" t="str">
        <f>IF(acs2015_county_data[[#This Row],[PublicWork]]&gt;='Описательные характеристики'!$F$5,"да","нет")</f>
        <v>нет</v>
      </c>
      <c r="N1508" t="str">
        <f>IF(acs2015_county_data[[#This Row],[Unemployment]]&gt;='Описательные характеристики'!$I$5,"да","нет")</f>
        <v>нет</v>
      </c>
    </row>
    <row r="1509" spans="1:14" x14ac:dyDescent="0.35">
      <c r="A1509">
        <v>29049</v>
      </c>
      <c r="B1509" t="s">
        <v>1013</v>
      </c>
      <c r="C1509" t="s">
        <v>511</v>
      </c>
      <c r="D1509" s="2">
        <v>20498</v>
      </c>
      <c r="E1509" s="2">
        <v>25500</v>
      </c>
      <c r="F1509" s="3">
        <v>2.8</v>
      </c>
      <c r="G1509" s="3">
        <v>9653</v>
      </c>
      <c r="H1509" s="3">
        <v>79.2</v>
      </c>
      <c r="I1509" s="3">
        <v>15.3</v>
      </c>
      <c r="J1509" s="3">
        <v>4.9000000000000004</v>
      </c>
      <c r="K1509" s="3">
        <v>0.6</v>
      </c>
      <c r="L1509" s="3">
        <v>5.8</v>
      </c>
      <c r="M1509" t="str">
        <f>IF(acs2015_county_data[[#This Row],[PublicWork]]&gt;='Описательные характеристики'!$F$5,"да","нет")</f>
        <v>нет</v>
      </c>
      <c r="N1509" t="str">
        <f>IF(acs2015_county_data[[#This Row],[Unemployment]]&gt;='Описательные характеристики'!$I$5,"да","нет")</f>
        <v>нет</v>
      </c>
    </row>
    <row r="1510" spans="1:14" x14ac:dyDescent="0.35">
      <c r="A1510">
        <v>29051</v>
      </c>
      <c r="B1510" t="s">
        <v>1013</v>
      </c>
      <c r="C1510" t="s">
        <v>1021</v>
      </c>
      <c r="D1510" s="2">
        <v>76533</v>
      </c>
      <c r="E1510" s="2">
        <v>26014</v>
      </c>
      <c r="F1510" s="3">
        <v>2.6</v>
      </c>
      <c r="G1510" s="3">
        <v>35978</v>
      </c>
      <c r="H1510" s="3">
        <v>67.5</v>
      </c>
      <c r="I1510" s="3">
        <v>27.8</v>
      </c>
      <c r="J1510" s="3">
        <v>4.2</v>
      </c>
      <c r="K1510" s="3">
        <v>0.4</v>
      </c>
      <c r="L1510" s="3">
        <v>4.9000000000000004</v>
      </c>
      <c r="M1510" t="str">
        <f>IF(acs2015_county_data[[#This Row],[PublicWork]]&gt;='Описательные характеристики'!$F$5,"да","нет")</f>
        <v>да</v>
      </c>
      <c r="N1510" t="str">
        <f>IF(acs2015_county_data[[#This Row],[Unemployment]]&gt;='Описательные характеристики'!$I$5,"да","нет")</f>
        <v>нет</v>
      </c>
    </row>
    <row r="1511" spans="1:14" x14ac:dyDescent="0.35">
      <c r="A1511">
        <v>29053</v>
      </c>
      <c r="B1511" t="s">
        <v>1013</v>
      </c>
      <c r="C1511" t="s">
        <v>1022</v>
      </c>
      <c r="D1511" s="2">
        <v>17593</v>
      </c>
      <c r="E1511" s="2">
        <v>23252</v>
      </c>
      <c r="F1511" s="3">
        <v>3.5</v>
      </c>
      <c r="G1511" s="3">
        <v>7916</v>
      </c>
      <c r="H1511" s="3">
        <v>76.599999999999994</v>
      </c>
      <c r="I1511" s="3">
        <v>15.7</v>
      </c>
      <c r="J1511" s="3">
        <v>7.6</v>
      </c>
      <c r="K1511" s="3">
        <v>0</v>
      </c>
      <c r="L1511" s="3">
        <v>5.7</v>
      </c>
      <c r="M1511" t="str">
        <f>IF(acs2015_county_data[[#This Row],[PublicWork]]&gt;='Описательные характеристики'!$F$5,"да","нет")</f>
        <v>нет</v>
      </c>
      <c r="N1511" t="str">
        <f>IF(acs2015_county_data[[#This Row],[Unemployment]]&gt;='Описательные характеристики'!$I$5,"да","нет")</f>
        <v>нет</v>
      </c>
    </row>
    <row r="1512" spans="1:14" x14ac:dyDescent="0.35">
      <c r="A1512">
        <v>29055</v>
      </c>
      <c r="B1512" t="s">
        <v>1013</v>
      </c>
      <c r="C1512" t="s">
        <v>136</v>
      </c>
      <c r="D1512" s="2">
        <v>24660</v>
      </c>
      <c r="E1512" s="2">
        <v>19017</v>
      </c>
      <c r="F1512" s="3">
        <v>3.8</v>
      </c>
      <c r="G1512" s="3">
        <v>9393</v>
      </c>
      <c r="H1512" s="3">
        <v>79.599999999999994</v>
      </c>
      <c r="I1512" s="3">
        <v>11.8</v>
      </c>
      <c r="J1512" s="3">
        <v>8.4</v>
      </c>
      <c r="K1512" s="3">
        <v>0.2</v>
      </c>
      <c r="L1512" s="3">
        <v>12.7</v>
      </c>
      <c r="M1512" t="str">
        <f>IF(acs2015_county_data[[#This Row],[PublicWork]]&gt;='Описательные характеристики'!$F$5,"да","нет")</f>
        <v>нет</v>
      </c>
      <c r="N1512" t="str">
        <f>IF(acs2015_county_data[[#This Row],[Unemployment]]&gt;='Описательные характеристики'!$I$5,"да","нет")</f>
        <v>да</v>
      </c>
    </row>
    <row r="1513" spans="1:14" x14ac:dyDescent="0.35">
      <c r="A1513">
        <v>29057</v>
      </c>
      <c r="B1513" t="s">
        <v>1013</v>
      </c>
      <c r="C1513" t="s">
        <v>384</v>
      </c>
      <c r="D1513" s="2">
        <v>7618</v>
      </c>
      <c r="E1513" s="2">
        <v>20828</v>
      </c>
      <c r="F1513" s="3">
        <v>6.7</v>
      </c>
      <c r="G1513" s="3">
        <v>3307</v>
      </c>
      <c r="H1513" s="3">
        <v>70.8</v>
      </c>
      <c r="I1513" s="3">
        <v>14.3</v>
      </c>
      <c r="J1513" s="3">
        <v>13.8</v>
      </c>
      <c r="K1513" s="3">
        <v>1.1000000000000001</v>
      </c>
      <c r="L1513" s="3">
        <v>7.9</v>
      </c>
      <c r="M1513" t="str">
        <f>IF(acs2015_county_data[[#This Row],[PublicWork]]&gt;='Описательные характеристики'!$F$5,"да","нет")</f>
        <v>нет</v>
      </c>
      <c r="N1513" t="str">
        <f>IF(acs2015_county_data[[#This Row],[Unemployment]]&gt;='Описательные характеристики'!$I$5,"да","нет")</f>
        <v>да</v>
      </c>
    </row>
    <row r="1514" spans="1:14" x14ac:dyDescent="0.35">
      <c r="A1514">
        <v>29059</v>
      </c>
      <c r="B1514" t="s">
        <v>1013</v>
      </c>
      <c r="C1514" t="s">
        <v>37</v>
      </c>
      <c r="D1514" s="2">
        <v>16564</v>
      </c>
      <c r="E1514" s="2">
        <v>17494</v>
      </c>
      <c r="F1514" s="3">
        <v>5.5</v>
      </c>
      <c r="G1514" s="3">
        <v>5943</v>
      </c>
      <c r="H1514" s="3">
        <v>77.7</v>
      </c>
      <c r="I1514" s="3">
        <v>11</v>
      </c>
      <c r="J1514" s="3">
        <v>10.8</v>
      </c>
      <c r="K1514" s="3">
        <v>0.5</v>
      </c>
      <c r="L1514" s="3">
        <v>13.2</v>
      </c>
      <c r="M1514" t="str">
        <f>IF(acs2015_county_data[[#This Row],[PublicWork]]&gt;='Описательные характеристики'!$F$5,"да","нет")</f>
        <v>нет</v>
      </c>
      <c r="N1514" t="str">
        <f>IF(acs2015_county_data[[#This Row],[Unemployment]]&gt;='Описательные характеристики'!$I$5,"да","нет")</f>
        <v>да</v>
      </c>
    </row>
    <row r="1515" spans="1:14" x14ac:dyDescent="0.35">
      <c r="A1515">
        <v>29061</v>
      </c>
      <c r="B1515" t="s">
        <v>1013</v>
      </c>
      <c r="C1515" t="s">
        <v>562</v>
      </c>
      <c r="D1515" s="2">
        <v>8277</v>
      </c>
      <c r="E1515" s="2">
        <v>19208</v>
      </c>
      <c r="F1515" s="3">
        <v>6.1</v>
      </c>
      <c r="G1515" s="3">
        <v>3420</v>
      </c>
      <c r="H1515" s="3">
        <v>64.7</v>
      </c>
      <c r="I1515" s="3">
        <v>19.600000000000001</v>
      </c>
      <c r="J1515" s="3">
        <v>15.4</v>
      </c>
      <c r="K1515" s="3">
        <v>0.3</v>
      </c>
      <c r="L1515" s="3">
        <v>5.7</v>
      </c>
      <c r="M1515" t="str">
        <f>IF(acs2015_county_data[[#This Row],[PublicWork]]&gt;='Описательные характеристики'!$F$5,"да","нет")</f>
        <v>да</v>
      </c>
      <c r="N1515" t="str">
        <f>IF(acs2015_county_data[[#This Row],[Unemployment]]&gt;='Описательные характеристики'!$I$5,"да","нет")</f>
        <v>нет</v>
      </c>
    </row>
    <row r="1516" spans="1:14" x14ac:dyDescent="0.35">
      <c r="A1516">
        <v>29063</v>
      </c>
      <c r="B1516" t="s">
        <v>1013</v>
      </c>
      <c r="C1516" t="s">
        <v>38</v>
      </c>
      <c r="D1516" s="2">
        <v>12782</v>
      </c>
      <c r="E1516" s="2">
        <v>17125</v>
      </c>
      <c r="F1516" s="3">
        <v>3.7</v>
      </c>
      <c r="G1516" s="3">
        <v>4285</v>
      </c>
      <c r="H1516" s="3">
        <v>76.099999999999994</v>
      </c>
      <c r="I1516" s="3">
        <v>14.8</v>
      </c>
      <c r="J1516" s="3">
        <v>9</v>
      </c>
      <c r="K1516" s="3">
        <v>0.1</v>
      </c>
      <c r="L1516" s="3">
        <v>6.8</v>
      </c>
      <c r="M1516" t="str">
        <f>IF(acs2015_county_data[[#This Row],[PublicWork]]&gt;='Описательные характеристики'!$F$5,"да","нет")</f>
        <v>нет</v>
      </c>
      <c r="N1516" t="str">
        <f>IF(acs2015_county_data[[#This Row],[Unemployment]]&gt;='Описательные характеристики'!$I$5,"да","нет")</f>
        <v>нет</v>
      </c>
    </row>
    <row r="1517" spans="1:14" x14ac:dyDescent="0.35">
      <c r="A1517">
        <v>29065</v>
      </c>
      <c r="B1517" t="s">
        <v>1013</v>
      </c>
      <c r="C1517" t="s">
        <v>1023</v>
      </c>
      <c r="D1517" s="2">
        <v>15612</v>
      </c>
      <c r="E1517" s="2">
        <v>19747</v>
      </c>
      <c r="F1517" s="3">
        <v>2.8</v>
      </c>
      <c r="G1517" s="3">
        <v>5882</v>
      </c>
      <c r="H1517" s="3">
        <v>75.2</v>
      </c>
      <c r="I1517" s="3">
        <v>14.6</v>
      </c>
      <c r="J1517" s="3">
        <v>10</v>
      </c>
      <c r="K1517" s="3">
        <v>0.2</v>
      </c>
      <c r="L1517" s="3">
        <v>9.1999999999999993</v>
      </c>
      <c r="M1517" t="str">
        <f>IF(acs2015_county_data[[#This Row],[PublicWork]]&gt;='Описательные характеристики'!$F$5,"да","нет")</f>
        <v>нет</v>
      </c>
      <c r="N1517" t="str">
        <f>IF(acs2015_county_data[[#This Row],[Unemployment]]&gt;='Описательные характеристики'!$I$5,"да","нет")</f>
        <v>да</v>
      </c>
    </row>
    <row r="1518" spans="1:14" x14ac:dyDescent="0.35">
      <c r="A1518">
        <v>29067</v>
      </c>
      <c r="B1518" t="s">
        <v>1013</v>
      </c>
      <c r="C1518" t="s">
        <v>254</v>
      </c>
      <c r="D1518" s="2">
        <v>13516</v>
      </c>
      <c r="E1518" s="2">
        <v>17343</v>
      </c>
      <c r="F1518" s="3">
        <v>3.3</v>
      </c>
      <c r="G1518" s="3">
        <v>4897</v>
      </c>
      <c r="H1518" s="3">
        <v>80.2</v>
      </c>
      <c r="I1518" s="3">
        <v>11.7</v>
      </c>
      <c r="J1518" s="3">
        <v>7.8</v>
      </c>
      <c r="K1518" s="3">
        <v>0.3</v>
      </c>
      <c r="L1518" s="3">
        <v>9</v>
      </c>
      <c r="M1518" t="str">
        <f>IF(acs2015_county_data[[#This Row],[PublicWork]]&gt;='Описательные характеристики'!$F$5,"да","нет")</f>
        <v>нет</v>
      </c>
      <c r="N1518" t="str">
        <f>IF(acs2015_county_data[[#This Row],[Unemployment]]&gt;='Описательные характеристики'!$I$5,"да","нет")</f>
        <v>да</v>
      </c>
    </row>
    <row r="1519" spans="1:14" x14ac:dyDescent="0.35">
      <c r="A1519">
        <v>29069</v>
      </c>
      <c r="B1519" t="s">
        <v>1013</v>
      </c>
      <c r="C1519" t="s">
        <v>1024</v>
      </c>
      <c r="D1519" s="2">
        <v>31562</v>
      </c>
      <c r="E1519" s="2">
        <v>18009</v>
      </c>
      <c r="F1519" s="3">
        <v>2.4</v>
      </c>
      <c r="G1519" s="3">
        <v>11646</v>
      </c>
      <c r="H1519" s="3">
        <v>76.5</v>
      </c>
      <c r="I1519" s="3">
        <v>16.7</v>
      </c>
      <c r="J1519" s="3">
        <v>6.6</v>
      </c>
      <c r="K1519" s="3">
        <v>0.2</v>
      </c>
      <c r="L1519" s="3">
        <v>8.1</v>
      </c>
      <c r="M1519" t="str">
        <f>IF(acs2015_county_data[[#This Row],[PublicWork]]&gt;='Описательные характеристики'!$F$5,"да","нет")</f>
        <v>да</v>
      </c>
      <c r="N1519" t="str">
        <f>IF(acs2015_county_data[[#This Row],[Unemployment]]&gt;='Описательные характеристики'!$I$5,"да","нет")</f>
        <v>да</v>
      </c>
    </row>
    <row r="1520" spans="1:14" x14ac:dyDescent="0.35">
      <c r="A1520">
        <v>29071</v>
      </c>
      <c r="B1520" t="s">
        <v>1013</v>
      </c>
      <c r="C1520" t="s">
        <v>43</v>
      </c>
      <c r="D1520" s="2">
        <v>101828</v>
      </c>
      <c r="E1520" s="2">
        <v>25241</v>
      </c>
      <c r="F1520" s="3">
        <v>2.7</v>
      </c>
      <c r="G1520" s="3">
        <v>48336</v>
      </c>
      <c r="H1520" s="3">
        <v>84.7</v>
      </c>
      <c r="I1520" s="3">
        <v>9</v>
      </c>
      <c r="J1520" s="3">
        <v>6.1</v>
      </c>
      <c r="K1520" s="3">
        <v>0.2</v>
      </c>
      <c r="L1520" s="3">
        <v>7.2</v>
      </c>
      <c r="M1520" t="str">
        <f>IF(acs2015_county_data[[#This Row],[PublicWork]]&gt;='Описательные характеристики'!$F$5,"да","нет")</f>
        <v>нет</v>
      </c>
      <c r="N1520" t="str">
        <f>IF(acs2015_county_data[[#This Row],[Unemployment]]&gt;='Описательные характеристики'!$I$5,"да","нет")</f>
        <v>нет</v>
      </c>
    </row>
    <row r="1521" spans="1:14" x14ac:dyDescent="0.35">
      <c r="A1521">
        <v>29073</v>
      </c>
      <c r="B1521" t="s">
        <v>1013</v>
      </c>
      <c r="C1521" t="s">
        <v>1025</v>
      </c>
      <c r="D1521" s="2">
        <v>14948</v>
      </c>
      <c r="E1521" s="2">
        <v>22845</v>
      </c>
      <c r="F1521" s="3">
        <v>4.5999999999999996</v>
      </c>
      <c r="G1521" s="3">
        <v>6567</v>
      </c>
      <c r="H1521" s="3">
        <v>78.7</v>
      </c>
      <c r="I1521" s="3">
        <v>10.8</v>
      </c>
      <c r="J1521" s="3">
        <v>10.199999999999999</v>
      </c>
      <c r="K1521" s="3">
        <v>0.4</v>
      </c>
      <c r="L1521" s="3">
        <v>6.1</v>
      </c>
      <c r="M1521" t="str">
        <f>IF(acs2015_county_data[[#This Row],[PublicWork]]&gt;='Описательные характеристики'!$F$5,"да","нет")</f>
        <v>нет</v>
      </c>
      <c r="N1521" t="str">
        <f>IF(acs2015_county_data[[#This Row],[Unemployment]]&gt;='Описательные характеристики'!$I$5,"да","нет")</f>
        <v>нет</v>
      </c>
    </row>
    <row r="1522" spans="1:14" x14ac:dyDescent="0.35">
      <c r="A1522">
        <v>29075</v>
      </c>
      <c r="B1522" t="s">
        <v>1013</v>
      </c>
      <c r="C1522" t="s">
        <v>1026</v>
      </c>
      <c r="D1522" s="2">
        <v>6785</v>
      </c>
      <c r="E1522" s="2">
        <v>20687</v>
      </c>
      <c r="F1522" s="3">
        <v>4.9000000000000004</v>
      </c>
      <c r="G1522" s="3">
        <v>2989</v>
      </c>
      <c r="H1522" s="3">
        <v>72.7</v>
      </c>
      <c r="I1522" s="3">
        <v>16.399999999999999</v>
      </c>
      <c r="J1522" s="3">
        <v>10.199999999999999</v>
      </c>
      <c r="K1522" s="3">
        <v>0.7</v>
      </c>
      <c r="L1522" s="3">
        <v>6.3</v>
      </c>
      <c r="M1522" t="str">
        <f>IF(acs2015_county_data[[#This Row],[PublicWork]]&gt;='Описательные характеристики'!$F$5,"да","нет")</f>
        <v>да</v>
      </c>
      <c r="N1522" t="str">
        <f>IF(acs2015_county_data[[#This Row],[Unemployment]]&gt;='Описательные характеристики'!$I$5,"да","нет")</f>
        <v>нет</v>
      </c>
    </row>
    <row r="1523" spans="1:14" x14ac:dyDescent="0.35">
      <c r="A1523">
        <v>29077</v>
      </c>
      <c r="B1523" t="s">
        <v>1013</v>
      </c>
      <c r="C1523" t="s">
        <v>45</v>
      </c>
      <c r="D1523" s="2">
        <v>283206</v>
      </c>
      <c r="E1523" s="2">
        <v>24097</v>
      </c>
      <c r="F1523" s="3">
        <v>3.6</v>
      </c>
      <c r="G1523" s="3">
        <v>135307</v>
      </c>
      <c r="H1523" s="3">
        <v>83</v>
      </c>
      <c r="I1523" s="3">
        <v>12.2</v>
      </c>
      <c r="J1523" s="3">
        <v>4.7</v>
      </c>
      <c r="K1523" s="3">
        <v>0.1</v>
      </c>
      <c r="L1523" s="3">
        <v>6.8</v>
      </c>
      <c r="M1523" t="str">
        <f>IF(acs2015_county_data[[#This Row],[PublicWork]]&gt;='Описательные характеристики'!$F$5,"да","нет")</f>
        <v>нет</v>
      </c>
      <c r="N1523" t="str">
        <f>IF(acs2015_county_data[[#This Row],[Unemployment]]&gt;='Описательные характеристики'!$I$5,"да","нет")</f>
        <v>нет</v>
      </c>
    </row>
    <row r="1524" spans="1:14" x14ac:dyDescent="0.35">
      <c r="A1524">
        <v>29079</v>
      </c>
      <c r="B1524" t="s">
        <v>1013</v>
      </c>
      <c r="C1524" t="s">
        <v>520</v>
      </c>
      <c r="D1524" s="2">
        <v>10256</v>
      </c>
      <c r="E1524" s="2">
        <v>19365</v>
      </c>
      <c r="F1524" s="3">
        <v>3.5</v>
      </c>
      <c r="G1524" s="3">
        <v>4272</v>
      </c>
      <c r="H1524" s="3">
        <v>74.7</v>
      </c>
      <c r="I1524" s="3">
        <v>16.399999999999999</v>
      </c>
      <c r="J1524" s="3">
        <v>8.1999999999999993</v>
      </c>
      <c r="K1524" s="3">
        <v>0.6</v>
      </c>
      <c r="L1524" s="3">
        <v>4.5</v>
      </c>
      <c r="M1524" t="str">
        <f>IF(acs2015_county_data[[#This Row],[PublicWork]]&gt;='Описательные характеристики'!$F$5,"да","нет")</f>
        <v>да</v>
      </c>
      <c r="N1524" t="str">
        <f>IF(acs2015_county_data[[#This Row],[Unemployment]]&gt;='Описательные характеристики'!$I$5,"да","нет")</f>
        <v>нет</v>
      </c>
    </row>
    <row r="1525" spans="1:14" x14ac:dyDescent="0.35">
      <c r="A1525">
        <v>29081</v>
      </c>
      <c r="B1525" t="s">
        <v>1013</v>
      </c>
      <c r="C1525" t="s">
        <v>568</v>
      </c>
      <c r="D1525" s="2">
        <v>8722</v>
      </c>
      <c r="E1525" s="2">
        <v>19906</v>
      </c>
      <c r="F1525" s="3">
        <v>4.2</v>
      </c>
      <c r="G1525" s="3">
        <v>3755</v>
      </c>
      <c r="H1525" s="3">
        <v>71.599999999999994</v>
      </c>
      <c r="I1525" s="3">
        <v>16.399999999999999</v>
      </c>
      <c r="J1525" s="3">
        <v>11.5</v>
      </c>
      <c r="K1525" s="3">
        <v>0.6</v>
      </c>
      <c r="L1525" s="3">
        <v>5.8</v>
      </c>
      <c r="M1525" t="str">
        <f>IF(acs2015_county_data[[#This Row],[PublicWork]]&gt;='Описательные характеристики'!$F$5,"да","нет")</f>
        <v>да</v>
      </c>
      <c r="N1525" t="str">
        <f>IF(acs2015_county_data[[#This Row],[Unemployment]]&gt;='Описательные характеристики'!$I$5,"да","нет")</f>
        <v>нет</v>
      </c>
    </row>
    <row r="1526" spans="1:14" x14ac:dyDescent="0.35">
      <c r="A1526">
        <v>29083</v>
      </c>
      <c r="B1526" t="s">
        <v>1013</v>
      </c>
      <c r="C1526" t="s">
        <v>47</v>
      </c>
      <c r="D1526" s="2">
        <v>22034</v>
      </c>
      <c r="E1526" s="2">
        <v>23961</v>
      </c>
      <c r="F1526" s="3">
        <v>4</v>
      </c>
      <c r="G1526" s="3">
        <v>9359</v>
      </c>
      <c r="H1526" s="3">
        <v>77.599999999999994</v>
      </c>
      <c r="I1526" s="3">
        <v>13</v>
      </c>
      <c r="J1526" s="3">
        <v>8.9</v>
      </c>
      <c r="K1526" s="3">
        <v>0.4</v>
      </c>
      <c r="L1526" s="3">
        <v>7.4</v>
      </c>
      <c r="M1526" t="str">
        <f>IF(acs2015_county_data[[#This Row],[PublicWork]]&gt;='Описательные характеристики'!$F$5,"да","нет")</f>
        <v>нет</v>
      </c>
      <c r="N1526" t="str">
        <f>IF(acs2015_county_data[[#This Row],[Unemployment]]&gt;='Описательные характеристики'!$I$5,"да","нет")</f>
        <v>нет</v>
      </c>
    </row>
    <row r="1527" spans="1:14" x14ac:dyDescent="0.35">
      <c r="A1527">
        <v>29085</v>
      </c>
      <c r="B1527" t="s">
        <v>1013</v>
      </c>
      <c r="C1527" t="s">
        <v>1027</v>
      </c>
      <c r="D1527" s="2">
        <v>9335</v>
      </c>
      <c r="E1527" s="2">
        <v>18153</v>
      </c>
      <c r="F1527" s="3">
        <v>5.6</v>
      </c>
      <c r="G1527" s="3">
        <v>3020</v>
      </c>
      <c r="H1527" s="3">
        <v>72.400000000000006</v>
      </c>
      <c r="I1527" s="3">
        <v>17.2</v>
      </c>
      <c r="J1527" s="3">
        <v>10.4</v>
      </c>
      <c r="K1527" s="3">
        <v>0</v>
      </c>
      <c r="L1527" s="3">
        <v>12.6</v>
      </c>
      <c r="M1527" t="str">
        <f>IF(acs2015_county_data[[#This Row],[PublicWork]]&gt;='Описательные характеристики'!$F$5,"да","нет")</f>
        <v>да</v>
      </c>
      <c r="N1527" t="str">
        <f>IF(acs2015_county_data[[#This Row],[Unemployment]]&gt;='Описательные характеристики'!$I$5,"да","нет")</f>
        <v>да</v>
      </c>
    </row>
    <row r="1528" spans="1:14" x14ac:dyDescent="0.35">
      <c r="A1528">
        <v>29087</v>
      </c>
      <c r="B1528" t="s">
        <v>1013</v>
      </c>
      <c r="C1528" t="s">
        <v>1028</v>
      </c>
      <c r="D1528" s="2">
        <v>4615</v>
      </c>
      <c r="E1528" s="2">
        <v>25319</v>
      </c>
      <c r="F1528" s="3">
        <v>2.8</v>
      </c>
      <c r="G1528" s="3">
        <v>2238</v>
      </c>
      <c r="H1528" s="3">
        <v>72.8</v>
      </c>
      <c r="I1528" s="3">
        <v>14.2</v>
      </c>
      <c r="J1528" s="3">
        <v>12.5</v>
      </c>
      <c r="K1528" s="3">
        <v>0.5</v>
      </c>
      <c r="L1528" s="3">
        <v>5.2</v>
      </c>
      <c r="M1528" t="str">
        <f>IF(acs2015_county_data[[#This Row],[PublicWork]]&gt;='Описательные характеристики'!$F$5,"да","нет")</f>
        <v>нет</v>
      </c>
      <c r="N1528" t="str">
        <f>IF(acs2015_county_data[[#This Row],[Unemployment]]&gt;='Описательные характеристики'!$I$5,"да","нет")</f>
        <v>нет</v>
      </c>
    </row>
    <row r="1529" spans="1:14" x14ac:dyDescent="0.35">
      <c r="A1529">
        <v>29089</v>
      </c>
      <c r="B1529" t="s">
        <v>1013</v>
      </c>
      <c r="C1529" t="s">
        <v>147</v>
      </c>
      <c r="D1529" s="2">
        <v>10182</v>
      </c>
      <c r="E1529" s="2">
        <v>22158</v>
      </c>
      <c r="F1529" s="3">
        <v>5.5</v>
      </c>
      <c r="G1529" s="3">
        <v>4533</v>
      </c>
      <c r="H1529" s="3">
        <v>70.2</v>
      </c>
      <c r="I1529" s="3">
        <v>20.2</v>
      </c>
      <c r="J1529" s="3">
        <v>9.4</v>
      </c>
      <c r="K1529" s="3">
        <v>0.2</v>
      </c>
      <c r="L1529" s="3">
        <v>6.3</v>
      </c>
      <c r="M1529" t="str">
        <f>IF(acs2015_county_data[[#This Row],[PublicWork]]&gt;='Описательные характеристики'!$F$5,"да","нет")</f>
        <v>да</v>
      </c>
      <c r="N1529" t="str">
        <f>IF(acs2015_county_data[[#This Row],[Unemployment]]&gt;='Описательные характеристики'!$I$5,"да","нет")</f>
        <v>нет</v>
      </c>
    </row>
    <row r="1530" spans="1:14" x14ac:dyDescent="0.35">
      <c r="A1530">
        <v>29091</v>
      </c>
      <c r="B1530" t="s">
        <v>1013</v>
      </c>
      <c r="C1530" t="s">
        <v>1029</v>
      </c>
      <c r="D1530" s="2">
        <v>40326</v>
      </c>
      <c r="E1530" s="2">
        <v>18817</v>
      </c>
      <c r="F1530" s="3">
        <v>3.7</v>
      </c>
      <c r="G1530" s="3">
        <v>16205</v>
      </c>
      <c r="H1530" s="3">
        <v>76.2</v>
      </c>
      <c r="I1530" s="3">
        <v>13.6</v>
      </c>
      <c r="J1530" s="3">
        <v>9.9</v>
      </c>
      <c r="K1530" s="3">
        <v>0.3</v>
      </c>
      <c r="L1530" s="3">
        <v>8.3000000000000007</v>
      </c>
      <c r="M1530" t="str">
        <f>IF(acs2015_county_data[[#This Row],[PublicWork]]&gt;='Описательные характеристики'!$F$5,"да","нет")</f>
        <v>нет</v>
      </c>
      <c r="N1530" t="str">
        <f>IF(acs2015_county_data[[#This Row],[Unemployment]]&gt;='Описательные характеристики'!$I$5,"да","нет")</f>
        <v>да</v>
      </c>
    </row>
    <row r="1531" spans="1:14" x14ac:dyDescent="0.35">
      <c r="A1531">
        <v>29093</v>
      </c>
      <c r="B1531" t="s">
        <v>1013</v>
      </c>
      <c r="C1531" t="s">
        <v>881</v>
      </c>
      <c r="D1531" s="2">
        <v>10322</v>
      </c>
      <c r="E1531" s="2">
        <v>19559</v>
      </c>
      <c r="F1531" s="3">
        <v>4.9000000000000004</v>
      </c>
      <c r="G1531" s="3">
        <v>3878</v>
      </c>
      <c r="H1531" s="3">
        <v>75.2</v>
      </c>
      <c r="I1531" s="3">
        <v>19.100000000000001</v>
      </c>
      <c r="J1531" s="3">
        <v>5.5</v>
      </c>
      <c r="K1531" s="3">
        <v>0.1</v>
      </c>
      <c r="L1531" s="3">
        <v>11.4</v>
      </c>
      <c r="M1531" t="str">
        <f>IF(acs2015_county_data[[#This Row],[PublicWork]]&gt;='Описательные характеристики'!$F$5,"да","нет")</f>
        <v>да</v>
      </c>
      <c r="N1531" t="str">
        <f>IF(acs2015_county_data[[#This Row],[Unemployment]]&gt;='Описательные характеристики'!$I$5,"да","нет")</f>
        <v>да</v>
      </c>
    </row>
    <row r="1532" spans="1:14" x14ac:dyDescent="0.35">
      <c r="A1532">
        <v>29095</v>
      </c>
      <c r="B1532" t="s">
        <v>1013</v>
      </c>
      <c r="C1532" t="s">
        <v>49</v>
      </c>
      <c r="D1532" s="2">
        <v>680905</v>
      </c>
      <c r="E1532" s="2">
        <v>26629</v>
      </c>
      <c r="F1532" s="3">
        <v>4.2</v>
      </c>
      <c r="G1532" s="3">
        <v>326275</v>
      </c>
      <c r="H1532" s="3">
        <v>82.7</v>
      </c>
      <c r="I1532" s="3">
        <v>12.3</v>
      </c>
      <c r="J1532" s="3">
        <v>4.9000000000000004</v>
      </c>
      <c r="K1532" s="3">
        <v>0.1</v>
      </c>
      <c r="L1532" s="3">
        <v>7.6</v>
      </c>
      <c r="M1532" t="str">
        <f>IF(acs2015_county_data[[#This Row],[PublicWork]]&gt;='Описательные характеристики'!$F$5,"да","нет")</f>
        <v>нет</v>
      </c>
      <c r="N1532" t="str">
        <f>IF(acs2015_county_data[[#This Row],[Unemployment]]&gt;='Описательные характеристики'!$I$5,"да","нет")</f>
        <v>да</v>
      </c>
    </row>
    <row r="1533" spans="1:14" x14ac:dyDescent="0.35">
      <c r="A1533">
        <v>29097</v>
      </c>
      <c r="B1533" t="s">
        <v>1013</v>
      </c>
      <c r="C1533" t="s">
        <v>412</v>
      </c>
      <c r="D1533" s="2">
        <v>117184</v>
      </c>
      <c r="E1533" s="2">
        <v>22431</v>
      </c>
      <c r="F1533" s="3">
        <v>3.8</v>
      </c>
      <c r="G1533" s="3">
        <v>55374</v>
      </c>
      <c r="H1533" s="3">
        <v>81.900000000000006</v>
      </c>
      <c r="I1533" s="3">
        <v>11.2</v>
      </c>
      <c r="J1533" s="3">
        <v>6.8</v>
      </c>
      <c r="K1533" s="3">
        <v>0.2</v>
      </c>
      <c r="L1533" s="3">
        <v>6</v>
      </c>
      <c r="M1533" t="str">
        <f>IF(acs2015_county_data[[#This Row],[PublicWork]]&gt;='Описательные характеристики'!$F$5,"да","нет")</f>
        <v>нет</v>
      </c>
      <c r="N1533" t="str">
        <f>IF(acs2015_county_data[[#This Row],[Unemployment]]&gt;='Описательные характеристики'!$I$5,"да","нет")</f>
        <v>нет</v>
      </c>
    </row>
    <row r="1534" spans="1:14" x14ac:dyDescent="0.35">
      <c r="A1534">
        <v>29099</v>
      </c>
      <c r="B1534" t="s">
        <v>1013</v>
      </c>
      <c r="C1534" t="s">
        <v>50</v>
      </c>
      <c r="D1534" s="2">
        <v>221577</v>
      </c>
      <c r="E1534" s="2">
        <v>25247</v>
      </c>
      <c r="F1534" s="3">
        <v>3.1</v>
      </c>
      <c r="G1534" s="3">
        <v>106972</v>
      </c>
      <c r="H1534" s="3">
        <v>84.6</v>
      </c>
      <c r="I1534" s="3">
        <v>10.3</v>
      </c>
      <c r="J1534" s="3">
        <v>5</v>
      </c>
      <c r="K1534" s="3">
        <v>0.2</v>
      </c>
      <c r="L1534" s="3">
        <v>8.3000000000000007</v>
      </c>
      <c r="M1534" t="str">
        <f>IF(acs2015_county_data[[#This Row],[PublicWork]]&gt;='Описательные характеристики'!$F$5,"да","нет")</f>
        <v>нет</v>
      </c>
      <c r="N1534" t="str">
        <f>IF(acs2015_county_data[[#This Row],[Unemployment]]&gt;='Описательные характеристики'!$I$5,"да","нет")</f>
        <v>да</v>
      </c>
    </row>
    <row r="1535" spans="1:14" x14ac:dyDescent="0.35">
      <c r="A1535">
        <v>29101</v>
      </c>
      <c r="B1535" t="s">
        <v>1013</v>
      </c>
      <c r="C1535" t="s">
        <v>150</v>
      </c>
      <c r="D1535" s="2">
        <v>54155</v>
      </c>
      <c r="E1535" s="2">
        <v>22722</v>
      </c>
      <c r="F1535" s="3">
        <v>4</v>
      </c>
      <c r="G1535" s="3">
        <v>23900</v>
      </c>
      <c r="H1535" s="3">
        <v>70.5</v>
      </c>
      <c r="I1535" s="3">
        <v>22.9</v>
      </c>
      <c r="J1535" s="3">
        <v>6.2</v>
      </c>
      <c r="K1535" s="3">
        <v>0.3</v>
      </c>
      <c r="L1535" s="3">
        <v>8</v>
      </c>
      <c r="M1535" t="str">
        <f>IF(acs2015_county_data[[#This Row],[PublicWork]]&gt;='Описательные характеристики'!$F$5,"да","нет")</f>
        <v>да</v>
      </c>
      <c r="N1535" t="str">
        <f>IF(acs2015_county_data[[#This Row],[Unemployment]]&gt;='Описательные характеристики'!$I$5,"да","нет")</f>
        <v>да</v>
      </c>
    </row>
    <row r="1536" spans="1:14" x14ac:dyDescent="0.35">
      <c r="A1536">
        <v>29103</v>
      </c>
      <c r="B1536" t="s">
        <v>1013</v>
      </c>
      <c r="C1536" t="s">
        <v>529</v>
      </c>
      <c r="D1536" s="2">
        <v>4035</v>
      </c>
      <c r="E1536" s="2">
        <v>22397</v>
      </c>
      <c r="F1536" s="3">
        <v>11.3</v>
      </c>
      <c r="G1536" s="3">
        <v>1709</v>
      </c>
      <c r="H1536" s="3">
        <v>69.599999999999994</v>
      </c>
      <c r="I1536" s="3">
        <v>11.9</v>
      </c>
      <c r="J1536" s="3">
        <v>17.7</v>
      </c>
      <c r="K1536" s="3">
        <v>0.8</v>
      </c>
      <c r="L1536" s="3">
        <v>7.4</v>
      </c>
      <c r="M1536" t="str">
        <f>IF(acs2015_county_data[[#This Row],[PublicWork]]&gt;='Описательные характеристики'!$F$5,"да","нет")</f>
        <v>нет</v>
      </c>
      <c r="N1536" t="str">
        <f>IF(acs2015_county_data[[#This Row],[Unemployment]]&gt;='Описательные характеристики'!$I$5,"да","нет")</f>
        <v>нет</v>
      </c>
    </row>
    <row r="1537" spans="1:14" x14ac:dyDescent="0.35">
      <c r="A1537">
        <v>29105</v>
      </c>
      <c r="B1537" t="s">
        <v>1013</v>
      </c>
      <c r="C1537" t="s">
        <v>1030</v>
      </c>
      <c r="D1537" s="2">
        <v>35514</v>
      </c>
      <c r="E1537" s="2">
        <v>19567</v>
      </c>
      <c r="F1537" s="3">
        <v>3.3</v>
      </c>
      <c r="G1537" s="3">
        <v>14708</v>
      </c>
      <c r="H1537" s="3">
        <v>78.599999999999994</v>
      </c>
      <c r="I1537" s="3">
        <v>12.7</v>
      </c>
      <c r="J1537" s="3">
        <v>8.5</v>
      </c>
      <c r="K1537" s="3">
        <v>0.2</v>
      </c>
      <c r="L1537" s="3">
        <v>8.8000000000000007</v>
      </c>
      <c r="M1537" t="str">
        <f>IF(acs2015_county_data[[#This Row],[PublicWork]]&gt;='Описательные характеристики'!$F$5,"да","нет")</f>
        <v>нет</v>
      </c>
      <c r="N1537" t="str">
        <f>IF(acs2015_county_data[[#This Row],[Unemployment]]&gt;='Описательные характеристики'!$I$5,"да","нет")</f>
        <v>да</v>
      </c>
    </row>
    <row r="1538" spans="1:14" x14ac:dyDescent="0.35">
      <c r="A1538">
        <v>29107</v>
      </c>
      <c r="B1538" t="s">
        <v>1013</v>
      </c>
      <c r="C1538" t="s">
        <v>151</v>
      </c>
      <c r="D1538" s="2">
        <v>32916</v>
      </c>
      <c r="E1538" s="2">
        <v>24266</v>
      </c>
      <c r="F1538" s="3">
        <v>4.8</v>
      </c>
      <c r="G1538" s="3">
        <v>15021</v>
      </c>
      <c r="H1538" s="3">
        <v>77</v>
      </c>
      <c r="I1538" s="3">
        <v>15.7</v>
      </c>
      <c r="J1538" s="3">
        <v>7.1</v>
      </c>
      <c r="K1538" s="3">
        <v>0.2</v>
      </c>
      <c r="L1538" s="3">
        <v>6.9</v>
      </c>
      <c r="M1538" t="str">
        <f>IF(acs2015_county_data[[#This Row],[PublicWork]]&gt;='Описательные характеристики'!$F$5,"да","нет")</f>
        <v>нет</v>
      </c>
      <c r="N1538" t="str">
        <f>IF(acs2015_county_data[[#This Row],[Unemployment]]&gt;='Описательные характеристики'!$I$5,"да","нет")</f>
        <v>нет</v>
      </c>
    </row>
    <row r="1539" spans="1:14" x14ac:dyDescent="0.35">
      <c r="A1539">
        <v>29109</v>
      </c>
      <c r="B1539" t="s">
        <v>1013</v>
      </c>
      <c r="C1539" t="s">
        <v>52</v>
      </c>
      <c r="D1539" s="2">
        <v>38244</v>
      </c>
      <c r="E1539" s="2">
        <v>19508</v>
      </c>
      <c r="F1539" s="3">
        <v>5.3</v>
      </c>
      <c r="G1539" s="3">
        <v>15804</v>
      </c>
      <c r="H1539" s="3">
        <v>77.900000000000006</v>
      </c>
      <c r="I1539" s="3">
        <v>12.3</v>
      </c>
      <c r="J1539" s="3">
        <v>9.4</v>
      </c>
      <c r="K1539" s="3">
        <v>0.4</v>
      </c>
      <c r="L1539" s="3">
        <v>7</v>
      </c>
      <c r="M1539" t="str">
        <f>IF(acs2015_county_data[[#This Row],[PublicWork]]&gt;='Описательные характеристики'!$F$5,"да","нет")</f>
        <v>нет</v>
      </c>
      <c r="N1539" t="str">
        <f>IF(acs2015_county_data[[#This Row],[Unemployment]]&gt;='Описательные характеристики'!$I$5,"да","нет")</f>
        <v>нет</v>
      </c>
    </row>
    <row r="1540" spans="1:14" x14ac:dyDescent="0.35">
      <c r="A1540">
        <v>29111</v>
      </c>
      <c r="B1540" t="s">
        <v>1013</v>
      </c>
      <c r="C1540" t="s">
        <v>492</v>
      </c>
      <c r="D1540" s="2">
        <v>10172</v>
      </c>
      <c r="E1540" s="2">
        <v>20042</v>
      </c>
      <c r="F1540" s="3">
        <v>8.9</v>
      </c>
      <c r="G1540" s="3">
        <v>4918</v>
      </c>
      <c r="H1540" s="3">
        <v>79.2</v>
      </c>
      <c r="I1540" s="3">
        <v>12.1</v>
      </c>
      <c r="J1540" s="3">
        <v>8.4</v>
      </c>
      <c r="K1540" s="3">
        <v>0.3</v>
      </c>
      <c r="L1540" s="3">
        <v>5.6</v>
      </c>
      <c r="M1540" t="str">
        <f>IF(acs2015_county_data[[#This Row],[PublicWork]]&gt;='Описательные характеристики'!$F$5,"да","нет")</f>
        <v>нет</v>
      </c>
      <c r="N1540" t="str">
        <f>IF(acs2015_county_data[[#This Row],[Unemployment]]&gt;='Описательные характеристики'!$I$5,"да","нет")</f>
        <v>нет</v>
      </c>
    </row>
    <row r="1541" spans="1:14" x14ac:dyDescent="0.35">
      <c r="A1541">
        <v>29113</v>
      </c>
      <c r="B1541" t="s">
        <v>1013</v>
      </c>
      <c r="C1541" t="s">
        <v>152</v>
      </c>
      <c r="D1541" s="2">
        <v>53850</v>
      </c>
      <c r="E1541" s="2">
        <v>22232</v>
      </c>
      <c r="F1541" s="3">
        <v>2.8</v>
      </c>
      <c r="G1541" s="3">
        <v>23857</v>
      </c>
      <c r="H1541" s="3">
        <v>86.2</v>
      </c>
      <c r="I1541" s="3">
        <v>8.6999999999999993</v>
      </c>
      <c r="J1541" s="3">
        <v>5.0999999999999996</v>
      </c>
      <c r="K1541" s="3">
        <v>0.1</v>
      </c>
      <c r="L1541" s="3">
        <v>9.5</v>
      </c>
      <c r="M1541" t="str">
        <f>IF(acs2015_county_data[[#This Row],[PublicWork]]&gt;='Описательные характеристики'!$F$5,"да","нет")</f>
        <v>нет</v>
      </c>
      <c r="N1541" t="str">
        <f>IF(acs2015_county_data[[#This Row],[Unemployment]]&gt;='Описательные характеристики'!$I$5,"да","нет")</f>
        <v>да</v>
      </c>
    </row>
    <row r="1542" spans="1:14" x14ac:dyDescent="0.35">
      <c r="A1542">
        <v>29115</v>
      </c>
      <c r="B1542" t="s">
        <v>1013</v>
      </c>
      <c r="C1542" t="s">
        <v>619</v>
      </c>
      <c r="D1542" s="2">
        <v>12401</v>
      </c>
      <c r="E1542" s="2">
        <v>19889</v>
      </c>
      <c r="F1542" s="3">
        <v>4.2</v>
      </c>
      <c r="G1542" s="3">
        <v>5125</v>
      </c>
      <c r="H1542" s="3">
        <v>77.900000000000006</v>
      </c>
      <c r="I1542" s="3">
        <v>13.7</v>
      </c>
      <c r="J1542" s="3">
        <v>7.9</v>
      </c>
      <c r="K1542" s="3">
        <v>0.6</v>
      </c>
      <c r="L1542" s="3">
        <v>4.5</v>
      </c>
      <c r="M1542" t="str">
        <f>IF(acs2015_county_data[[#This Row],[PublicWork]]&gt;='Описательные характеристики'!$F$5,"да","нет")</f>
        <v>нет</v>
      </c>
      <c r="N1542" t="str">
        <f>IF(acs2015_county_data[[#This Row],[Unemployment]]&gt;='Описательные характеристики'!$I$5,"да","нет")</f>
        <v>нет</v>
      </c>
    </row>
    <row r="1543" spans="1:14" x14ac:dyDescent="0.35">
      <c r="A1543">
        <v>29117</v>
      </c>
      <c r="B1543" t="s">
        <v>1013</v>
      </c>
      <c r="C1543" t="s">
        <v>531</v>
      </c>
      <c r="D1543" s="2">
        <v>15042</v>
      </c>
      <c r="E1543" s="2">
        <v>22557</v>
      </c>
      <c r="F1543" s="3">
        <v>6.3</v>
      </c>
      <c r="G1543" s="3">
        <v>6641</v>
      </c>
      <c r="H1543" s="3">
        <v>72.599999999999994</v>
      </c>
      <c r="I1543" s="3">
        <v>17.2</v>
      </c>
      <c r="J1543" s="3">
        <v>9.6999999999999993</v>
      </c>
      <c r="K1543" s="3">
        <v>0.5</v>
      </c>
      <c r="L1543" s="3">
        <v>5.0999999999999996</v>
      </c>
      <c r="M1543" t="str">
        <f>IF(acs2015_county_data[[#This Row],[PublicWork]]&gt;='Описательные характеристики'!$F$5,"да","нет")</f>
        <v>да</v>
      </c>
      <c r="N1543" t="str">
        <f>IF(acs2015_county_data[[#This Row],[Unemployment]]&gt;='Описательные характеристики'!$I$5,"да","нет")</f>
        <v>нет</v>
      </c>
    </row>
    <row r="1544" spans="1:14" x14ac:dyDescent="0.35">
      <c r="A1544">
        <v>29119</v>
      </c>
      <c r="B1544" t="s">
        <v>1013</v>
      </c>
      <c r="C1544" t="s">
        <v>1031</v>
      </c>
      <c r="D1544" s="2">
        <v>22763</v>
      </c>
      <c r="E1544" s="2">
        <v>18498</v>
      </c>
      <c r="F1544" s="3">
        <v>4.2</v>
      </c>
      <c r="G1544" s="3">
        <v>9544</v>
      </c>
      <c r="H1544" s="3">
        <v>83</v>
      </c>
      <c r="I1544" s="3">
        <v>10.199999999999999</v>
      </c>
      <c r="J1544" s="3">
        <v>6.6</v>
      </c>
      <c r="K1544" s="3">
        <v>0.2</v>
      </c>
      <c r="L1544" s="3">
        <v>8.6999999999999993</v>
      </c>
      <c r="M1544" t="str">
        <f>IF(acs2015_county_data[[#This Row],[PublicWork]]&gt;='Описательные характеристики'!$F$5,"да","нет")</f>
        <v>нет</v>
      </c>
      <c r="N1544" t="str">
        <f>IF(acs2015_county_data[[#This Row],[Unemployment]]&gt;='Описательные характеристики'!$I$5,"да","нет")</f>
        <v>да</v>
      </c>
    </row>
    <row r="1545" spans="1:14" x14ac:dyDescent="0.35">
      <c r="A1545">
        <v>29121</v>
      </c>
      <c r="B1545" t="s">
        <v>1013</v>
      </c>
      <c r="C1545" t="s">
        <v>56</v>
      </c>
      <c r="D1545" s="2">
        <v>15460</v>
      </c>
      <c r="E1545" s="2">
        <v>19738</v>
      </c>
      <c r="F1545" s="3">
        <v>3.3</v>
      </c>
      <c r="G1545" s="3">
        <v>6541</v>
      </c>
      <c r="H1545" s="3">
        <v>71.599999999999994</v>
      </c>
      <c r="I1545" s="3">
        <v>18.600000000000001</v>
      </c>
      <c r="J1545" s="3">
        <v>9.6</v>
      </c>
      <c r="K1545" s="3">
        <v>0.3</v>
      </c>
      <c r="L1545" s="3">
        <v>8.6999999999999993</v>
      </c>
      <c r="M1545" t="str">
        <f>IF(acs2015_county_data[[#This Row],[PublicWork]]&gt;='Описательные характеристики'!$F$5,"да","нет")</f>
        <v>да</v>
      </c>
      <c r="N1545" t="str">
        <f>IF(acs2015_county_data[[#This Row],[Unemployment]]&gt;='Описательные характеристики'!$I$5,"да","нет")</f>
        <v>да</v>
      </c>
    </row>
    <row r="1546" spans="1:14" x14ac:dyDescent="0.35">
      <c r="A1546">
        <v>29123</v>
      </c>
      <c r="B1546" t="s">
        <v>1013</v>
      </c>
      <c r="C1546" t="s">
        <v>57</v>
      </c>
      <c r="D1546" s="2">
        <v>12401</v>
      </c>
      <c r="E1546" s="2">
        <v>17179</v>
      </c>
      <c r="F1546" s="3">
        <v>3</v>
      </c>
      <c r="G1546" s="3">
        <v>4854</v>
      </c>
      <c r="H1546" s="3">
        <v>76.3</v>
      </c>
      <c r="I1546" s="3">
        <v>19.399999999999999</v>
      </c>
      <c r="J1546" s="3">
        <v>4</v>
      </c>
      <c r="K1546" s="3">
        <v>0.2</v>
      </c>
      <c r="L1546" s="3">
        <v>10.199999999999999</v>
      </c>
      <c r="M1546" t="str">
        <f>IF(acs2015_county_data[[#This Row],[PublicWork]]&gt;='Описательные характеристики'!$F$5,"да","нет")</f>
        <v>да</v>
      </c>
      <c r="N1546" t="str">
        <f>IF(acs2015_county_data[[#This Row],[Unemployment]]&gt;='Описательные характеристики'!$I$5,"да","нет")</f>
        <v>да</v>
      </c>
    </row>
    <row r="1547" spans="1:14" x14ac:dyDescent="0.35">
      <c r="A1547">
        <v>29125</v>
      </c>
      <c r="B1547" t="s">
        <v>1013</v>
      </c>
      <c r="C1547" t="s">
        <v>1032</v>
      </c>
      <c r="D1547" s="2">
        <v>9057</v>
      </c>
      <c r="E1547" s="2">
        <v>20731</v>
      </c>
      <c r="F1547" s="3">
        <v>7.2</v>
      </c>
      <c r="G1547" s="3">
        <v>3551</v>
      </c>
      <c r="H1547" s="3">
        <v>77.900000000000006</v>
      </c>
      <c r="I1547" s="3">
        <v>15.3</v>
      </c>
      <c r="J1547" s="3">
        <v>6.8</v>
      </c>
      <c r="K1547" s="3">
        <v>0</v>
      </c>
      <c r="L1547" s="3">
        <v>10</v>
      </c>
      <c r="M1547" t="str">
        <f>IF(acs2015_county_data[[#This Row],[PublicWork]]&gt;='Описательные характеристики'!$F$5,"да","нет")</f>
        <v>нет</v>
      </c>
      <c r="N1547" t="str">
        <f>IF(acs2015_county_data[[#This Row],[Unemployment]]&gt;='Описательные характеристики'!$I$5,"да","нет")</f>
        <v>да</v>
      </c>
    </row>
    <row r="1548" spans="1:14" x14ac:dyDescent="0.35">
      <c r="A1548">
        <v>29127</v>
      </c>
      <c r="B1548" t="s">
        <v>1013</v>
      </c>
      <c r="C1548" t="s">
        <v>59</v>
      </c>
      <c r="D1548" s="2">
        <v>28840</v>
      </c>
      <c r="E1548" s="2">
        <v>21614</v>
      </c>
      <c r="F1548" s="3">
        <v>4.5</v>
      </c>
      <c r="G1548" s="3">
        <v>12851</v>
      </c>
      <c r="H1548" s="3">
        <v>80.900000000000006</v>
      </c>
      <c r="I1548" s="3">
        <v>11.3</v>
      </c>
      <c r="J1548" s="3">
        <v>7.7</v>
      </c>
      <c r="K1548" s="3">
        <v>0.1</v>
      </c>
      <c r="L1548" s="3">
        <v>7.2</v>
      </c>
      <c r="M1548" t="str">
        <f>IF(acs2015_county_data[[#This Row],[PublicWork]]&gt;='Описательные характеристики'!$F$5,"да","нет")</f>
        <v>нет</v>
      </c>
      <c r="N1548" t="str">
        <f>IF(acs2015_county_data[[#This Row],[Unemployment]]&gt;='Описательные характеристики'!$I$5,"да","нет")</f>
        <v>нет</v>
      </c>
    </row>
    <row r="1549" spans="1:14" x14ac:dyDescent="0.35">
      <c r="A1549">
        <v>29129</v>
      </c>
      <c r="B1549" t="s">
        <v>1013</v>
      </c>
      <c r="C1549" t="s">
        <v>539</v>
      </c>
      <c r="D1549" s="2">
        <v>3718</v>
      </c>
      <c r="E1549" s="2">
        <v>20404</v>
      </c>
      <c r="F1549" s="3">
        <v>6.7</v>
      </c>
      <c r="G1549" s="3">
        <v>1657</v>
      </c>
      <c r="H1549" s="3">
        <v>66.599999999999994</v>
      </c>
      <c r="I1549" s="3">
        <v>18.3</v>
      </c>
      <c r="J1549" s="3">
        <v>14.5</v>
      </c>
      <c r="K1549" s="3">
        <v>0.5</v>
      </c>
      <c r="L1549" s="3">
        <v>4.5999999999999996</v>
      </c>
      <c r="M1549" t="str">
        <f>IF(acs2015_county_data[[#This Row],[PublicWork]]&gt;='Описательные характеристики'!$F$5,"да","нет")</f>
        <v>да</v>
      </c>
      <c r="N1549" t="str">
        <f>IF(acs2015_county_data[[#This Row],[Unemployment]]&gt;='Описательные характеристики'!$I$5,"да","нет")</f>
        <v>нет</v>
      </c>
    </row>
    <row r="1550" spans="1:14" x14ac:dyDescent="0.35">
      <c r="A1550">
        <v>29131</v>
      </c>
      <c r="B1550" t="s">
        <v>1013</v>
      </c>
      <c r="C1550" t="s">
        <v>156</v>
      </c>
      <c r="D1550" s="2">
        <v>24956</v>
      </c>
      <c r="E1550" s="2">
        <v>21268</v>
      </c>
      <c r="F1550" s="3">
        <v>4.3</v>
      </c>
      <c r="G1550" s="3">
        <v>10832</v>
      </c>
      <c r="H1550" s="3">
        <v>73.8</v>
      </c>
      <c r="I1550" s="3">
        <v>15.9</v>
      </c>
      <c r="J1550" s="3">
        <v>9.6</v>
      </c>
      <c r="K1550" s="3">
        <v>0.7</v>
      </c>
      <c r="L1550" s="3">
        <v>8.1</v>
      </c>
      <c r="M1550" t="str">
        <f>IF(acs2015_county_data[[#This Row],[PublicWork]]&gt;='Описательные характеристики'!$F$5,"да","нет")</f>
        <v>нет</v>
      </c>
      <c r="N1550" t="str">
        <f>IF(acs2015_county_data[[#This Row],[Unemployment]]&gt;='Описательные характеристики'!$I$5,"да","нет")</f>
        <v>да</v>
      </c>
    </row>
    <row r="1551" spans="1:14" x14ac:dyDescent="0.35">
      <c r="A1551">
        <v>29133</v>
      </c>
      <c r="B1551" t="s">
        <v>1013</v>
      </c>
      <c r="C1551" t="s">
        <v>157</v>
      </c>
      <c r="D1551" s="2">
        <v>14208</v>
      </c>
      <c r="E1551" s="2">
        <v>16515</v>
      </c>
      <c r="F1551" s="3">
        <v>5.4</v>
      </c>
      <c r="G1551" s="3">
        <v>4945</v>
      </c>
      <c r="H1551" s="3">
        <v>72.900000000000006</v>
      </c>
      <c r="I1551" s="3">
        <v>17.7</v>
      </c>
      <c r="J1551" s="3">
        <v>9</v>
      </c>
      <c r="K1551" s="3">
        <v>0.3</v>
      </c>
      <c r="L1551" s="3">
        <v>12.2</v>
      </c>
      <c r="M1551" t="str">
        <f>IF(acs2015_county_data[[#This Row],[PublicWork]]&gt;='Описательные характеристики'!$F$5,"да","нет")</f>
        <v>да</v>
      </c>
      <c r="N1551" t="str">
        <f>IF(acs2015_county_data[[#This Row],[Unemployment]]&gt;='Описательные характеристики'!$I$5,"да","нет")</f>
        <v>да</v>
      </c>
    </row>
    <row r="1552" spans="1:14" x14ac:dyDescent="0.35">
      <c r="A1552">
        <v>29135</v>
      </c>
      <c r="B1552" t="s">
        <v>1013</v>
      </c>
      <c r="C1552" t="s">
        <v>1033</v>
      </c>
      <c r="D1552" s="2">
        <v>15801</v>
      </c>
      <c r="E1552" s="2">
        <v>20901</v>
      </c>
      <c r="F1552" s="3">
        <v>2.8</v>
      </c>
      <c r="G1552" s="3">
        <v>6712</v>
      </c>
      <c r="H1552" s="3">
        <v>68.8</v>
      </c>
      <c r="I1552" s="3">
        <v>23.5</v>
      </c>
      <c r="J1552" s="3">
        <v>7.6</v>
      </c>
      <c r="K1552" s="3">
        <v>0.1</v>
      </c>
      <c r="L1552" s="3">
        <v>6.7</v>
      </c>
      <c r="M1552" t="str">
        <f>IF(acs2015_county_data[[#This Row],[PublicWork]]&gt;='Описательные характеристики'!$F$5,"да","нет")</f>
        <v>да</v>
      </c>
      <c r="N1552" t="str">
        <f>IF(acs2015_county_data[[#This Row],[Unemployment]]&gt;='Описательные характеристики'!$I$5,"да","нет")</f>
        <v>нет</v>
      </c>
    </row>
    <row r="1553" spans="1:14" x14ac:dyDescent="0.35">
      <c r="A1553">
        <v>29137</v>
      </c>
      <c r="B1553" t="s">
        <v>1013</v>
      </c>
      <c r="C1553" t="s">
        <v>62</v>
      </c>
      <c r="D1553" s="2">
        <v>8680</v>
      </c>
      <c r="E1553" s="2">
        <v>20921</v>
      </c>
      <c r="F1553" s="3">
        <v>5.6</v>
      </c>
      <c r="G1553" s="3">
        <v>3845</v>
      </c>
      <c r="H1553" s="3">
        <v>77.3</v>
      </c>
      <c r="I1553" s="3">
        <v>14.8</v>
      </c>
      <c r="J1553" s="3">
        <v>7.6</v>
      </c>
      <c r="K1553" s="3">
        <v>0.2</v>
      </c>
      <c r="L1553" s="3">
        <v>5.9</v>
      </c>
      <c r="M1553" t="str">
        <f>IF(acs2015_county_data[[#This Row],[PublicWork]]&gt;='Описательные характеристики'!$F$5,"да","нет")</f>
        <v>нет</v>
      </c>
      <c r="N1553" t="str">
        <f>IF(acs2015_county_data[[#This Row],[Unemployment]]&gt;='Описательные характеристики'!$I$5,"да","нет")</f>
        <v>нет</v>
      </c>
    </row>
    <row r="1554" spans="1:14" x14ac:dyDescent="0.35">
      <c r="A1554">
        <v>29139</v>
      </c>
      <c r="B1554" t="s">
        <v>1013</v>
      </c>
      <c r="C1554" t="s">
        <v>158</v>
      </c>
      <c r="D1554" s="2">
        <v>11939</v>
      </c>
      <c r="E1554" s="2">
        <v>20710</v>
      </c>
      <c r="F1554" s="3">
        <v>3.6</v>
      </c>
      <c r="G1554" s="3">
        <v>5126</v>
      </c>
      <c r="H1554" s="3">
        <v>75.8</v>
      </c>
      <c r="I1554" s="3">
        <v>13.8</v>
      </c>
      <c r="J1554" s="3">
        <v>10.1</v>
      </c>
      <c r="K1554" s="3">
        <v>0.4</v>
      </c>
      <c r="L1554" s="3">
        <v>9.4</v>
      </c>
      <c r="M1554" t="str">
        <f>IF(acs2015_county_data[[#This Row],[PublicWork]]&gt;='Описательные характеристики'!$F$5,"да","нет")</f>
        <v>нет</v>
      </c>
      <c r="N1554" t="str">
        <f>IF(acs2015_county_data[[#This Row],[Unemployment]]&gt;='Описательные характеристики'!$I$5,"да","нет")</f>
        <v>да</v>
      </c>
    </row>
    <row r="1555" spans="1:14" x14ac:dyDescent="0.35">
      <c r="A1555">
        <v>29141</v>
      </c>
      <c r="B1555" t="s">
        <v>1013</v>
      </c>
      <c r="C1555" t="s">
        <v>63</v>
      </c>
      <c r="D1555" s="2">
        <v>20225</v>
      </c>
      <c r="E1555" s="2">
        <v>18431</v>
      </c>
      <c r="F1555" s="3">
        <v>4.9000000000000004</v>
      </c>
      <c r="G1555" s="3">
        <v>6875</v>
      </c>
      <c r="H1555" s="3">
        <v>74.3</v>
      </c>
      <c r="I1555" s="3">
        <v>13.3</v>
      </c>
      <c r="J1555" s="3">
        <v>11.9</v>
      </c>
      <c r="K1555" s="3">
        <v>0.4</v>
      </c>
      <c r="L1555" s="3">
        <v>11.7</v>
      </c>
      <c r="M1555" t="str">
        <f>IF(acs2015_county_data[[#This Row],[PublicWork]]&gt;='Описательные характеристики'!$F$5,"да","нет")</f>
        <v>нет</v>
      </c>
      <c r="N1555" t="str">
        <f>IF(acs2015_county_data[[#This Row],[Unemployment]]&gt;='Описательные характеристики'!$I$5,"да","нет")</f>
        <v>да</v>
      </c>
    </row>
    <row r="1556" spans="1:14" x14ac:dyDescent="0.35">
      <c r="A1556">
        <v>29143</v>
      </c>
      <c r="B1556" t="s">
        <v>1013</v>
      </c>
      <c r="C1556" t="s">
        <v>1034</v>
      </c>
      <c r="D1556" s="2">
        <v>18411</v>
      </c>
      <c r="E1556" s="2">
        <v>19918</v>
      </c>
      <c r="F1556" s="3">
        <v>2.7</v>
      </c>
      <c r="G1556" s="3">
        <v>7298</v>
      </c>
      <c r="H1556" s="3">
        <v>79.3</v>
      </c>
      <c r="I1556" s="3">
        <v>14.2</v>
      </c>
      <c r="J1556" s="3">
        <v>6.5</v>
      </c>
      <c r="K1556" s="3">
        <v>0</v>
      </c>
      <c r="L1556" s="3">
        <v>8.8000000000000007</v>
      </c>
      <c r="M1556" t="str">
        <f>IF(acs2015_county_data[[#This Row],[PublicWork]]&gt;='Описательные характеристики'!$F$5,"да","нет")</f>
        <v>нет</v>
      </c>
      <c r="N1556" t="str">
        <f>IF(acs2015_county_data[[#This Row],[Unemployment]]&gt;='Описательные характеристики'!$I$5,"да","нет")</f>
        <v>да</v>
      </c>
    </row>
    <row r="1557" spans="1:14" x14ac:dyDescent="0.35">
      <c r="A1557">
        <v>29145</v>
      </c>
      <c r="B1557" t="s">
        <v>1013</v>
      </c>
      <c r="C1557" t="s">
        <v>160</v>
      </c>
      <c r="D1557" s="2">
        <v>58777</v>
      </c>
      <c r="E1557" s="2">
        <v>22735</v>
      </c>
      <c r="F1557" s="3">
        <v>4.0999999999999996</v>
      </c>
      <c r="G1557" s="3">
        <v>26122</v>
      </c>
      <c r="H1557" s="3">
        <v>82.2</v>
      </c>
      <c r="I1557" s="3">
        <v>10.8</v>
      </c>
      <c r="J1557" s="3">
        <v>6.7</v>
      </c>
      <c r="K1557" s="3">
        <v>0.3</v>
      </c>
      <c r="L1557" s="3">
        <v>6.1</v>
      </c>
      <c r="M1557" t="str">
        <f>IF(acs2015_county_data[[#This Row],[PublicWork]]&gt;='Описательные характеристики'!$F$5,"да","нет")</f>
        <v>нет</v>
      </c>
      <c r="N1557" t="str">
        <f>IF(acs2015_county_data[[#This Row],[Unemployment]]&gt;='Описательные характеристики'!$I$5,"да","нет")</f>
        <v>нет</v>
      </c>
    </row>
    <row r="1558" spans="1:14" x14ac:dyDescent="0.35">
      <c r="A1558">
        <v>29147</v>
      </c>
      <c r="B1558" t="s">
        <v>1013</v>
      </c>
      <c r="C1558" t="s">
        <v>1035</v>
      </c>
      <c r="D1558" s="2">
        <v>23186</v>
      </c>
      <c r="E1558" s="2">
        <v>18307</v>
      </c>
      <c r="F1558" s="3">
        <v>3.9</v>
      </c>
      <c r="G1558" s="3">
        <v>11209</v>
      </c>
      <c r="H1558" s="3">
        <v>74.599999999999994</v>
      </c>
      <c r="I1558" s="3">
        <v>16.399999999999999</v>
      </c>
      <c r="J1558" s="3">
        <v>8.6999999999999993</v>
      </c>
      <c r="K1558" s="3">
        <v>0.3</v>
      </c>
      <c r="L1558" s="3">
        <v>7.2</v>
      </c>
      <c r="M1558" t="str">
        <f>IF(acs2015_county_data[[#This Row],[PublicWork]]&gt;='Описательные характеристики'!$F$5,"да","нет")</f>
        <v>да</v>
      </c>
      <c r="N1558" t="str">
        <f>IF(acs2015_county_data[[#This Row],[Unemployment]]&gt;='Описательные характеристики'!$I$5,"да","нет")</f>
        <v>нет</v>
      </c>
    </row>
    <row r="1559" spans="1:14" x14ac:dyDescent="0.35">
      <c r="A1559">
        <v>29149</v>
      </c>
      <c r="B1559" t="s">
        <v>1013</v>
      </c>
      <c r="C1559" t="s">
        <v>1036</v>
      </c>
      <c r="D1559" s="2">
        <v>10979</v>
      </c>
      <c r="E1559" s="2">
        <v>17070</v>
      </c>
      <c r="F1559" s="3">
        <v>4.5</v>
      </c>
      <c r="G1559" s="3">
        <v>4083</v>
      </c>
      <c r="H1559" s="3">
        <v>71.400000000000006</v>
      </c>
      <c r="I1559" s="3">
        <v>16.8</v>
      </c>
      <c r="J1559" s="3">
        <v>11.6</v>
      </c>
      <c r="K1559" s="3">
        <v>0.2</v>
      </c>
      <c r="L1559" s="3">
        <v>7.1</v>
      </c>
      <c r="M1559" t="str">
        <f>IF(acs2015_county_data[[#This Row],[PublicWork]]&gt;='Описательные характеристики'!$F$5,"да","нет")</f>
        <v>да</v>
      </c>
      <c r="N1559" t="str">
        <f>IF(acs2015_county_data[[#This Row],[Unemployment]]&gt;='Описательные характеристики'!$I$5,"да","нет")</f>
        <v>нет</v>
      </c>
    </row>
    <row r="1560" spans="1:14" x14ac:dyDescent="0.35">
      <c r="A1560">
        <v>29151</v>
      </c>
      <c r="B1560" t="s">
        <v>1013</v>
      </c>
      <c r="C1560" t="s">
        <v>682</v>
      </c>
      <c r="D1560" s="2">
        <v>13758</v>
      </c>
      <c r="E1560" s="2">
        <v>23918</v>
      </c>
      <c r="F1560" s="3">
        <v>3.2</v>
      </c>
      <c r="G1560" s="3">
        <v>6752</v>
      </c>
      <c r="H1560" s="3">
        <v>71</v>
      </c>
      <c r="I1560" s="3">
        <v>21.6</v>
      </c>
      <c r="J1560" s="3">
        <v>5.8</v>
      </c>
      <c r="K1560" s="3">
        <v>1.6</v>
      </c>
      <c r="L1560" s="3">
        <v>2.9</v>
      </c>
      <c r="M1560" t="str">
        <f>IF(acs2015_county_data[[#This Row],[PublicWork]]&gt;='Описательные характеристики'!$F$5,"да","нет")</f>
        <v>да</v>
      </c>
      <c r="N1560" t="str">
        <f>IF(acs2015_county_data[[#This Row],[Unemployment]]&gt;='Описательные характеристики'!$I$5,"да","нет")</f>
        <v>нет</v>
      </c>
    </row>
    <row r="1561" spans="1:14" x14ac:dyDescent="0.35">
      <c r="A1561">
        <v>29153</v>
      </c>
      <c r="B1561" t="s">
        <v>1013</v>
      </c>
      <c r="C1561" t="s">
        <v>1037</v>
      </c>
      <c r="D1561" s="2">
        <v>9537</v>
      </c>
      <c r="E1561" s="2">
        <v>16959</v>
      </c>
      <c r="F1561" s="3">
        <v>4.7</v>
      </c>
      <c r="G1561" s="3">
        <v>3112</v>
      </c>
      <c r="H1561" s="3">
        <v>77.099999999999994</v>
      </c>
      <c r="I1561" s="3">
        <v>13.8</v>
      </c>
      <c r="J1561" s="3">
        <v>9.1</v>
      </c>
      <c r="K1561" s="3">
        <v>0</v>
      </c>
      <c r="L1561" s="3">
        <v>12.6</v>
      </c>
      <c r="M1561" t="str">
        <f>IF(acs2015_county_data[[#This Row],[PublicWork]]&gt;='Описательные характеристики'!$F$5,"да","нет")</f>
        <v>нет</v>
      </c>
      <c r="N1561" t="str">
        <f>IF(acs2015_county_data[[#This Row],[Unemployment]]&gt;='Описательные характеристики'!$I$5,"да","нет")</f>
        <v>да</v>
      </c>
    </row>
    <row r="1562" spans="1:14" x14ac:dyDescent="0.35">
      <c r="A1562">
        <v>29155</v>
      </c>
      <c r="B1562" t="s">
        <v>1013</v>
      </c>
      <c r="C1562" t="s">
        <v>1038</v>
      </c>
      <c r="D1562" s="2">
        <v>17837</v>
      </c>
      <c r="E1562" s="2">
        <v>16902</v>
      </c>
      <c r="F1562" s="3">
        <v>1.8</v>
      </c>
      <c r="G1562" s="3">
        <v>6423</v>
      </c>
      <c r="H1562" s="3">
        <v>80</v>
      </c>
      <c r="I1562" s="3">
        <v>14.9</v>
      </c>
      <c r="J1562" s="3">
        <v>4.9000000000000004</v>
      </c>
      <c r="K1562" s="3">
        <v>0.1</v>
      </c>
      <c r="L1562" s="3">
        <v>11.2</v>
      </c>
      <c r="M1562" t="str">
        <f>IF(acs2015_county_data[[#This Row],[PublicWork]]&gt;='Описательные характеристики'!$F$5,"да","нет")</f>
        <v>нет</v>
      </c>
      <c r="N1562" t="str">
        <f>IF(acs2015_county_data[[#This Row],[Unemployment]]&gt;='Описательные характеристики'!$I$5,"да","нет")</f>
        <v>да</v>
      </c>
    </row>
    <row r="1563" spans="1:14" x14ac:dyDescent="0.35">
      <c r="A1563">
        <v>29157</v>
      </c>
      <c r="B1563" t="s">
        <v>1013</v>
      </c>
      <c r="C1563" t="s">
        <v>64</v>
      </c>
      <c r="D1563" s="2">
        <v>19100</v>
      </c>
      <c r="E1563" s="2">
        <v>23695</v>
      </c>
      <c r="F1563" s="3">
        <v>4.4000000000000004</v>
      </c>
      <c r="G1563" s="3">
        <v>9292</v>
      </c>
      <c r="H1563" s="3">
        <v>83.9</v>
      </c>
      <c r="I1563" s="3">
        <v>9.3000000000000007</v>
      </c>
      <c r="J1563" s="3">
        <v>6.7</v>
      </c>
      <c r="K1563" s="3">
        <v>0.1</v>
      </c>
      <c r="L1563" s="3">
        <v>4.2</v>
      </c>
      <c r="M1563" t="str">
        <f>IF(acs2015_county_data[[#This Row],[PublicWork]]&gt;='Описательные характеристики'!$F$5,"да","нет")</f>
        <v>нет</v>
      </c>
      <c r="N1563" t="str">
        <f>IF(acs2015_county_data[[#This Row],[Unemployment]]&gt;='Описательные характеристики'!$I$5,"да","нет")</f>
        <v>нет</v>
      </c>
    </row>
    <row r="1564" spans="1:14" x14ac:dyDescent="0.35">
      <c r="A1564">
        <v>29159</v>
      </c>
      <c r="B1564" t="s">
        <v>1013</v>
      </c>
      <c r="C1564" t="s">
        <v>1039</v>
      </c>
      <c r="D1564" s="2">
        <v>42215</v>
      </c>
      <c r="E1564" s="2">
        <v>20494</v>
      </c>
      <c r="F1564" s="3">
        <v>4.5999999999999996</v>
      </c>
      <c r="G1564" s="3">
        <v>18740</v>
      </c>
      <c r="H1564" s="3">
        <v>82.2</v>
      </c>
      <c r="I1564" s="3">
        <v>10.7</v>
      </c>
      <c r="J1564" s="3">
        <v>6.9</v>
      </c>
      <c r="K1564" s="3">
        <v>0.2</v>
      </c>
      <c r="L1564" s="3">
        <v>6.4</v>
      </c>
      <c r="M1564" t="str">
        <f>IF(acs2015_county_data[[#This Row],[PublicWork]]&gt;='Описательные характеристики'!$F$5,"да","нет")</f>
        <v>нет</v>
      </c>
      <c r="N1564" t="str">
        <f>IF(acs2015_county_data[[#This Row],[Unemployment]]&gt;='Описательные характеристики'!$I$5,"да","нет")</f>
        <v>нет</v>
      </c>
    </row>
    <row r="1565" spans="1:14" x14ac:dyDescent="0.35">
      <c r="A1565">
        <v>29161</v>
      </c>
      <c r="B1565" t="s">
        <v>1013</v>
      </c>
      <c r="C1565" t="s">
        <v>1040</v>
      </c>
      <c r="D1565" s="2">
        <v>45029</v>
      </c>
      <c r="E1565" s="2">
        <v>21611</v>
      </c>
      <c r="F1565" s="3">
        <v>3.4</v>
      </c>
      <c r="G1565" s="3">
        <v>19451</v>
      </c>
      <c r="H1565" s="3">
        <v>74.5</v>
      </c>
      <c r="I1565" s="3">
        <v>20.6</v>
      </c>
      <c r="J1565" s="3">
        <v>4.8</v>
      </c>
      <c r="K1565" s="3">
        <v>0</v>
      </c>
      <c r="L1565" s="3">
        <v>7</v>
      </c>
      <c r="M1565" t="str">
        <f>IF(acs2015_county_data[[#This Row],[PublicWork]]&gt;='Описательные характеристики'!$F$5,"да","нет")</f>
        <v>да</v>
      </c>
      <c r="N1565" t="str">
        <f>IF(acs2015_county_data[[#This Row],[Unemployment]]&gt;='Описательные характеристики'!$I$5,"да","нет")</f>
        <v>нет</v>
      </c>
    </row>
    <row r="1566" spans="1:14" x14ac:dyDescent="0.35">
      <c r="A1566">
        <v>29163</v>
      </c>
      <c r="B1566" t="s">
        <v>1013</v>
      </c>
      <c r="C1566" t="s">
        <v>66</v>
      </c>
      <c r="D1566" s="2">
        <v>18517</v>
      </c>
      <c r="E1566" s="2">
        <v>19005</v>
      </c>
      <c r="F1566" s="3">
        <v>5.7</v>
      </c>
      <c r="G1566" s="3">
        <v>7300</v>
      </c>
      <c r="H1566" s="3">
        <v>78.099999999999994</v>
      </c>
      <c r="I1566" s="3">
        <v>14.4</v>
      </c>
      <c r="J1566" s="3">
        <v>7.2</v>
      </c>
      <c r="K1566" s="3">
        <v>0.4</v>
      </c>
      <c r="L1566" s="3">
        <v>6.5</v>
      </c>
      <c r="M1566" t="str">
        <f>IF(acs2015_county_data[[#This Row],[PublicWork]]&gt;='Описательные характеристики'!$F$5,"да","нет")</f>
        <v>нет</v>
      </c>
      <c r="N1566" t="str">
        <f>IF(acs2015_county_data[[#This Row],[Unemployment]]&gt;='Описательные характеристики'!$I$5,"да","нет")</f>
        <v>нет</v>
      </c>
    </row>
    <row r="1567" spans="1:14" x14ac:dyDescent="0.35">
      <c r="A1567">
        <v>29165</v>
      </c>
      <c r="B1567" t="s">
        <v>1013</v>
      </c>
      <c r="C1567" t="s">
        <v>1041</v>
      </c>
      <c r="D1567" s="2">
        <v>93394</v>
      </c>
      <c r="E1567" s="2">
        <v>35666</v>
      </c>
      <c r="F1567" s="3">
        <v>4.5999999999999996</v>
      </c>
      <c r="G1567" s="3">
        <v>49463</v>
      </c>
      <c r="H1567" s="3">
        <v>82.2</v>
      </c>
      <c r="I1567" s="3">
        <v>13</v>
      </c>
      <c r="J1567" s="3">
        <v>4.5999999999999996</v>
      </c>
      <c r="K1567" s="3">
        <v>0.1</v>
      </c>
      <c r="L1567" s="3">
        <v>5.6</v>
      </c>
      <c r="M1567" t="str">
        <f>IF(acs2015_county_data[[#This Row],[PublicWork]]&gt;='Описательные характеристики'!$F$5,"да","нет")</f>
        <v>нет</v>
      </c>
      <c r="N1567" t="str">
        <f>IF(acs2015_county_data[[#This Row],[Unemployment]]&gt;='Описательные характеристики'!$I$5,"да","нет")</f>
        <v>нет</v>
      </c>
    </row>
    <row r="1568" spans="1:14" x14ac:dyDescent="0.35">
      <c r="A1568">
        <v>29167</v>
      </c>
      <c r="B1568" t="s">
        <v>1013</v>
      </c>
      <c r="C1568" t="s">
        <v>164</v>
      </c>
      <c r="D1568" s="2">
        <v>31107</v>
      </c>
      <c r="E1568" s="2">
        <v>19908</v>
      </c>
      <c r="F1568" s="3">
        <v>5.6</v>
      </c>
      <c r="G1568" s="3">
        <v>12978</v>
      </c>
      <c r="H1568" s="3">
        <v>75.7</v>
      </c>
      <c r="I1568" s="3">
        <v>12.4</v>
      </c>
      <c r="J1568" s="3">
        <v>11.1</v>
      </c>
      <c r="K1568" s="3">
        <v>0.9</v>
      </c>
      <c r="L1568" s="3">
        <v>9.5</v>
      </c>
      <c r="M1568" t="str">
        <f>IF(acs2015_county_data[[#This Row],[PublicWork]]&gt;='Описательные характеристики'!$F$5,"да","нет")</f>
        <v>нет</v>
      </c>
      <c r="N1568" t="str">
        <f>IF(acs2015_county_data[[#This Row],[Unemployment]]&gt;='Описательные характеристики'!$I$5,"да","нет")</f>
        <v>да</v>
      </c>
    </row>
    <row r="1569" spans="1:14" x14ac:dyDescent="0.35">
      <c r="A1569">
        <v>29169</v>
      </c>
      <c r="B1569" t="s">
        <v>1013</v>
      </c>
      <c r="C1569" t="s">
        <v>166</v>
      </c>
      <c r="D1569" s="2">
        <v>53443</v>
      </c>
      <c r="E1569" s="2">
        <v>19568</v>
      </c>
      <c r="F1569" s="3">
        <v>33.9</v>
      </c>
      <c r="G1569" s="3">
        <v>15279</v>
      </c>
      <c r="H1569" s="3">
        <v>57.6</v>
      </c>
      <c r="I1569" s="3">
        <v>37.1</v>
      </c>
      <c r="J1569" s="3">
        <v>4.7</v>
      </c>
      <c r="K1569" s="3">
        <v>0.6</v>
      </c>
      <c r="L1569" s="3">
        <v>12.7</v>
      </c>
      <c r="M1569" t="str">
        <f>IF(acs2015_county_data[[#This Row],[PublicWork]]&gt;='Описательные характеристики'!$F$5,"да","нет")</f>
        <v>да</v>
      </c>
      <c r="N1569" t="str">
        <f>IF(acs2015_county_data[[#This Row],[Unemployment]]&gt;='Описательные характеристики'!$I$5,"да","нет")</f>
        <v>да</v>
      </c>
    </row>
    <row r="1570" spans="1:14" x14ac:dyDescent="0.35">
      <c r="A1570">
        <v>29171</v>
      </c>
      <c r="B1570" t="s">
        <v>1013</v>
      </c>
      <c r="C1570" t="s">
        <v>343</v>
      </c>
      <c r="D1570" s="2">
        <v>4895</v>
      </c>
      <c r="E1570" s="2">
        <v>20203</v>
      </c>
      <c r="F1570" s="3">
        <v>9.4</v>
      </c>
      <c r="G1570" s="3">
        <v>2097</v>
      </c>
      <c r="H1570" s="3">
        <v>67</v>
      </c>
      <c r="I1570" s="3">
        <v>14.8</v>
      </c>
      <c r="J1570" s="3">
        <v>17.7</v>
      </c>
      <c r="K1570" s="3">
        <v>0.6</v>
      </c>
      <c r="L1570" s="3">
        <v>2.8</v>
      </c>
      <c r="M1570" t="str">
        <f>IF(acs2015_county_data[[#This Row],[PublicWork]]&gt;='Описательные характеристики'!$F$5,"да","нет")</f>
        <v>нет</v>
      </c>
      <c r="N1570" t="str">
        <f>IF(acs2015_county_data[[#This Row],[Unemployment]]&gt;='Описательные характеристики'!$I$5,"да","нет")</f>
        <v>нет</v>
      </c>
    </row>
    <row r="1571" spans="1:14" x14ac:dyDescent="0.35">
      <c r="A1571">
        <v>29173</v>
      </c>
      <c r="B1571" t="s">
        <v>1013</v>
      </c>
      <c r="C1571" t="s">
        <v>1042</v>
      </c>
      <c r="D1571" s="2">
        <v>10243</v>
      </c>
      <c r="E1571" s="2">
        <v>23442</v>
      </c>
      <c r="F1571" s="3">
        <v>5.9</v>
      </c>
      <c r="G1571" s="3">
        <v>4821</v>
      </c>
      <c r="H1571" s="3">
        <v>79.400000000000006</v>
      </c>
      <c r="I1571" s="3">
        <v>13.4</v>
      </c>
      <c r="J1571" s="3">
        <v>6.9</v>
      </c>
      <c r="K1571" s="3">
        <v>0.2</v>
      </c>
      <c r="L1571" s="3">
        <v>6.2</v>
      </c>
      <c r="M1571" t="str">
        <f>IF(acs2015_county_data[[#This Row],[PublicWork]]&gt;='Описательные характеристики'!$F$5,"да","нет")</f>
        <v>нет</v>
      </c>
      <c r="N1571" t="str">
        <f>IF(acs2015_county_data[[#This Row],[Unemployment]]&gt;='Описательные характеристики'!$I$5,"да","нет")</f>
        <v>нет</v>
      </c>
    </row>
    <row r="1572" spans="1:14" x14ac:dyDescent="0.35">
      <c r="A1572">
        <v>29175</v>
      </c>
      <c r="B1572" t="s">
        <v>1013</v>
      </c>
      <c r="C1572" t="s">
        <v>67</v>
      </c>
      <c r="D1572" s="2">
        <v>25135</v>
      </c>
      <c r="E1572" s="2">
        <v>18151</v>
      </c>
      <c r="F1572" s="3">
        <v>4.3</v>
      </c>
      <c r="G1572" s="3">
        <v>9519</v>
      </c>
      <c r="H1572" s="3">
        <v>79.5</v>
      </c>
      <c r="I1572" s="3">
        <v>14.1</v>
      </c>
      <c r="J1572" s="3">
        <v>6.3</v>
      </c>
      <c r="K1572" s="3">
        <v>0.1</v>
      </c>
      <c r="L1572" s="3">
        <v>8.9</v>
      </c>
      <c r="M1572" t="str">
        <f>IF(acs2015_county_data[[#This Row],[PublicWork]]&gt;='Описательные характеристики'!$F$5,"да","нет")</f>
        <v>нет</v>
      </c>
      <c r="N1572" t="str">
        <f>IF(acs2015_county_data[[#This Row],[Unemployment]]&gt;='Описательные характеристики'!$I$5,"да","нет")</f>
        <v>да</v>
      </c>
    </row>
    <row r="1573" spans="1:14" x14ac:dyDescent="0.35">
      <c r="A1573">
        <v>29177</v>
      </c>
      <c r="B1573" t="s">
        <v>1013</v>
      </c>
      <c r="C1573" t="s">
        <v>1043</v>
      </c>
      <c r="D1573" s="2">
        <v>23031</v>
      </c>
      <c r="E1573" s="2">
        <v>24101</v>
      </c>
      <c r="F1573" s="3">
        <v>3.2</v>
      </c>
      <c r="G1573" s="3">
        <v>10147</v>
      </c>
      <c r="H1573" s="3">
        <v>81.099999999999994</v>
      </c>
      <c r="I1573" s="3">
        <v>13</v>
      </c>
      <c r="J1573" s="3">
        <v>5.6</v>
      </c>
      <c r="K1573" s="3">
        <v>0.3</v>
      </c>
      <c r="L1573" s="3">
        <v>8.1999999999999993</v>
      </c>
      <c r="M1573" t="str">
        <f>IF(acs2015_county_data[[#This Row],[PublicWork]]&gt;='Описательные характеристики'!$F$5,"да","нет")</f>
        <v>нет</v>
      </c>
      <c r="N1573" t="str">
        <f>IF(acs2015_county_data[[#This Row],[Unemployment]]&gt;='Описательные характеристики'!$I$5,"да","нет")</f>
        <v>да</v>
      </c>
    </row>
    <row r="1574" spans="1:14" x14ac:dyDescent="0.35">
      <c r="A1574">
        <v>29179</v>
      </c>
      <c r="B1574" t="s">
        <v>1013</v>
      </c>
      <c r="C1574" t="s">
        <v>1044</v>
      </c>
      <c r="D1574" s="2">
        <v>6578</v>
      </c>
      <c r="E1574" s="2">
        <v>20082</v>
      </c>
      <c r="F1574" s="3">
        <v>2.6</v>
      </c>
      <c r="G1574" s="3">
        <v>2404</v>
      </c>
      <c r="H1574" s="3">
        <v>73.400000000000006</v>
      </c>
      <c r="I1574" s="3">
        <v>20</v>
      </c>
      <c r="J1574" s="3">
        <v>6.6</v>
      </c>
      <c r="K1574" s="3">
        <v>0</v>
      </c>
      <c r="L1574" s="3">
        <v>11.1</v>
      </c>
      <c r="M1574" t="str">
        <f>IF(acs2015_county_data[[#This Row],[PublicWork]]&gt;='Описательные характеристики'!$F$5,"да","нет")</f>
        <v>да</v>
      </c>
      <c r="N1574" t="str">
        <f>IF(acs2015_county_data[[#This Row],[Unemployment]]&gt;='Описательные характеристики'!$I$5,"да","нет")</f>
        <v>да</v>
      </c>
    </row>
    <row r="1575" spans="1:14" x14ac:dyDescent="0.35">
      <c r="A1575">
        <v>29181</v>
      </c>
      <c r="B1575" t="s">
        <v>1013</v>
      </c>
      <c r="C1575" t="s">
        <v>583</v>
      </c>
      <c r="D1575" s="2">
        <v>13990</v>
      </c>
      <c r="E1575" s="2">
        <v>17315</v>
      </c>
      <c r="F1575" s="3">
        <v>2</v>
      </c>
      <c r="G1575" s="3">
        <v>5480</v>
      </c>
      <c r="H1575" s="3">
        <v>72.900000000000006</v>
      </c>
      <c r="I1575" s="3">
        <v>18</v>
      </c>
      <c r="J1575" s="3">
        <v>9.1</v>
      </c>
      <c r="K1575" s="3">
        <v>0</v>
      </c>
      <c r="L1575" s="3">
        <v>10.1</v>
      </c>
      <c r="M1575" t="str">
        <f>IF(acs2015_county_data[[#This Row],[PublicWork]]&gt;='Описательные характеристики'!$F$5,"да","нет")</f>
        <v>да</v>
      </c>
      <c r="N1575" t="str">
        <f>IF(acs2015_county_data[[#This Row],[Unemployment]]&gt;='Описательные характеристики'!$I$5,"да","нет")</f>
        <v>да</v>
      </c>
    </row>
    <row r="1576" spans="1:14" x14ac:dyDescent="0.35">
      <c r="A1576">
        <v>29183</v>
      </c>
      <c r="B1576" t="s">
        <v>1013</v>
      </c>
      <c r="C1576" t="s">
        <v>798</v>
      </c>
      <c r="D1576" s="2">
        <v>374805</v>
      </c>
      <c r="E1576" s="2">
        <v>32946</v>
      </c>
      <c r="F1576" s="3">
        <v>4.8</v>
      </c>
      <c r="G1576" s="3">
        <v>198960</v>
      </c>
      <c r="H1576" s="3">
        <v>87.1</v>
      </c>
      <c r="I1576" s="3">
        <v>8.6</v>
      </c>
      <c r="J1576" s="3">
        <v>4.0999999999999996</v>
      </c>
      <c r="K1576" s="3">
        <v>0.1</v>
      </c>
      <c r="L1576" s="3">
        <v>5.0999999999999996</v>
      </c>
      <c r="M1576" t="str">
        <f>IF(acs2015_county_data[[#This Row],[PublicWork]]&gt;='Описательные характеристики'!$F$5,"да","нет")</f>
        <v>нет</v>
      </c>
      <c r="N1576" t="str">
        <f>IF(acs2015_county_data[[#This Row],[Unemployment]]&gt;='Описательные характеристики'!$I$5,"да","нет")</f>
        <v>нет</v>
      </c>
    </row>
    <row r="1577" spans="1:14" x14ac:dyDescent="0.35">
      <c r="A1577">
        <v>29185</v>
      </c>
      <c r="B1577" t="s">
        <v>1013</v>
      </c>
      <c r="C1577" t="s">
        <v>69</v>
      </c>
      <c r="D1577" s="2">
        <v>9520</v>
      </c>
      <c r="E1577" s="2">
        <v>18840</v>
      </c>
      <c r="F1577" s="3">
        <v>5.7</v>
      </c>
      <c r="G1577" s="3">
        <v>3408</v>
      </c>
      <c r="H1577" s="3">
        <v>73.599999999999994</v>
      </c>
      <c r="I1577" s="3">
        <v>16.3</v>
      </c>
      <c r="J1577" s="3">
        <v>9.1</v>
      </c>
      <c r="K1577" s="3">
        <v>1.1000000000000001</v>
      </c>
      <c r="L1577" s="3">
        <v>9.3000000000000007</v>
      </c>
      <c r="M1577" t="str">
        <f>IF(acs2015_county_data[[#This Row],[PublicWork]]&gt;='Описательные характеристики'!$F$5,"да","нет")</f>
        <v>да</v>
      </c>
      <c r="N1577" t="str">
        <f>IF(acs2015_county_data[[#This Row],[Unemployment]]&gt;='Описательные характеристики'!$I$5,"да","нет")</f>
        <v>да</v>
      </c>
    </row>
    <row r="1578" spans="1:14" x14ac:dyDescent="0.35">
      <c r="A1578">
        <v>29186</v>
      </c>
      <c r="B1578" t="s">
        <v>1013</v>
      </c>
      <c r="C1578" t="s">
        <v>1045</v>
      </c>
      <c r="D1578" s="2">
        <v>17990</v>
      </c>
      <c r="E1578" s="2">
        <v>23772</v>
      </c>
      <c r="F1578" s="3">
        <v>3.7</v>
      </c>
      <c r="G1578" s="3">
        <v>8313</v>
      </c>
      <c r="H1578" s="3">
        <v>83.9</v>
      </c>
      <c r="I1578" s="3">
        <v>10.5</v>
      </c>
      <c r="J1578" s="3">
        <v>5.2</v>
      </c>
      <c r="K1578" s="3">
        <v>0.4</v>
      </c>
      <c r="L1578" s="3">
        <v>5.4</v>
      </c>
      <c r="M1578" t="str">
        <f>IF(acs2015_county_data[[#This Row],[PublicWork]]&gt;='Описательные характеристики'!$F$5,"да","нет")</f>
        <v>нет</v>
      </c>
      <c r="N1578" t="str">
        <f>IF(acs2015_county_data[[#This Row],[Unemployment]]&gt;='Описательные характеристики'!$I$5,"да","нет")</f>
        <v>нет</v>
      </c>
    </row>
    <row r="1579" spans="1:14" x14ac:dyDescent="0.35">
      <c r="A1579">
        <v>29187</v>
      </c>
      <c r="B1579" t="s">
        <v>1013</v>
      </c>
      <c r="C1579" t="s">
        <v>1046</v>
      </c>
      <c r="D1579" s="2">
        <v>66010</v>
      </c>
      <c r="E1579" s="2">
        <v>19315</v>
      </c>
      <c r="F1579" s="3">
        <v>1.3</v>
      </c>
      <c r="G1579" s="3">
        <v>25384</v>
      </c>
      <c r="H1579" s="3">
        <v>77.3</v>
      </c>
      <c r="I1579" s="3">
        <v>18.899999999999999</v>
      </c>
      <c r="J1579" s="3">
        <v>3.8</v>
      </c>
      <c r="K1579" s="3">
        <v>0.1</v>
      </c>
      <c r="L1579" s="3">
        <v>8.3000000000000007</v>
      </c>
      <c r="M1579" t="str">
        <f>IF(acs2015_county_data[[#This Row],[PublicWork]]&gt;='Описательные характеристики'!$F$5,"да","нет")</f>
        <v>да</v>
      </c>
      <c r="N1579" t="str">
        <f>IF(acs2015_county_data[[#This Row],[Unemployment]]&gt;='Описательные характеристики'!$I$5,"да","нет")</f>
        <v>да</v>
      </c>
    </row>
    <row r="1580" spans="1:14" x14ac:dyDescent="0.35">
      <c r="A1580">
        <v>29189</v>
      </c>
      <c r="B1580" t="s">
        <v>1013</v>
      </c>
      <c r="C1580" t="s">
        <v>964</v>
      </c>
      <c r="D1580" s="2">
        <v>1001327</v>
      </c>
      <c r="E1580" s="2">
        <v>35570</v>
      </c>
      <c r="F1580" s="3">
        <v>4.5999999999999996</v>
      </c>
      <c r="G1580" s="3">
        <v>492220</v>
      </c>
      <c r="H1580" s="3">
        <v>86.1</v>
      </c>
      <c r="I1580" s="3">
        <v>9</v>
      </c>
      <c r="J1580" s="3">
        <v>4.7</v>
      </c>
      <c r="K1580" s="3">
        <v>0.2</v>
      </c>
      <c r="L1580" s="3">
        <v>7.4</v>
      </c>
      <c r="M1580" t="str">
        <f>IF(acs2015_county_data[[#This Row],[PublicWork]]&gt;='Описательные характеристики'!$F$5,"да","нет")</f>
        <v>нет</v>
      </c>
      <c r="N1580" t="str">
        <f>IF(acs2015_county_data[[#This Row],[Unemployment]]&gt;='Описательные характеристики'!$I$5,"да","нет")</f>
        <v>нет</v>
      </c>
    </row>
    <row r="1581" spans="1:14" x14ac:dyDescent="0.35">
      <c r="A1581">
        <v>29195</v>
      </c>
      <c r="B1581" t="s">
        <v>1013</v>
      </c>
      <c r="C1581" t="s">
        <v>168</v>
      </c>
      <c r="D1581" s="2">
        <v>23334</v>
      </c>
      <c r="E1581" s="2">
        <v>20339</v>
      </c>
      <c r="F1581" s="3">
        <v>3</v>
      </c>
      <c r="G1581" s="3">
        <v>10642</v>
      </c>
      <c r="H1581" s="3">
        <v>73.3</v>
      </c>
      <c r="I1581" s="3">
        <v>18.5</v>
      </c>
      <c r="J1581" s="3">
        <v>8.1999999999999993</v>
      </c>
      <c r="K1581" s="3">
        <v>0.1</v>
      </c>
      <c r="L1581" s="3">
        <v>5.5</v>
      </c>
      <c r="M1581" t="str">
        <f>IF(acs2015_county_data[[#This Row],[PublicWork]]&gt;='Описательные характеристики'!$F$5,"да","нет")</f>
        <v>да</v>
      </c>
      <c r="N1581" t="str">
        <f>IF(acs2015_county_data[[#This Row],[Unemployment]]&gt;='Описательные характеристики'!$I$5,"да","нет")</f>
        <v>нет</v>
      </c>
    </row>
    <row r="1582" spans="1:14" x14ac:dyDescent="0.35">
      <c r="A1582">
        <v>29197</v>
      </c>
      <c r="B1582" t="s">
        <v>1013</v>
      </c>
      <c r="C1582" t="s">
        <v>547</v>
      </c>
      <c r="D1582" s="2">
        <v>4395</v>
      </c>
      <c r="E1582" s="2">
        <v>19650</v>
      </c>
      <c r="F1582" s="3">
        <v>6</v>
      </c>
      <c r="G1582" s="3">
        <v>1891</v>
      </c>
      <c r="H1582" s="3">
        <v>68.099999999999994</v>
      </c>
      <c r="I1582" s="3">
        <v>17.7</v>
      </c>
      <c r="J1582" s="3">
        <v>13.6</v>
      </c>
      <c r="K1582" s="3">
        <v>0.5</v>
      </c>
      <c r="L1582" s="3">
        <v>7.4</v>
      </c>
      <c r="M1582" t="str">
        <f>IF(acs2015_county_data[[#This Row],[PublicWork]]&gt;='Описательные характеристики'!$F$5,"да","нет")</f>
        <v>да</v>
      </c>
      <c r="N1582" t="str">
        <f>IF(acs2015_county_data[[#This Row],[Unemployment]]&gt;='Описательные характеристики'!$I$5,"да","нет")</f>
        <v>нет</v>
      </c>
    </row>
    <row r="1583" spans="1:14" x14ac:dyDescent="0.35">
      <c r="A1583">
        <v>29199</v>
      </c>
      <c r="B1583" t="s">
        <v>1013</v>
      </c>
      <c r="C1583" t="s">
        <v>1047</v>
      </c>
      <c r="D1583" s="2">
        <v>4873</v>
      </c>
      <c r="E1583" s="2">
        <v>20859</v>
      </c>
      <c r="F1583" s="3">
        <v>14.3</v>
      </c>
      <c r="G1583" s="3">
        <v>2193</v>
      </c>
      <c r="H1583" s="3">
        <v>69.7</v>
      </c>
      <c r="I1583" s="3">
        <v>13.1</v>
      </c>
      <c r="J1583" s="3">
        <v>16.5</v>
      </c>
      <c r="K1583" s="3">
        <v>0.7</v>
      </c>
      <c r="L1583" s="3">
        <v>4</v>
      </c>
      <c r="M1583" t="str">
        <f>IF(acs2015_county_data[[#This Row],[PublicWork]]&gt;='Описательные характеристики'!$F$5,"да","нет")</f>
        <v>нет</v>
      </c>
      <c r="N1583" t="str">
        <f>IF(acs2015_county_data[[#This Row],[Unemployment]]&gt;='Описательные характеристики'!$I$5,"да","нет")</f>
        <v>нет</v>
      </c>
    </row>
    <row r="1584" spans="1:14" x14ac:dyDescent="0.35">
      <c r="A1584">
        <v>29201</v>
      </c>
      <c r="B1584" t="s">
        <v>1013</v>
      </c>
      <c r="C1584" t="s">
        <v>169</v>
      </c>
      <c r="D1584" s="2">
        <v>39061</v>
      </c>
      <c r="E1584" s="2">
        <v>20542</v>
      </c>
      <c r="F1584" s="3">
        <v>4.0999999999999996</v>
      </c>
      <c r="G1584" s="3">
        <v>17280</v>
      </c>
      <c r="H1584" s="3">
        <v>81.099999999999994</v>
      </c>
      <c r="I1584" s="3">
        <v>12</v>
      </c>
      <c r="J1584" s="3">
        <v>6.7</v>
      </c>
      <c r="K1584" s="3">
        <v>0.2</v>
      </c>
      <c r="L1584" s="3">
        <v>6.8</v>
      </c>
      <c r="M1584" t="str">
        <f>IF(acs2015_county_data[[#This Row],[PublicWork]]&gt;='Описательные характеристики'!$F$5,"да","нет")</f>
        <v>нет</v>
      </c>
      <c r="N1584" t="str">
        <f>IF(acs2015_county_data[[#This Row],[Unemployment]]&gt;='Описательные характеристики'!$I$5,"да","нет")</f>
        <v>нет</v>
      </c>
    </row>
    <row r="1585" spans="1:14" x14ac:dyDescent="0.35">
      <c r="A1585">
        <v>29203</v>
      </c>
      <c r="B1585" t="s">
        <v>1013</v>
      </c>
      <c r="C1585" t="s">
        <v>1048</v>
      </c>
      <c r="D1585" s="2">
        <v>8317</v>
      </c>
      <c r="E1585" s="2">
        <v>19658</v>
      </c>
      <c r="F1585" s="3">
        <v>4.9000000000000004</v>
      </c>
      <c r="G1585" s="3">
        <v>3361</v>
      </c>
      <c r="H1585" s="3">
        <v>68.3</v>
      </c>
      <c r="I1585" s="3">
        <v>19.100000000000001</v>
      </c>
      <c r="J1585" s="3">
        <v>12</v>
      </c>
      <c r="K1585" s="3">
        <v>0.6</v>
      </c>
      <c r="L1585" s="3">
        <v>9.1999999999999993</v>
      </c>
      <c r="M1585" t="str">
        <f>IF(acs2015_county_data[[#This Row],[PublicWork]]&gt;='Описательные характеристики'!$F$5,"да","нет")</f>
        <v>да</v>
      </c>
      <c r="N1585" t="str">
        <f>IF(acs2015_county_data[[#This Row],[Unemployment]]&gt;='Описательные характеристики'!$I$5,"да","нет")</f>
        <v>да</v>
      </c>
    </row>
    <row r="1586" spans="1:14" x14ac:dyDescent="0.35">
      <c r="A1586">
        <v>29205</v>
      </c>
      <c r="B1586" t="s">
        <v>1013</v>
      </c>
      <c r="C1586" t="s">
        <v>70</v>
      </c>
      <c r="D1586" s="2">
        <v>6179</v>
      </c>
      <c r="E1586" s="2">
        <v>20569</v>
      </c>
      <c r="F1586" s="3">
        <v>7.8</v>
      </c>
      <c r="G1586" s="3">
        <v>2888</v>
      </c>
      <c r="H1586" s="3">
        <v>74.400000000000006</v>
      </c>
      <c r="I1586" s="3">
        <v>13.5</v>
      </c>
      <c r="J1586" s="3">
        <v>11.8</v>
      </c>
      <c r="K1586" s="3">
        <v>0.3</v>
      </c>
      <c r="L1586" s="3">
        <v>5.8</v>
      </c>
      <c r="M1586" t="str">
        <f>IF(acs2015_county_data[[#This Row],[PublicWork]]&gt;='Описательные характеристики'!$F$5,"да","нет")</f>
        <v>нет</v>
      </c>
      <c r="N1586" t="str">
        <f>IF(acs2015_county_data[[#This Row],[Unemployment]]&gt;='Описательные характеристики'!$I$5,"да","нет")</f>
        <v>нет</v>
      </c>
    </row>
    <row r="1587" spans="1:14" x14ac:dyDescent="0.35">
      <c r="A1587">
        <v>29207</v>
      </c>
      <c r="B1587" t="s">
        <v>1013</v>
      </c>
      <c r="C1587" t="s">
        <v>1049</v>
      </c>
      <c r="D1587" s="2">
        <v>29837</v>
      </c>
      <c r="E1587" s="2">
        <v>21797</v>
      </c>
      <c r="F1587" s="3">
        <v>2.6</v>
      </c>
      <c r="G1587" s="3">
        <v>12334</v>
      </c>
      <c r="H1587" s="3">
        <v>77.3</v>
      </c>
      <c r="I1587" s="3">
        <v>13.9</v>
      </c>
      <c r="J1587" s="3">
        <v>8.8000000000000007</v>
      </c>
      <c r="K1587" s="3">
        <v>0</v>
      </c>
      <c r="L1587" s="3">
        <v>9.1</v>
      </c>
      <c r="M1587" t="str">
        <f>IF(acs2015_county_data[[#This Row],[PublicWork]]&gt;='Описательные характеристики'!$F$5,"да","нет")</f>
        <v>нет</v>
      </c>
      <c r="N1587" t="str">
        <f>IF(acs2015_county_data[[#This Row],[Unemployment]]&gt;='Описательные характеристики'!$I$5,"да","нет")</f>
        <v>да</v>
      </c>
    </row>
    <row r="1588" spans="1:14" x14ac:dyDescent="0.35">
      <c r="A1588">
        <v>29209</v>
      </c>
      <c r="B1588" t="s">
        <v>1013</v>
      </c>
      <c r="C1588" t="s">
        <v>174</v>
      </c>
      <c r="D1588" s="2">
        <v>31375</v>
      </c>
      <c r="E1588" s="2">
        <v>22473</v>
      </c>
      <c r="F1588" s="3">
        <v>6.3</v>
      </c>
      <c r="G1588" s="3">
        <v>12009</v>
      </c>
      <c r="H1588" s="3">
        <v>79</v>
      </c>
      <c r="I1588" s="3">
        <v>9.3000000000000007</v>
      </c>
      <c r="J1588" s="3">
        <v>11.4</v>
      </c>
      <c r="K1588" s="3">
        <v>0.3</v>
      </c>
      <c r="L1588" s="3">
        <v>10.8</v>
      </c>
      <c r="M1588" t="str">
        <f>IF(acs2015_county_data[[#This Row],[PublicWork]]&gt;='Описательные характеристики'!$F$5,"да","нет")</f>
        <v>нет</v>
      </c>
      <c r="N1588" t="str">
        <f>IF(acs2015_county_data[[#This Row],[Unemployment]]&gt;='Описательные характеристики'!$I$5,"да","нет")</f>
        <v>да</v>
      </c>
    </row>
    <row r="1589" spans="1:14" x14ac:dyDescent="0.35">
      <c r="A1589">
        <v>29211</v>
      </c>
      <c r="B1589" t="s">
        <v>1013</v>
      </c>
      <c r="C1589" t="s">
        <v>589</v>
      </c>
      <c r="D1589" s="2">
        <v>6512</v>
      </c>
      <c r="E1589" s="2">
        <v>19930</v>
      </c>
      <c r="F1589" s="3">
        <v>5.6</v>
      </c>
      <c r="G1589" s="3">
        <v>2794</v>
      </c>
      <c r="H1589" s="3">
        <v>76.2</v>
      </c>
      <c r="I1589" s="3">
        <v>12.2</v>
      </c>
      <c r="J1589" s="3">
        <v>11</v>
      </c>
      <c r="K1589" s="3">
        <v>0.7</v>
      </c>
      <c r="L1589" s="3">
        <v>6</v>
      </c>
      <c r="M1589" t="str">
        <f>IF(acs2015_county_data[[#This Row],[PublicWork]]&gt;='Описательные характеристики'!$F$5,"да","нет")</f>
        <v>нет</v>
      </c>
      <c r="N1589" t="str">
        <f>IF(acs2015_county_data[[#This Row],[Unemployment]]&gt;='Описательные характеристики'!$I$5,"да","нет")</f>
        <v>нет</v>
      </c>
    </row>
    <row r="1590" spans="1:14" x14ac:dyDescent="0.35">
      <c r="A1590">
        <v>29213</v>
      </c>
      <c r="B1590" t="s">
        <v>1013</v>
      </c>
      <c r="C1590" t="s">
        <v>1050</v>
      </c>
      <c r="D1590" s="2">
        <v>53555</v>
      </c>
      <c r="E1590" s="2">
        <v>20520</v>
      </c>
      <c r="F1590" s="3">
        <v>4.5</v>
      </c>
      <c r="G1590" s="3">
        <v>23414</v>
      </c>
      <c r="H1590" s="3">
        <v>82.8</v>
      </c>
      <c r="I1590" s="3">
        <v>8.4</v>
      </c>
      <c r="J1590" s="3">
        <v>8.8000000000000007</v>
      </c>
      <c r="K1590" s="3">
        <v>0.1</v>
      </c>
      <c r="L1590" s="3">
        <v>9</v>
      </c>
      <c r="M1590" t="str">
        <f>IF(acs2015_county_data[[#This Row],[PublicWork]]&gt;='Описательные характеристики'!$F$5,"да","нет")</f>
        <v>нет</v>
      </c>
      <c r="N1590" t="str">
        <f>IF(acs2015_county_data[[#This Row],[Unemployment]]&gt;='Описательные характеристики'!$I$5,"да","нет")</f>
        <v>да</v>
      </c>
    </row>
    <row r="1591" spans="1:14" x14ac:dyDescent="0.35">
      <c r="A1591">
        <v>29215</v>
      </c>
      <c r="B1591" t="s">
        <v>1013</v>
      </c>
      <c r="C1591" t="s">
        <v>1051</v>
      </c>
      <c r="D1591" s="2">
        <v>25735</v>
      </c>
      <c r="E1591" s="2">
        <v>17741</v>
      </c>
      <c r="F1591" s="3">
        <v>2.4</v>
      </c>
      <c r="G1591" s="3">
        <v>9142</v>
      </c>
      <c r="H1591" s="3">
        <v>70.8</v>
      </c>
      <c r="I1591" s="3">
        <v>21</v>
      </c>
      <c r="J1591" s="3">
        <v>7.9</v>
      </c>
      <c r="K1591" s="3">
        <v>0.3</v>
      </c>
      <c r="L1591" s="3">
        <v>8.1</v>
      </c>
      <c r="M1591" t="str">
        <f>IF(acs2015_county_data[[#This Row],[PublicWork]]&gt;='Описательные характеристики'!$F$5,"да","нет")</f>
        <v>да</v>
      </c>
      <c r="N1591" t="str">
        <f>IF(acs2015_county_data[[#This Row],[Unemployment]]&gt;='Описательные характеристики'!$I$5,"да","нет")</f>
        <v>да</v>
      </c>
    </row>
    <row r="1592" spans="1:14" x14ac:dyDescent="0.35">
      <c r="A1592">
        <v>29217</v>
      </c>
      <c r="B1592" t="s">
        <v>1013</v>
      </c>
      <c r="C1592" t="s">
        <v>809</v>
      </c>
      <c r="D1592" s="2">
        <v>20878</v>
      </c>
      <c r="E1592" s="2">
        <v>20479</v>
      </c>
      <c r="F1592" s="3">
        <v>4.9000000000000004</v>
      </c>
      <c r="G1592" s="3">
        <v>9449</v>
      </c>
      <c r="H1592" s="3">
        <v>77</v>
      </c>
      <c r="I1592" s="3">
        <v>13.8</v>
      </c>
      <c r="J1592" s="3">
        <v>8.4</v>
      </c>
      <c r="K1592" s="3">
        <v>0.7</v>
      </c>
      <c r="L1592" s="3">
        <v>5.4</v>
      </c>
      <c r="M1592" t="str">
        <f>IF(acs2015_county_data[[#This Row],[PublicWork]]&gt;='Описательные характеристики'!$F$5,"да","нет")</f>
        <v>нет</v>
      </c>
      <c r="N1592" t="str">
        <f>IF(acs2015_county_data[[#This Row],[Unemployment]]&gt;='Описательные характеристики'!$I$5,"да","нет")</f>
        <v>нет</v>
      </c>
    </row>
    <row r="1593" spans="1:14" x14ac:dyDescent="0.35">
      <c r="A1593">
        <v>29219</v>
      </c>
      <c r="B1593" t="s">
        <v>1013</v>
      </c>
      <c r="C1593" t="s">
        <v>456</v>
      </c>
      <c r="D1593" s="2">
        <v>33043</v>
      </c>
      <c r="E1593" s="2">
        <v>24033</v>
      </c>
      <c r="F1593" s="3">
        <v>3.8</v>
      </c>
      <c r="G1593" s="3">
        <v>14863</v>
      </c>
      <c r="H1593" s="3">
        <v>85</v>
      </c>
      <c r="I1593" s="3">
        <v>9.1999999999999993</v>
      </c>
      <c r="J1593" s="3">
        <v>5.5</v>
      </c>
      <c r="K1593" s="3">
        <v>0.3</v>
      </c>
      <c r="L1593" s="3">
        <v>8.9</v>
      </c>
      <c r="M1593" t="str">
        <f>IF(acs2015_county_data[[#This Row],[PublicWork]]&gt;='Описательные характеристики'!$F$5,"да","нет")</f>
        <v>нет</v>
      </c>
      <c r="N1593" t="str">
        <f>IF(acs2015_county_data[[#This Row],[Unemployment]]&gt;='Описательные характеристики'!$I$5,"да","нет")</f>
        <v>да</v>
      </c>
    </row>
    <row r="1594" spans="1:14" x14ac:dyDescent="0.35">
      <c r="A1594">
        <v>29221</v>
      </c>
      <c r="B1594" t="s">
        <v>1013</v>
      </c>
      <c r="C1594" t="s">
        <v>75</v>
      </c>
      <c r="D1594" s="2">
        <v>25048</v>
      </c>
      <c r="E1594" s="2">
        <v>17762</v>
      </c>
      <c r="F1594" s="3">
        <v>2.4</v>
      </c>
      <c r="G1594" s="3">
        <v>9124</v>
      </c>
      <c r="H1594" s="3">
        <v>78.2</v>
      </c>
      <c r="I1594" s="3">
        <v>15.4</v>
      </c>
      <c r="J1594" s="3">
        <v>6.4</v>
      </c>
      <c r="K1594" s="3">
        <v>0</v>
      </c>
      <c r="L1594" s="3">
        <v>12.2</v>
      </c>
      <c r="M1594" t="str">
        <f>IF(acs2015_county_data[[#This Row],[PublicWork]]&gt;='Описательные характеристики'!$F$5,"да","нет")</f>
        <v>нет</v>
      </c>
      <c r="N1594" t="str">
        <f>IF(acs2015_county_data[[#This Row],[Unemployment]]&gt;='Описательные характеристики'!$I$5,"да","нет")</f>
        <v>да</v>
      </c>
    </row>
    <row r="1595" spans="1:14" x14ac:dyDescent="0.35">
      <c r="A1595">
        <v>29223</v>
      </c>
      <c r="B1595" t="s">
        <v>1013</v>
      </c>
      <c r="C1595" t="s">
        <v>457</v>
      </c>
      <c r="D1595" s="2">
        <v>13397</v>
      </c>
      <c r="E1595" s="2">
        <v>18748</v>
      </c>
      <c r="F1595" s="3">
        <v>3.2</v>
      </c>
      <c r="G1595" s="3">
        <v>4712</v>
      </c>
      <c r="H1595" s="3">
        <v>73.2</v>
      </c>
      <c r="I1595" s="3">
        <v>16.100000000000001</v>
      </c>
      <c r="J1595" s="3">
        <v>10.7</v>
      </c>
      <c r="K1595" s="3">
        <v>0</v>
      </c>
      <c r="L1595" s="3">
        <v>9.5</v>
      </c>
      <c r="M1595" t="str">
        <f>IF(acs2015_county_data[[#This Row],[PublicWork]]&gt;='Описательные характеристики'!$F$5,"да","нет")</f>
        <v>нет</v>
      </c>
      <c r="N1595" t="str">
        <f>IF(acs2015_county_data[[#This Row],[Unemployment]]&gt;='Описательные характеристики'!$I$5,"да","нет")</f>
        <v>да</v>
      </c>
    </row>
    <row r="1596" spans="1:14" x14ac:dyDescent="0.35">
      <c r="A1596">
        <v>29225</v>
      </c>
      <c r="B1596" t="s">
        <v>1013</v>
      </c>
      <c r="C1596" t="s">
        <v>458</v>
      </c>
      <c r="D1596" s="2">
        <v>36690</v>
      </c>
      <c r="E1596" s="2">
        <v>19956</v>
      </c>
      <c r="F1596" s="3">
        <v>2.2000000000000002</v>
      </c>
      <c r="G1596" s="3">
        <v>14583</v>
      </c>
      <c r="H1596" s="3">
        <v>79.599999999999994</v>
      </c>
      <c r="I1596" s="3">
        <v>11.9</v>
      </c>
      <c r="J1596" s="3">
        <v>8.4</v>
      </c>
      <c r="K1596" s="3">
        <v>0.1</v>
      </c>
      <c r="L1596" s="3">
        <v>6.3</v>
      </c>
      <c r="M1596" t="str">
        <f>IF(acs2015_county_data[[#This Row],[PublicWork]]&gt;='Описательные характеристики'!$F$5,"да","нет")</f>
        <v>нет</v>
      </c>
      <c r="N1596" t="str">
        <f>IF(acs2015_county_data[[#This Row],[Unemployment]]&gt;='Описательные характеристики'!$I$5,"да","нет")</f>
        <v>нет</v>
      </c>
    </row>
    <row r="1597" spans="1:14" x14ac:dyDescent="0.35">
      <c r="A1597">
        <v>29227</v>
      </c>
      <c r="B1597" t="s">
        <v>1013</v>
      </c>
      <c r="C1597" t="s">
        <v>463</v>
      </c>
      <c r="D1597" s="2">
        <v>2082</v>
      </c>
      <c r="E1597" s="2">
        <v>23815</v>
      </c>
      <c r="F1597" s="3">
        <v>6.1</v>
      </c>
      <c r="G1597" s="3">
        <v>973</v>
      </c>
      <c r="H1597" s="3">
        <v>64.5</v>
      </c>
      <c r="I1597" s="3">
        <v>15.3</v>
      </c>
      <c r="J1597" s="3">
        <v>19.8</v>
      </c>
      <c r="K1597" s="3">
        <v>0.3</v>
      </c>
      <c r="L1597" s="3">
        <v>4.3</v>
      </c>
      <c r="M1597" t="str">
        <f>IF(acs2015_county_data[[#This Row],[PublicWork]]&gt;='Описательные характеристики'!$F$5,"да","нет")</f>
        <v>нет</v>
      </c>
      <c r="N1597" t="str">
        <f>IF(acs2015_county_data[[#This Row],[Unemployment]]&gt;='Описательные характеристики'!$I$5,"да","нет")</f>
        <v>нет</v>
      </c>
    </row>
    <row r="1598" spans="1:14" x14ac:dyDescent="0.35">
      <c r="A1598">
        <v>29229</v>
      </c>
      <c r="B1598" t="s">
        <v>1013</v>
      </c>
      <c r="C1598" t="s">
        <v>642</v>
      </c>
      <c r="D1598" s="2">
        <v>18449</v>
      </c>
      <c r="E1598" s="2">
        <v>18481</v>
      </c>
      <c r="F1598" s="3">
        <v>5</v>
      </c>
      <c r="G1598" s="3">
        <v>6583</v>
      </c>
      <c r="H1598" s="3">
        <v>72.900000000000006</v>
      </c>
      <c r="I1598" s="3">
        <v>14.3</v>
      </c>
      <c r="J1598" s="3">
        <v>12.2</v>
      </c>
      <c r="K1598" s="3">
        <v>0.6</v>
      </c>
      <c r="L1598" s="3">
        <v>9.4</v>
      </c>
      <c r="M1598" t="str">
        <f>IF(acs2015_county_data[[#This Row],[PublicWork]]&gt;='Описательные характеристики'!$F$5,"да","нет")</f>
        <v>нет</v>
      </c>
      <c r="N1598" t="str">
        <f>IF(acs2015_county_data[[#This Row],[Unemployment]]&gt;='Описательные характеристики'!$I$5,"да","нет")</f>
        <v>да</v>
      </c>
    </row>
    <row r="1599" spans="1:14" x14ac:dyDescent="0.35">
      <c r="A1599">
        <v>29510</v>
      </c>
      <c r="B1599" t="s">
        <v>1013</v>
      </c>
      <c r="C1599" t="s">
        <v>1052</v>
      </c>
      <c r="D1599" s="2">
        <v>317850</v>
      </c>
      <c r="E1599" s="2">
        <v>23945</v>
      </c>
      <c r="F1599" s="3">
        <v>3.4</v>
      </c>
      <c r="G1599" s="3">
        <v>147194</v>
      </c>
      <c r="H1599" s="3">
        <v>83.6</v>
      </c>
      <c r="I1599" s="3">
        <v>12.3</v>
      </c>
      <c r="J1599" s="3">
        <v>3.9</v>
      </c>
      <c r="K1599" s="3">
        <v>0.1</v>
      </c>
      <c r="L1599" s="3">
        <v>12.4</v>
      </c>
      <c r="M1599" t="str">
        <f>IF(acs2015_county_data[[#This Row],[PublicWork]]&gt;='Описательные характеристики'!$F$5,"да","нет")</f>
        <v>нет</v>
      </c>
      <c r="N1599" t="str">
        <f>IF(acs2015_county_data[[#This Row],[Unemployment]]&gt;='Описательные характеристики'!$I$5,"да","нет")</f>
        <v>да</v>
      </c>
    </row>
    <row r="1600" spans="1:14" x14ac:dyDescent="0.35">
      <c r="A1600">
        <v>30001</v>
      </c>
      <c r="B1600" t="s">
        <v>1053</v>
      </c>
      <c r="C1600" t="s">
        <v>1054</v>
      </c>
      <c r="D1600" s="2">
        <v>9291</v>
      </c>
      <c r="E1600" s="2">
        <v>26763</v>
      </c>
      <c r="F1600" s="3">
        <v>9.5</v>
      </c>
      <c r="G1600" s="3">
        <v>4615</v>
      </c>
      <c r="H1600" s="3">
        <v>66.900000000000006</v>
      </c>
      <c r="I1600" s="3">
        <v>20.9</v>
      </c>
      <c r="J1600" s="3">
        <v>11.7</v>
      </c>
      <c r="K1600" s="3">
        <v>0.5</v>
      </c>
      <c r="L1600" s="3">
        <v>6.5</v>
      </c>
      <c r="M1600" t="str">
        <f>IF(acs2015_county_data[[#This Row],[PublicWork]]&gt;='Описательные характеристики'!$F$5,"да","нет")</f>
        <v>да</v>
      </c>
      <c r="N1600" t="str">
        <f>IF(acs2015_county_data[[#This Row],[Unemployment]]&gt;='Описательные характеристики'!$I$5,"да","нет")</f>
        <v>нет</v>
      </c>
    </row>
    <row r="1601" spans="1:14" x14ac:dyDescent="0.35">
      <c r="A1601">
        <v>30003</v>
      </c>
      <c r="B1601" t="s">
        <v>1053</v>
      </c>
      <c r="C1601" t="s">
        <v>1055</v>
      </c>
      <c r="D1601" s="2">
        <v>13141</v>
      </c>
      <c r="E1601" s="2">
        <v>16244</v>
      </c>
      <c r="F1601" s="3">
        <v>13.4</v>
      </c>
      <c r="G1601" s="3">
        <v>4663</v>
      </c>
      <c r="H1601" s="3">
        <v>47.7</v>
      </c>
      <c r="I1601" s="3">
        <v>43.2</v>
      </c>
      <c r="J1601" s="3">
        <v>8.6999999999999993</v>
      </c>
      <c r="K1601" s="3">
        <v>0.5</v>
      </c>
      <c r="L1601" s="3">
        <v>19.899999999999999</v>
      </c>
      <c r="M1601" t="str">
        <f>IF(acs2015_county_data[[#This Row],[PublicWork]]&gt;='Описательные характеристики'!$F$5,"да","нет")</f>
        <v>да</v>
      </c>
      <c r="N1601" t="str">
        <f>IF(acs2015_county_data[[#This Row],[Unemployment]]&gt;='Описательные характеристики'!$I$5,"да","нет")</f>
        <v>да</v>
      </c>
    </row>
    <row r="1602" spans="1:14" x14ac:dyDescent="0.35">
      <c r="A1602">
        <v>30005</v>
      </c>
      <c r="B1602" t="s">
        <v>1053</v>
      </c>
      <c r="C1602" t="s">
        <v>475</v>
      </c>
      <c r="D1602" s="2">
        <v>6598</v>
      </c>
      <c r="E1602" s="2">
        <v>17442</v>
      </c>
      <c r="F1602" s="3">
        <v>10.1</v>
      </c>
      <c r="G1602" s="3">
        <v>2574</v>
      </c>
      <c r="H1602" s="3">
        <v>45.7</v>
      </c>
      <c r="I1602" s="3">
        <v>38.1</v>
      </c>
      <c r="J1602" s="3">
        <v>10.199999999999999</v>
      </c>
      <c r="K1602" s="3">
        <v>6</v>
      </c>
      <c r="L1602" s="3">
        <v>13.4</v>
      </c>
      <c r="M1602" t="str">
        <f>IF(acs2015_county_data[[#This Row],[PublicWork]]&gt;='Описательные характеристики'!$F$5,"да","нет")</f>
        <v>да</v>
      </c>
      <c r="N1602" t="str">
        <f>IF(acs2015_county_data[[#This Row],[Unemployment]]&gt;='Описательные характеристики'!$I$5,"да","нет")</f>
        <v>да</v>
      </c>
    </row>
    <row r="1603" spans="1:14" x14ac:dyDescent="0.35">
      <c r="A1603">
        <v>30007</v>
      </c>
      <c r="B1603" t="s">
        <v>1053</v>
      </c>
      <c r="C1603" t="s">
        <v>1056</v>
      </c>
      <c r="D1603" s="2">
        <v>5692</v>
      </c>
      <c r="E1603" s="2">
        <v>29188</v>
      </c>
      <c r="F1603" s="3">
        <v>7.8</v>
      </c>
      <c r="G1603" s="3">
        <v>2759</v>
      </c>
      <c r="H1603" s="3">
        <v>65.3</v>
      </c>
      <c r="I1603" s="3">
        <v>21.4</v>
      </c>
      <c r="J1603" s="3">
        <v>12.7</v>
      </c>
      <c r="K1603" s="3">
        <v>0.6</v>
      </c>
      <c r="L1603" s="3">
        <v>4.5</v>
      </c>
      <c r="M1603" t="str">
        <f>IF(acs2015_county_data[[#This Row],[PublicWork]]&gt;='Описательные характеристики'!$F$5,"да","нет")</f>
        <v>да</v>
      </c>
      <c r="N1603" t="str">
        <f>IF(acs2015_county_data[[#This Row],[Unemployment]]&gt;='Описательные характеристики'!$I$5,"да","нет")</f>
        <v>нет</v>
      </c>
    </row>
    <row r="1604" spans="1:14" x14ac:dyDescent="0.35">
      <c r="A1604">
        <v>30009</v>
      </c>
      <c r="B1604" t="s">
        <v>1053</v>
      </c>
      <c r="C1604" t="s">
        <v>1057</v>
      </c>
      <c r="D1604" s="2">
        <v>10268</v>
      </c>
      <c r="E1604" s="2">
        <v>28153</v>
      </c>
      <c r="F1604" s="3">
        <v>8.9</v>
      </c>
      <c r="G1604" s="3">
        <v>5126</v>
      </c>
      <c r="H1604" s="3">
        <v>73.599999999999994</v>
      </c>
      <c r="I1604" s="3">
        <v>12.7</v>
      </c>
      <c r="J1604" s="3">
        <v>12.9</v>
      </c>
      <c r="K1604" s="3">
        <v>0.8</v>
      </c>
      <c r="L1604" s="3">
        <v>3.9</v>
      </c>
      <c r="M1604" t="str">
        <f>IF(acs2015_county_data[[#This Row],[PublicWork]]&gt;='Описательные характеристики'!$F$5,"да","нет")</f>
        <v>нет</v>
      </c>
      <c r="N1604" t="str">
        <f>IF(acs2015_county_data[[#This Row],[Unemployment]]&gt;='Описательные характеристики'!$I$5,"да","нет")</f>
        <v>нет</v>
      </c>
    </row>
    <row r="1605" spans="1:14" x14ac:dyDescent="0.35">
      <c r="A1605">
        <v>30011</v>
      </c>
      <c r="B1605" t="s">
        <v>1053</v>
      </c>
      <c r="C1605" t="s">
        <v>725</v>
      </c>
      <c r="D1605" s="2">
        <v>1227</v>
      </c>
      <c r="E1605" s="2">
        <v>29391</v>
      </c>
      <c r="F1605" s="3">
        <v>25.1</v>
      </c>
      <c r="G1605" s="3">
        <v>606</v>
      </c>
      <c r="H1605" s="3">
        <v>50</v>
      </c>
      <c r="I1605" s="3">
        <v>16</v>
      </c>
      <c r="J1605" s="3">
        <v>30.9</v>
      </c>
      <c r="K1605" s="3">
        <v>3.1</v>
      </c>
      <c r="L1605" s="3">
        <v>2.2999999999999998</v>
      </c>
      <c r="M1605" t="str">
        <f>IF(acs2015_county_data[[#This Row],[PublicWork]]&gt;='Описательные характеристики'!$F$5,"да","нет")</f>
        <v>нет</v>
      </c>
      <c r="N1605" t="str">
        <f>IF(acs2015_county_data[[#This Row],[Unemployment]]&gt;='Описательные характеристики'!$I$5,"да","нет")</f>
        <v>нет</v>
      </c>
    </row>
    <row r="1606" spans="1:14" x14ac:dyDescent="0.35">
      <c r="A1606">
        <v>30013</v>
      </c>
      <c r="B1606" t="s">
        <v>1053</v>
      </c>
      <c r="C1606" t="s">
        <v>1058</v>
      </c>
      <c r="D1606" s="2">
        <v>82090</v>
      </c>
      <c r="E1606" s="2">
        <v>25870</v>
      </c>
      <c r="F1606" s="3">
        <v>3</v>
      </c>
      <c r="G1606" s="3">
        <v>37069</v>
      </c>
      <c r="H1606" s="3">
        <v>75.5</v>
      </c>
      <c r="I1606" s="3">
        <v>16.5</v>
      </c>
      <c r="J1606" s="3">
        <v>7.7</v>
      </c>
      <c r="K1606" s="3">
        <v>0.3</v>
      </c>
      <c r="L1606" s="3">
        <v>5.0999999999999996</v>
      </c>
      <c r="M1606" t="str">
        <f>IF(acs2015_county_data[[#This Row],[PublicWork]]&gt;='Описательные характеристики'!$F$5,"да","нет")</f>
        <v>да</v>
      </c>
      <c r="N1606" t="str">
        <f>IF(acs2015_county_data[[#This Row],[Unemployment]]&gt;='Описательные характеристики'!$I$5,"да","нет")</f>
        <v>нет</v>
      </c>
    </row>
    <row r="1607" spans="1:14" x14ac:dyDescent="0.35">
      <c r="A1607">
        <v>30015</v>
      </c>
      <c r="B1607" t="s">
        <v>1053</v>
      </c>
      <c r="C1607" t="s">
        <v>1059</v>
      </c>
      <c r="D1607" s="2">
        <v>5855</v>
      </c>
      <c r="E1607" s="2">
        <v>22032</v>
      </c>
      <c r="F1607" s="3">
        <v>15.8</v>
      </c>
      <c r="G1607" s="3">
        <v>2510</v>
      </c>
      <c r="H1607" s="3">
        <v>59.2</v>
      </c>
      <c r="I1607" s="3">
        <v>24.5</v>
      </c>
      <c r="J1607" s="3">
        <v>15.1</v>
      </c>
      <c r="K1607" s="3">
        <v>1.2</v>
      </c>
      <c r="L1607" s="3">
        <v>4.3</v>
      </c>
      <c r="M1607" t="str">
        <f>IF(acs2015_county_data[[#This Row],[PublicWork]]&gt;='Описательные характеристики'!$F$5,"да","нет")</f>
        <v>да</v>
      </c>
      <c r="N1607" t="str">
        <f>IF(acs2015_county_data[[#This Row],[Unemployment]]&gt;='Описательные характеристики'!$I$5,"да","нет")</f>
        <v>нет</v>
      </c>
    </row>
    <row r="1608" spans="1:14" x14ac:dyDescent="0.35">
      <c r="A1608">
        <v>30017</v>
      </c>
      <c r="B1608" t="s">
        <v>1053</v>
      </c>
      <c r="C1608" t="s">
        <v>485</v>
      </c>
      <c r="D1608" s="2">
        <v>11945</v>
      </c>
      <c r="E1608" s="2">
        <v>25506</v>
      </c>
      <c r="F1608" s="3">
        <v>5.2</v>
      </c>
      <c r="G1608" s="3">
        <v>6196</v>
      </c>
      <c r="H1608" s="3">
        <v>72.400000000000006</v>
      </c>
      <c r="I1608" s="3">
        <v>17.399999999999999</v>
      </c>
      <c r="J1608" s="3">
        <v>10.1</v>
      </c>
      <c r="K1608" s="3">
        <v>0.2</v>
      </c>
      <c r="L1608" s="3">
        <v>3.8</v>
      </c>
      <c r="M1608" t="str">
        <f>IF(acs2015_county_data[[#This Row],[PublicWork]]&gt;='Описательные характеристики'!$F$5,"да","нет")</f>
        <v>да</v>
      </c>
      <c r="N1608" t="str">
        <f>IF(acs2015_county_data[[#This Row],[Unemployment]]&gt;='Описательные характеристики'!$I$5,"да","нет")</f>
        <v>нет</v>
      </c>
    </row>
    <row r="1609" spans="1:14" x14ac:dyDescent="0.35">
      <c r="A1609">
        <v>30019</v>
      </c>
      <c r="B1609" t="s">
        <v>1053</v>
      </c>
      <c r="C1609" t="s">
        <v>1060</v>
      </c>
      <c r="D1609" s="2">
        <v>1758</v>
      </c>
      <c r="E1609" s="2">
        <v>33140</v>
      </c>
      <c r="F1609" s="3">
        <v>6.7</v>
      </c>
      <c r="G1609" s="3">
        <v>916</v>
      </c>
      <c r="H1609" s="3">
        <v>57</v>
      </c>
      <c r="I1609" s="3">
        <v>20.7</v>
      </c>
      <c r="J1609" s="3">
        <v>22.3</v>
      </c>
      <c r="K1609" s="3">
        <v>0</v>
      </c>
      <c r="L1609" s="3">
        <v>2.6</v>
      </c>
      <c r="M1609" t="str">
        <f>IF(acs2015_county_data[[#This Row],[PublicWork]]&gt;='Описательные характеристики'!$F$5,"да","нет")</f>
        <v>да</v>
      </c>
      <c r="N1609" t="str">
        <f>IF(acs2015_county_data[[#This Row],[Unemployment]]&gt;='Описательные характеристики'!$I$5,"да","нет")</f>
        <v>нет</v>
      </c>
    </row>
    <row r="1610" spans="1:14" x14ac:dyDescent="0.35">
      <c r="A1610">
        <v>30021</v>
      </c>
      <c r="B1610" t="s">
        <v>1053</v>
      </c>
      <c r="C1610" t="s">
        <v>385</v>
      </c>
      <c r="D1610" s="2">
        <v>9365</v>
      </c>
      <c r="E1610" s="2">
        <v>27878</v>
      </c>
      <c r="F1610" s="3">
        <v>6.7</v>
      </c>
      <c r="G1610" s="3">
        <v>4694</v>
      </c>
      <c r="H1610" s="3">
        <v>73.8</v>
      </c>
      <c r="I1610" s="3">
        <v>15.2</v>
      </c>
      <c r="J1610" s="3">
        <v>10.5</v>
      </c>
      <c r="K1610" s="3">
        <v>0.5</v>
      </c>
      <c r="L1610" s="3">
        <v>2</v>
      </c>
      <c r="M1610" t="str">
        <f>IF(acs2015_county_data[[#This Row],[PublicWork]]&gt;='Описательные характеристики'!$F$5,"да","нет")</f>
        <v>нет</v>
      </c>
      <c r="N1610" t="str">
        <f>IF(acs2015_county_data[[#This Row],[Unemployment]]&gt;='Описательные характеристики'!$I$5,"да","нет")</f>
        <v>нет</v>
      </c>
    </row>
    <row r="1611" spans="1:14" x14ac:dyDescent="0.35">
      <c r="A1611">
        <v>30023</v>
      </c>
      <c r="B1611" t="s">
        <v>1053</v>
      </c>
      <c r="C1611" t="s">
        <v>1061</v>
      </c>
      <c r="D1611" s="2">
        <v>9211</v>
      </c>
      <c r="E1611" s="2">
        <v>23156</v>
      </c>
      <c r="F1611" s="3">
        <v>11.6</v>
      </c>
      <c r="G1611" s="3">
        <v>3834</v>
      </c>
      <c r="H1611" s="3">
        <v>53</v>
      </c>
      <c r="I1611" s="3">
        <v>39.200000000000003</v>
      </c>
      <c r="J1611" s="3">
        <v>7.7</v>
      </c>
      <c r="K1611" s="3">
        <v>0.1</v>
      </c>
      <c r="L1611" s="3">
        <v>3.9</v>
      </c>
      <c r="M1611" t="str">
        <f>IF(acs2015_county_data[[#This Row],[PublicWork]]&gt;='Описательные характеристики'!$F$5,"да","нет")</f>
        <v>да</v>
      </c>
      <c r="N1611" t="str">
        <f>IF(acs2015_county_data[[#This Row],[Unemployment]]&gt;='Описательные характеристики'!$I$5,"да","нет")</f>
        <v>нет</v>
      </c>
    </row>
    <row r="1612" spans="1:14" x14ac:dyDescent="0.35">
      <c r="A1612">
        <v>30025</v>
      </c>
      <c r="B1612" t="s">
        <v>1053</v>
      </c>
      <c r="C1612" t="s">
        <v>1062</v>
      </c>
      <c r="D1612" s="2">
        <v>3057</v>
      </c>
      <c r="E1612" s="2">
        <v>32755</v>
      </c>
      <c r="F1612" s="3">
        <v>8.9</v>
      </c>
      <c r="G1612" s="3">
        <v>1632</v>
      </c>
      <c r="H1612" s="3">
        <v>64.7</v>
      </c>
      <c r="I1612" s="3">
        <v>19.8</v>
      </c>
      <c r="J1612" s="3">
        <v>14</v>
      </c>
      <c r="K1612" s="3">
        <v>1.5</v>
      </c>
      <c r="L1612" s="3">
        <v>3.3</v>
      </c>
      <c r="M1612" t="str">
        <f>IF(acs2015_county_data[[#This Row],[PublicWork]]&gt;='Описательные характеристики'!$F$5,"да","нет")</f>
        <v>да</v>
      </c>
      <c r="N1612" t="str">
        <f>IF(acs2015_county_data[[#This Row],[Unemployment]]&gt;='Описательные характеристики'!$I$5,"да","нет")</f>
        <v>нет</v>
      </c>
    </row>
    <row r="1613" spans="1:14" x14ac:dyDescent="0.35">
      <c r="A1613">
        <v>30027</v>
      </c>
      <c r="B1613" t="s">
        <v>1053</v>
      </c>
      <c r="C1613" t="s">
        <v>1063</v>
      </c>
      <c r="D1613" s="2">
        <v>11468</v>
      </c>
      <c r="E1613" s="2">
        <v>26111</v>
      </c>
      <c r="F1613" s="3">
        <v>7.6</v>
      </c>
      <c r="G1613" s="3">
        <v>5579</v>
      </c>
      <c r="H1613" s="3">
        <v>67.7</v>
      </c>
      <c r="I1613" s="3">
        <v>20.2</v>
      </c>
      <c r="J1613" s="3">
        <v>11.9</v>
      </c>
      <c r="K1613" s="3">
        <v>0.2</v>
      </c>
      <c r="L1613" s="3">
        <v>3.1</v>
      </c>
      <c r="M1613" t="str">
        <f>IF(acs2015_county_data[[#This Row],[PublicWork]]&gt;='Описательные характеристики'!$F$5,"да","нет")</f>
        <v>да</v>
      </c>
      <c r="N1613" t="str">
        <f>IF(acs2015_county_data[[#This Row],[Unemployment]]&gt;='Описательные характеристики'!$I$5,"да","нет")</f>
        <v>нет</v>
      </c>
    </row>
    <row r="1614" spans="1:14" x14ac:dyDescent="0.35">
      <c r="A1614">
        <v>30029</v>
      </c>
      <c r="B1614" t="s">
        <v>1053</v>
      </c>
      <c r="C1614" t="s">
        <v>1064</v>
      </c>
      <c r="D1614" s="2">
        <v>93333</v>
      </c>
      <c r="E1614" s="2">
        <v>26388</v>
      </c>
      <c r="F1614" s="3">
        <v>6.1</v>
      </c>
      <c r="G1614" s="3">
        <v>43907</v>
      </c>
      <c r="H1614" s="3">
        <v>78.2</v>
      </c>
      <c r="I1614" s="3">
        <v>13.4</v>
      </c>
      <c r="J1614" s="3">
        <v>8.1</v>
      </c>
      <c r="K1614" s="3">
        <v>0.3</v>
      </c>
      <c r="L1614" s="3">
        <v>7</v>
      </c>
      <c r="M1614" t="str">
        <f>IF(acs2015_county_data[[#This Row],[PublicWork]]&gt;='Описательные характеристики'!$F$5,"да","нет")</f>
        <v>нет</v>
      </c>
      <c r="N1614" t="str">
        <f>IF(acs2015_county_data[[#This Row],[Unemployment]]&gt;='Описательные характеристики'!$I$5,"да","нет")</f>
        <v>нет</v>
      </c>
    </row>
    <row r="1615" spans="1:14" x14ac:dyDescent="0.35">
      <c r="A1615">
        <v>30031</v>
      </c>
      <c r="B1615" t="s">
        <v>1053</v>
      </c>
      <c r="C1615" t="s">
        <v>519</v>
      </c>
      <c r="D1615" s="2">
        <v>95323</v>
      </c>
      <c r="E1615" s="2">
        <v>30293</v>
      </c>
      <c r="F1615" s="3">
        <v>6.8</v>
      </c>
      <c r="G1615" s="3">
        <v>52450</v>
      </c>
      <c r="H1615" s="3">
        <v>73.2</v>
      </c>
      <c r="I1615" s="3">
        <v>17.7</v>
      </c>
      <c r="J1615" s="3">
        <v>8.6</v>
      </c>
      <c r="K1615" s="3">
        <v>0.4</v>
      </c>
      <c r="L1615" s="3">
        <v>6.3</v>
      </c>
      <c r="M1615" t="str">
        <f>IF(acs2015_county_data[[#This Row],[PublicWork]]&gt;='Описательные характеристики'!$F$5,"да","нет")</f>
        <v>да</v>
      </c>
      <c r="N1615" t="str">
        <f>IF(acs2015_county_data[[#This Row],[Unemployment]]&gt;='Описательные характеристики'!$I$5,"да","нет")</f>
        <v>нет</v>
      </c>
    </row>
    <row r="1616" spans="1:14" x14ac:dyDescent="0.35">
      <c r="A1616">
        <v>30033</v>
      </c>
      <c r="B1616" t="s">
        <v>1053</v>
      </c>
      <c r="C1616" t="s">
        <v>259</v>
      </c>
      <c r="D1616" s="2">
        <v>1047</v>
      </c>
      <c r="E1616" s="2">
        <v>26142</v>
      </c>
      <c r="F1616" s="3">
        <v>14.6</v>
      </c>
      <c r="G1616" s="3">
        <v>555</v>
      </c>
      <c r="H1616" s="3">
        <v>40.200000000000003</v>
      </c>
      <c r="I1616" s="3">
        <v>20.9</v>
      </c>
      <c r="J1616" s="3">
        <v>36.6</v>
      </c>
      <c r="K1616" s="3">
        <v>2.2999999999999998</v>
      </c>
      <c r="L1616" s="3">
        <v>0.2</v>
      </c>
      <c r="M1616" t="str">
        <f>IF(acs2015_county_data[[#This Row],[PublicWork]]&gt;='Описательные характеристики'!$F$5,"да","нет")</f>
        <v>да</v>
      </c>
      <c r="N1616" t="str">
        <f>IF(acs2015_county_data[[#This Row],[Unemployment]]&gt;='Описательные характеристики'!$I$5,"да","нет")</f>
        <v>нет</v>
      </c>
    </row>
    <row r="1617" spans="1:14" x14ac:dyDescent="0.35">
      <c r="A1617">
        <v>30035</v>
      </c>
      <c r="B1617" t="s">
        <v>1053</v>
      </c>
      <c r="C1617" t="s">
        <v>1065</v>
      </c>
      <c r="D1617" s="2">
        <v>13672</v>
      </c>
      <c r="E1617" s="2">
        <v>16892</v>
      </c>
      <c r="F1617" s="3">
        <v>10.1</v>
      </c>
      <c r="G1617" s="3">
        <v>4515</v>
      </c>
      <c r="H1617" s="3">
        <v>53</v>
      </c>
      <c r="I1617" s="3">
        <v>36.9</v>
      </c>
      <c r="J1617" s="3">
        <v>8.6</v>
      </c>
      <c r="K1617" s="3">
        <v>1.5</v>
      </c>
      <c r="L1617" s="3">
        <v>14.4</v>
      </c>
      <c r="M1617" t="str">
        <f>IF(acs2015_county_data[[#This Row],[PublicWork]]&gt;='Описательные характеристики'!$F$5,"да","нет")</f>
        <v>да</v>
      </c>
      <c r="N1617" t="str">
        <f>IF(acs2015_county_data[[#This Row],[Unemployment]]&gt;='Описательные характеристики'!$I$5,"да","нет")</f>
        <v>да</v>
      </c>
    </row>
    <row r="1618" spans="1:14" x14ac:dyDescent="0.35">
      <c r="A1618">
        <v>30037</v>
      </c>
      <c r="B1618" t="s">
        <v>1053</v>
      </c>
      <c r="C1618" t="s">
        <v>1066</v>
      </c>
      <c r="D1618" s="2">
        <v>756</v>
      </c>
      <c r="E1618" s="2">
        <v>21562</v>
      </c>
      <c r="F1618" s="3">
        <v>9.5</v>
      </c>
      <c r="G1618" s="3">
        <v>357</v>
      </c>
      <c r="H1618" s="3">
        <v>63</v>
      </c>
      <c r="I1618" s="3">
        <v>23.2</v>
      </c>
      <c r="J1618" s="3">
        <v>12.6</v>
      </c>
      <c r="K1618" s="3">
        <v>1.1000000000000001</v>
      </c>
      <c r="L1618" s="3">
        <v>3.5</v>
      </c>
      <c r="M1618" t="str">
        <f>IF(acs2015_county_data[[#This Row],[PublicWork]]&gt;='Описательные характеристики'!$F$5,"да","нет")</f>
        <v>да</v>
      </c>
      <c r="N1618" t="str">
        <f>IF(acs2015_county_data[[#This Row],[Unemployment]]&gt;='Описательные характеристики'!$I$5,"да","нет")</f>
        <v>нет</v>
      </c>
    </row>
    <row r="1619" spans="1:14" x14ac:dyDescent="0.35">
      <c r="A1619">
        <v>30039</v>
      </c>
      <c r="B1619" t="s">
        <v>1053</v>
      </c>
      <c r="C1619" t="s">
        <v>1067</v>
      </c>
      <c r="D1619" s="2">
        <v>3168</v>
      </c>
      <c r="E1619" s="2">
        <v>27136</v>
      </c>
      <c r="F1619" s="3">
        <v>11.5</v>
      </c>
      <c r="G1619" s="3">
        <v>1265</v>
      </c>
      <c r="H1619" s="3">
        <v>64</v>
      </c>
      <c r="I1619" s="3">
        <v>22.7</v>
      </c>
      <c r="J1619" s="3">
        <v>12.6</v>
      </c>
      <c r="K1619" s="3">
        <v>0.7</v>
      </c>
      <c r="L1619" s="3">
        <v>7.2</v>
      </c>
      <c r="M1619" t="str">
        <f>IF(acs2015_county_data[[#This Row],[PublicWork]]&gt;='Описательные характеристики'!$F$5,"да","нет")</f>
        <v>да</v>
      </c>
      <c r="N1619" t="str">
        <f>IF(acs2015_county_data[[#This Row],[Unemployment]]&gt;='Описательные характеристики'!$I$5,"да","нет")</f>
        <v>нет</v>
      </c>
    </row>
    <row r="1620" spans="1:14" x14ac:dyDescent="0.35">
      <c r="A1620">
        <v>30041</v>
      </c>
      <c r="B1620" t="s">
        <v>1053</v>
      </c>
      <c r="C1620" t="s">
        <v>1068</v>
      </c>
      <c r="D1620" s="2">
        <v>16523</v>
      </c>
      <c r="E1620" s="2">
        <v>20869</v>
      </c>
      <c r="F1620" s="3">
        <v>4.0999999999999996</v>
      </c>
      <c r="G1620" s="3">
        <v>7364</v>
      </c>
      <c r="H1620" s="3">
        <v>68.099999999999994</v>
      </c>
      <c r="I1620" s="3">
        <v>25.7</v>
      </c>
      <c r="J1620" s="3">
        <v>4.5999999999999996</v>
      </c>
      <c r="K1620" s="3">
        <v>1.6</v>
      </c>
      <c r="L1620" s="3">
        <v>4</v>
      </c>
      <c r="M1620" t="str">
        <f>IF(acs2015_county_data[[#This Row],[PublicWork]]&gt;='Описательные характеристики'!$F$5,"да","нет")</f>
        <v>да</v>
      </c>
      <c r="N1620" t="str">
        <f>IF(acs2015_county_data[[#This Row],[Unemployment]]&gt;='Описательные характеристики'!$I$5,"да","нет")</f>
        <v>нет</v>
      </c>
    </row>
    <row r="1621" spans="1:14" x14ac:dyDescent="0.35">
      <c r="A1621">
        <v>30043</v>
      </c>
      <c r="B1621" t="s">
        <v>1053</v>
      </c>
      <c r="C1621" t="s">
        <v>50</v>
      </c>
      <c r="D1621" s="2">
        <v>11502</v>
      </c>
      <c r="E1621" s="2">
        <v>30886</v>
      </c>
      <c r="F1621" s="3">
        <v>6.3</v>
      </c>
      <c r="G1621" s="3">
        <v>5295</v>
      </c>
      <c r="H1621" s="3">
        <v>62.1</v>
      </c>
      <c r="I1621" s="3">
        <v>27.8</v>
      </c>
      <c r="J1621" s="3">
        <v>9.6</v>
      </c>
      <c r="K1621" s="3">
        <v>0.6</v>
      </c>
      <c r="L1621" s="3">
        <v>6.6</v>
      </c>
      <c r="M1621" t="str">
        <f>IF(acs2015_county_data[[#This Row],[PublicWork]]&gt;='Описательные характеристики'!$F$5,"да","нет")</f>
        <v>да</v>
      </c>
      <c r="N1621" t="str">
        <f>IF(acs2015_county_data[[#This Row],[Unemployment]]&gt;='Описательные характеристики'!$I$5,"да","нет")</f>
        <v>нет</v>
      </c>
    </row>
    <row r="1622" spans="1:14" x14ac:dyDescent="0.35">
      <c r="A1622">
        <v>30045</v>
      </c>
      <c r="B1622" t="s">
        <v>1053</v>
      </c>
      <c r="C1622" t="s">
        <v>1069</v>
      </c>
      <c r="D1622" s="2">
        <v>1997</v>
      </c>
      <c r="E1622" s="2">
        <v>26595</v>
      </c>
      <c r="F1622" s="3">
        <v>14.1</v>
      </c>
      <c r="G1622" s="3">
        <v>943</v>
      </c>
      <c r="H1622" s="3">
        <v>53.1</v>
      </c>
      <c r="I1622" s="3">
        <v>23.9</v>
      </c>
      <c r="J1622" s="3">
        <v>19.8</v>
      </c>
      <c r="K1622" s="3">
        <v>3.2</v>
      </c>
      <c r="L1622" s="3">
        <v>3.9</v>
      </c>
      <c r="M1622" t="str">
        <f>IF(acs2015_county_data[[#This Row],[PublicWork]]&gt;='Описательные характеристики'!$F$5,"да","нет")</f>
        <v>да</v>
      </c>
      <c r="N1622" t="str">
        <f>IF(acs2015_county_data[[#This Row],[Unemployment]]&gt;='Описательные характеристики'!$I$5,"да","нет")</f>
        <v>нет</v>
      </c>
    </row>
    <row r="1623" spans="1:14" x14ac:dyDescent="0.35">
      <c r="A1623">
        <v>30047</v>
      </c>
      <c r="B1623" t="s">
        <v>1053</v>
      </c>
      <c r="C1623" t="s">
        <v>196</v>
      </c>
      <c r="D1623" s="2">
        <v>29157</v>
      </c>
      <c r="E1623" s="2">
        <v>22278</v>
      </c>
      <c r="F1623" s="3">
        <v>11</v>
      </c>
      <c r="G1623" s="3">
        <v>11798</v>
      </c>
      <c r="H1623" s="3">
        <v>65.3</v>
      </c>
      <c r="I1623" s="3">
        <v>22.4</v>
      </c>
      <c r="J1623" s="3">
        <v>11.8</v>
      </c>
      <c r="K1623" s="3">
        <v>0.5</v>
      </c>
      <c r="L1623" s="3">
        <v>9.9</v>
      </c>
      <c r="M1623" t="str">
        <f>IF(acs2015_county_data[[#This Row],[PublicWork]]&gt;='Описательные характеристики'!$F$5,"да","нет")</f>
        <v>да</v>
      </c>
      <c r="N1623" t="str">
        <f>IF(acs2015_county_data[[#This Row],[Unemployment]]&gt;='Описательные характеристики'!$I$5,"да","нет")</f>
        <v>да</v>
      </c>
    </row>
    <row r="1624" spans="1:14" x14ac:dyDescent="0.35">
      <c r="A1624">
        <v>30049</v>
      </c>
      <c r="B1624" t="s">
        <v>1053</v>
      </c>
      <c r="C1624" t="s">
        <v>1070</v>
      </c>
      <c r="D1624" s="2">
        <v>65357</v>
      </c>
      <c r="E1624" s="2">
        <v>28476</v>
      </c>
      <c r="F1624" s="3">
        <v>4.5</v>
      </c>
      <c r="G1624" s="3">
        <v>33126</v>
      </c>
      <c r="H1624" s="3">
        <v>62.8</v>
      </c>
      <c r="I1624" s="3">
        <v>30.6</v>
      </c>
      <c r="J1624" s="3">
        <v>6.4</v>
      </c>
      <c r="K1624" s="3">
        <v>0.2</v>
      </c>
      <c r="L1624" s="3">
        <v>4.9000000000000004</v>
      </c>
      <c r="M1624" t="str">
        <f>IF(acs2015_county_data[[#This Row],[PublicWork]]&gt;='Описательные характеристики'!$F$5,"да","нет")</f>
        <v>да</v>
      </c>
      <c r="N1624" t="str">
        <f>IF(acs2015_county_data[[#This Row],[Unemployment]]&gt;='Описательные характеристики'!$I$5,"да","нет")</f>
        <v>нет</v>
      </c>
    </row>
    <row r="1625" spans="1:14" x14ac:dyDescent="0.35">
      <c r="A1625">
        <v>30051</v>
      </c>
      <c r="B1625" t="s">
        <v>1053</v>
      </c>
      <c r="C1625" t="s">
        <v>333</v>
      </c>
      <c r="D1625" s="2">
        <v>2369</v>
      </c>
      <c r="E1625" s="2">
        <v>23587</v>
      </c>
      <c r="F1625" s="3">
        <v>15.7</v>
      </c>
      <c r="G1625" s="3">
        <v>950</v>
      </c>
      <c r="H1625" s="3">
        <v>56.7</v>
      </c>
      <c r="I1625" s="3">
        <v>18.2</v>
      </c>
      <c r="J1625" s="3">
        <v>15.3</v>
      </c>
      <c r="K1625" s="3">
        <v>9.8000000000000007</v>
      </c>
      <c r="L1625" s="3">
        <v>4.5</v>
      </c>
      <c r="M1625" t="str">
        <f>IF(acs2015_county_data[[#This Row],[PublicWork]]&gt;='Описательные характеристики'!$F$5,"да","нет")</f>
        <v>да</v>
      </c>
      <c r="N1625" t="str">
        <f>IF(acs2015_county_data[[#This Row],[Unemployment]]&gt;='Описательные характеристики'!$I$5,"да","нет")</f>
        <v>нет</v>
      </c>
    </row>
    <row r="1626" spans="1:14" x14ac:dyDescent="0.35">
      <c r="A1626">
        <v>30053</v>
      </c>
      <c r="B1626" t="s">
        <v>1053</v>
      </c>
      <c r="C1626" t="s">
        <v>152</v>
      </c>
      <c r="D1626" s="2">
        <v>19337</v>
      </c>
      <c r="E1626" s="2">
        <v>22856</v>
      </c>
      <c r="F1626" s="3">
        <v>4.5</v>
      </c>
      <c r="G1626" s="3">
        <v>6844</v>
      </c>
      <c r="H1626" s="3">
        <v>67.599999999999994</v>
      </c>
      <c r="I1626" s="3">
        <v>20</v>
      </c>
      <c r="J1626" s="3">
        <v>12</v>
      </c>
      <c r="K1626" s="3">
        <v>0.4</v>
      </c>
      <c r="L1626" s="3">
        <v>13.1</v>
      </c>
      <c r="M1626" t="str">
        <f>IF(acs2015_county_data[[#This Row],[PublicWork]]&gt;='Описательные характеристики'!$F$5,"да","нет")</f>
        <v>да</v>
      </c>
      <c r="N1626" t="str">
        <f>IF(acs2015_county_data[[#This Row],[Unemployment]]&gt;='Описательные характеристики'!$I$5,"да","нет")</f>
        <v>да</v>
      </c>
    </row>
    <row r="1627" spans="1:14" x14ac:dyDescent="0.35">
      <c r="A1627">
        <v>30055</v>
      </c>
      <c r="B1627" t="s">
        <v>1053</v>
      </c>
      <c r="C1627" t="s">
        <v>1071</v>
      </c>
      <c r="D1627" s="2">
        <v>1728</v>
      </c>
      <c r="E1627" s="2">
        <v>28654</v>
      </c>
      <c r="F1627" s="3">
        <v>13.5</v>
      </c>
      <c r="G1627" s="3">
        <v>920</v>
      </c>
      <c r="H1627" s="3">
        <v>48.8</v>
      </c>
      <c r="I1627" s="3">
        <v>22.2</v>
      </c>
      <c r="J1627" s="3">
        <v>27.8</v>
      </c>
      <c r="K1627" s="3">
        <v>1.2</v>
      </c>
      <c r="L1627" s="3">
        <v>0.8</v>
      </c>
      <c r="M1627" t="str">
        <f>IF(acs2015_county_data[[#This Row],[PublicWork]]&gt;='Описательные характеристики'!$F$5,"да","нет")</f>
        <v>да</v>
      </c>
      <c r="N1627" t="str">
        <f>IF(acs2015_county_data[[#This Row],[Unemployment]]&gt;='Описательные характеристики'!$I$5,"да","нет")</f>
        <v>нет</v>
      </c>
    </row>
    <row r="1628" spans="1:14" x14ac:dyDescent="0.35">
      <c r="A1628">
        <v>30057</v>
      </c>
      <c r="B1628" t="s">
        <v>1053</v>
      </c>
      <c r="C1628" t="s">
        <v>57</v>
      </c>
      <c r="D1628" s="2">
        <v>7767</v>
      </c>
      <c r="E1628" s="2">
        <v>29700</v>
      </c>
      <c r="F1628" s="3">
        <v>15.3</v>
      </c>
      <c r="G1628" s="3">
        <v>3880</v>
      </c>
      <c r="H1628" s="3">
        <v>64.3</v>
      </c>
      <c r="I1628" s="3">
        <v>16.8</v>
      </c>
      <c r="J1628" s="3">
        <v>17.2</v>
      </c>
      <c r="K1628" s="3">
        <v>1.6</v>
      </c>
      <c r="L1628" s="3">
        <v>4.8</v>
      </c>
      <c r="M1628" t="str">
        <f>IF(acs2015_county_data[[#This Row],[PublicWork]]&gt;='Описательные характеристики'!$F$5,"да","нет")</f>
        <v>да</v>
      </c>
      <c r="N1628" t="str">
        <f>IF(acs2015_county_data[[#This Row],[Unemployment]]&gt;='Описательные характеристики'!$I$5,"да","нет")</f>
        <v>нет</v>
      </c>
    </row>
    <row r="1629" spans="1:14" x14ac:dyDescent="0.35">
      <c r="A1629">
        <v>30059</v>
      </c>
      <c r="B1629" t="s">
        <v>1053</v>
      </c>
      <c r="C1629" t="s">
        <v>1072</v>
      </c>
      <c r="D1629" s="2">
        <v>1898</v>
      </c>
      <c r="E1629" s="2">
        <v>20736</v>
      </c>
      <c r="F1629" s="3">
        <v>15.6</v>
      </c>
      <c r="G1629" s="3">
        <v>891</v>
      </c>
      <c r="H1629" s="3">
        <v>63.9</v>
      </c>
      <c r="I1629" s="3">
        <v>16.5</v>
      </c>
      <c r="J1629" s="3">
        <v>18</v>
      </c>
      <c r="K1629" s="3">
        <v>1.7</v>
      </c>
      <c r="L1629" s="3">
        <v>3.9</v>
      </c>
      <c r="M1629" t="str">
        <f>IF(acs2015_county_data[[#This Row],[PublicWork]]&gt;='Описательные характеристики'!$F$5,"да","нет")</f>
        <v>да</v>
      </c>
      <c r="N1629" t="str">
        <f>IF(acs2015_county_data[[#This Row],[Unemployment]]&gt;='Описательные характеристики'!$I$5,"да","нет")</f>
        <v>нет</v>
      </c>
    </row>
    <row r="1630" spans="1:14" x14ac:dyDescent="0.35">
      <c r="A1630">
        <v>30061</v>
      </c>
      <c r="B1630" t="s">
        <v>1053</v>
      </c>
      <c r="C1630" t="s">
        <v>271</v>
      </c>
      <c r="D1630" s="2">
        <v>4238</v>
      </c>
      <c r="E1630" s="2">
        <v>20691</v>
      </c>
      <c r="F1630" s="3">
        <v>3.6</v>
      </c>
      <c r="G1630" s="3">
        <v>1527</v>
      </c>
      <c r="H1630" s="3">
        <v>78.5</v>
      </c>
      <c r="I1630" s="3">
        <v>13.6</v>
      </c>
      <c r="J1630" s="3">
        <v>8</v>
      </c>
      <c r="K1630" s="3">
        <v>0</v>
      </c>
      <c r="L1630" s="3">
        <v>11.8</v>
      </c>
      <c r="M1630" t="str">
        <f>IF(acs2015_county_data[[#This Row],[PublicWork]]&gt;='Описательные характеристики'!$F$5,"да","нет")</f>
        <v>нет</v>
      </c>
      <c r="N1630" t="str">
        <f>IF(acs2015_county_data[[#This Row],[Unemployment]]&gt;='Описательные характеристики'!$I$5,"да","нет")</f>
        <v>да</v>
      </c>
    </row>
    <row r="1631" spans="1:14" x14ac:dyDescent="0.35">
      <c r="A1631">
        <v>30063</v>
      </c>
      <c r="B1631" t="s">
        <v>1053</v>
      </c>
      <c r="C1631" t="s">
        <v>1073</v>
      </c>
      <c r="D1631" s="2">
        <v>111966</v>
      </c>
      <c r="E1631" s="2">
        <v>26779</v>
      </c>
      <c r="F1631" s="3">
        <v>5.5</v>
      </c>
      <c r="G1631" s="3">
        <v>59103</v>
      </c>
      <c r="H1631" s="3">
        <v>75.599999999999994</v>
      </c>
      <c r="I1631" s="3">
        <v>17.2</v>
      </c>
      <c r="J1631" s="3">
        <v>7.2</v>
      </c>
      <c r="K1631" s="3">
        <v>0</v>
      </c>
      <c r="L1631" s="3">
        <v>8.1999999999999993</v>
      </c>
      <c r="M1631" t="str">
        <f>IF(acs2015_county_data[[#This Row],[PublicWork]]&gt;='Описательные характеристики'!$F$5,"да","нет")</f>
        <v>да</v>
      </c>
      <c r="N1631" t="str">
        <f>IF(acs2015_county_data[[#This Row],[Unemployment]]&gt;='Описательные характеристики'!$I$5,"да","нет")</f>
        <v>да</v>
      </c>
    </row>
    <row r="1632" spans="1:14" x14ac:dyDescent="0.35">
      <c r="A1632">
        <v>30065</v>
      </c>
      <c r="B1632" t="s">
        <v>1053</v>
      </c>
      <c r="C1632" t="s">
        <v>1074</v>
      </c>
      <c r="D1632" s="2">
        <v>4790</v>
      </c>
      <c r="E1632" s="2">
        <v>23545</v>
      </c>
      <c r="F1632" s="3">
        <v>14</v>
      </c>
      <c r="G1632" s="3">
        <v>1967</v>
      </c>
      <c r="H1632" s="3">
        <v>66.3</v>
      </c>
      <c r="I1632" s="3">
        <v>13</v>
      </c>
      <c r="J1632" s="3">
        <v>17.899999999999999</v>
      </c>
      <c r="K1632" s="3">
        <v>2.7</v>
      </c>
      <c r="L1632" s="3">
        <v>4.5999999999999996</v>
      </c>
      <c r="M1632" t="str">
        <f>IF(acs2015_county_data[[#This Row],[PublicWork]]&gt;='Описательные характеристики'!$F$5,"да","нет")</f>
        <v>нет</v>
      </c>
      <c r="N1632" t="str">
        <f>IF(acs2015_county_data[[#This Row],[Unemployment]]&gt;='Описательные характеристики'!$I$5,"да","нет")</f>
        <v>нет</v>
      </c>
    </row>
    <row r="1633" spans="1:14" x14ac:dyDescent="0.35">
      <c r="A1633">
        <v>30067</v>
      </c>
      <c r="B1633" t="s">
        <v>1053</v>
      </c>
      <c r="C1633" t="s">
        <v>277</v>
      </c>
      <c r="D1633" s="2">
        <v>15708</v>
      </c>
      <c r="E1633" s="2">
        <v>27045</v>
      </c>
      <c r="F1633" s="3">
        <v>10</v>
      </c>
      <c r="G1633" s="3">
        <v>7782</v>
      </c>
      <c r="H1633" s="3">
        <v>71.8</v>
      </c>
      <c r="I1633" s="3">
        <v>13.8</v>
      </c>
      <c r="J1633" s="3">
        <v>13.5</v>
      </c>
      <c r="K1633" s="3">
        <v>0.8</v>
      </c>
      <c r="L1633" s="3">
        <v>5.4</v>
      </c>
      <c r="M1633" t="str">
        <f>IF(acs2015_county_data[[#This Row],[PublicWork]]&gt;='Описательные характеристики'!$F$5,"да","нет")</f>
        <v>нет</v>
      </c>
      <c r="N1633" t="str">
        <f>IF(acs2015_county_data[[#This Row],[Unemployment]]&gt;='Описательные характеристики'!$I$5,"да","нет")</f>
        <v>нет</v>
      </c>
    </row>
    <row r="1634" spans="1:14" x14ac:dyDescent="0.35">
      <c r="A1634">
        <v>30069</v>
      </c>
      <c r="B1634" t="s">
        <v>1053</v>
      </c>
      <c r="C1634" t="s">
        <v>1075</v>
      </c>
      <c r="D1634" s="2">
        <v>443</v>
      </c>
      <c r="E1634" s="2">
        <v>25378</v>
      </c>
      <c r="F1634" s="3">
        <v>29</v>
      </c>
      <c r="G1634" s="3">
        <v>254</v>
      </c>
      <c r="H1634" s="3">
        <v>57.9</v>
      </c>
      <c r="I1634" s="3">
        <v>22</v>
      </c>
      <c r="J1634" s="3">
        <v>18.899999999999999</v>
      </c>
      <c r="K1634" s="3">
        <v>1.2</v>
      </c>
      <c r="L1634" s="3">
        <v>6.6</v>
      </c>
      <c r="M1634" t="str">
        <f>IF(acs2015_county_data[[#This Row],[PublicWork]]&gt;='Описательные характеристики'!$F$5,"да","нет")</f>
        <v>да</v>
      </c>
      <c r="N1634" t="str">
        <f>IF(acs2015_county_data[[#This Row],[Unemployment]]&gt;='Описательные характеристики'!$I$5,"да","нет")</f>
        <v>нет</v>
      </c>
    </row>
    <row r="1635" spans="1:14" x14ac:dyDescent="0.35">
      <c r="A1635">
        <v>30071</v>
      </c>
      <c r="B1635" t="s">
        <v>1053</v>
      </c>
      <c r="C1635" t="s">
        <v>162</v>
      </c>
      <c r="D1635" s="2">
        <v>4167</v>
      </c>
      <c r="E1635" s="2">
        <v>22139</v>
      </c>
      <c r="F1635" s="3">
        <v>14.1</v>
      </c>
      <c r="G1635" s="3">
        <v>1767</v>
      </c>
      <c r="H1635" s="3">
        <v>59</v>
      </c>
      <c r="I1635" s="3">
        <v>24.2</v>
      </c>
      <c r="J1635" s="3">
        <v>15.2</v>
      </c>
      <c r="K1635" s="3">
        <v>1.6</v>
      </c>
      <c r="L1635" s="3">
        <v>6.3</v>
      </c>
      <c r="M1635" t="str">
        <f>IF(acs2015_county_data[[#This Row],[PublicWork]]&gt;='Описательные характеристики'!$F$5,"да","нет")</f>
        <v>да</v>
      </c>
      <c r="N1635" t="str">
        <f>IF(acs2015_county_data[[#This Row],[Unemployment]]&gt;='Описательные характеристики'!$I$5,"да","нет")</f>
        <v>нет</v>
      </c>
    </row>
    <row r="1636" spans="1:14" x14ac:dyDescent="0.35">
      <c r="A1636">
        <v>30073</v>
      </c>
      <c r="B1636" t="s">
        <v>1053</v>
      </c>
      <c r="C1636" t="s">
        <v>1076</v>
      </c>
      <c r="D1636" s="2">
        <v>6206</v>
      </c>
      <c r="E1636" s="2">
        <v>22797</v>
      </c>
      <c r="F1636" s="3">
        <v>8.6999999999999993</v>
      </c>
      <c r="G1636" s="3">
        <v>2738</v>
      </c>
      <c r="H1636" s="3">
        <v>66</v>
      </c>
      <c r="I1636" s="3">
        <v>19</v>
      </c>
      <c r="J1636" s="3">
        <v>14.4</v>
      </c>
      <c r="K1636" s="3">
        <v>0.6</v>
      </c>
      <c r="L1636" s="3">
        <v>6</v>
      </c>
      <c r="M1636" t="str">
        <f>IF(acs2015_county_data[[#This Row],[PublicWork]]&gt;='Описательные характеристики'!$F$5,"да","нет")</f>
        <v>да</v>
      </c>
      <c r="N1636" t="str">
        <f>IF(acs2015_county_data[[#This Row],[Unemployment]]&gt;='Описательные характеристики'!$I$5,"да","нет")</f>
        <v>нет</v>
      </c>
    </row>
    <row r="1637" spans="1:14" x14ac:dyDescent="0.35">
      <c r="A1637">
        <v>30075</v>
      </c>
      <c r="B1637" t="s">
        <v>1053</v>
      </c>
      <c r="C1637" t="s">
        <v>1077</v>
      </c>
      <c r="D1637" s="2">
        <v>1703</v>
      </c>
      <c r="E1637" s="2">
        <v>29902</v>
      </c>
      <c r="F1637" s="3">
        <v>20.6</v>
      </c>
      <c r="G1637" s="3">
        <v>965</v>
      </c>
      <c r="H1637" s="3">
        <v>51.2</v>
      </c>
      <c r="I1637" s="3">
        <v>23.5</v>
      </c>
      <c r="J1637" s="3">
        <v>23.2</v>
      </c>
      <c r="K1637" s="3">
        <v>2.1</v>
      </c>
      <c r="L1637" s="3">
        <v>4.5</v>
      </c>
      <c r="M1637" t="str">
        <f>IF(acs2015_county_data[[#This Row],[PublicWork]]&gt;='Описательные характеристики'!$F$5,"да","нет")</f>
        <v>да</v>
      </c>
      <c r="N1637" t="str">
        <f>IF(acs2015_county_data[[#This Row],[Unemployment]]&gt;='Описательные характеристики'!$I$5,"да","нет")</f>
        <v>нет</v>
      </c>
    </row>
    <row r="1638" spans="1:14" x14ac:dyDescent="0.35">
      <c r="A1638">
        <v>30077</v>
      </c>
      <c r="B1638" t="s">
        <v>1053</v>
      </c>
      <c r="C1638" t="s">
        <v>757</v>
      </c>
      <c r="D1638" s="2">
        <v>6975</v>
      </c>
      <c r="E1638" s="2">
        <v>21536</v>
      </c>
      <c r="F1638" s="3">
        <v>10.9</v>
      </c>
      <c r="G1638" s="3">
        <v>2629</v>
      </c>
      <c r="H1638" s="3">
        <v>56.3</v>
      </c>
      <c r="I1638" s="3">
        <v>31.3</v>
      </c>
      <c r="J1638" s="3">
        <v>12.4</v>
      </c>
      <c r="K1638" s="3">
        <v>0</v>
      </c>
      <c r="L1638" s="3">
        <v>2.2000000000000002</v>
      </c>
      <c r="M1638" t="str">
        <f>IF(acs2015_county_data[[#This Row],[PublicWork]]&gt;='Описательные характеристики'!$F$5,"да","нет")</f>
        <v>да</v>
      </c>
      <c r="N1638" t="str">
        <f>IF(acs2015_county_data[[#This Row],[Unemployment]]&gt;='Описательные характеристики'!$I$5,"да","нет")</f>
        <v>нет</v>
      </c>
    </row>
    <row r="1639" spans="1:14" x14ac:dyDescent="0.35">
      <c r="A1639">
        <v>30079</v>
      </c>
      <c r="B1639" t="s">
        <v>1053</v>
      </c>
      <c r="C1639" t="s">
        <v>1078</v>
      </c>
      <c r="D1639" s="2">
        <v>1372</v>
      </c>
      <c r="E1639" s="2">
        <v>23285</v>
      </c>
      <c r="F1639" s="3">
        <v>20</v>
      </c>
      <c r="G1639" s="3">
        <v>543</v>
      </c>
      <c r="H1639" s="3">
        <v>46.4</v>
      </c>
      <c r="I1639" s="3">
        <v>23.6</v>
      </c>
      <c r="J1639" s="3">
        <v>27.4</v>
      </c>
      <c r="K1639" s="3">
        <v>2.6</v>
      </c>
      <c r="L1639" s="3">
        <v>8.1</v>
      </c>
      <c r="M1639" t="str">
        <f>IF(acs2015_county_data[[#This Row],[PublicWork]]&gt;='Описательные характеристики'!$F$5,"да","нет")</f>
        <v>да</v>
      </c>
      <c r="N1639" t="str">
        <f>IF(acs2015_county_data[[#This Row],[Unemployment]]&gt;='Описательные характеристики'!$I$5,"да","нет")</f>
        <v>да</v>
      </c>
    </row>
    <row r="1640" spans="1:14" x14ac:dyDescent="0.35">
      <c r="A1640">
        <v>30081</v>
      </c>
      <c r="B1640" t="s">
        <v>1053</v>
      </c>
      <c r="C1640" t="s">
        <v>1079</v>
      </c>
      <c r="D1640" s="2">
        <v>40823</v>
      </c>
      <c r="E1640" s="2">
        <v>22482</v>
      </c>
      <c r="F1640" s="3">
        <v>7.9</v>
      </c>
      <c r="G1640" s="3">
        <v>17159</v>
      </c>
      <c r="H1640" s="3">
        <v>71.3</v>
      </c>
      <c r="I1640" s="3">
        <v>15</v>
      </c>
      <c r="J1640" s="3">
        <v>13.1</v>
      </c>
      <c r="K1640" s="3">
        <v>0.5</v>
      </c>
      <c r="L1640" s="3">
        <v>8.1999999999999993</v>
      </c>
      <c r="M1640" t="str">
        <f>IF(acs2015_county_data[[#This Row],[PublicWork]]&gt;='Описательные характеристики'!$F$5,"да","нет")</f>
        <v>нет</v>
      </c>
      <c r="N1640" t="str">
        <f>IF(acs2015_county_data[[#This Row],[Unemployment]]&gt;='Описательные характеристики'!$I$5,"да","нет")</f>
        <v>да</v>
      </c>
    </row>
    <row r="1641" spans="1:14" x14ac:dyDescent="0.35">
      <c r="A1641">
        <v>30083</v>
      </c>
      <c r="B1641" t="s">
        <v>1053</v>
      </c>
      <c r="C1641" t="s">
        <v>544</v>
      </c>
      <c r="D1641" s="2">
        <v>11132</v>
      </c>
      <c r="E1641" s="2">
        <v>32900</v>
      </c>
      <c r="F1641" s="3">
        <v>4.5999999999999996</v>
      </c>
      <c r="G1641" s="3">
        <v>5904</v>
      </c>
      <c r="H1641" s="3">
        <v>80.7</v>
      </c>
      <c r="I1641" s="3">
        <v>10.1</v>
      </c>
      <c r="J1641" s="3">
        <v>8.9</v>
      </c>
      <c r="K1641" s="3">
        <v>0.3</v>
      </c>
      <c r="L1641" s="3">
        <v>2.5</v>
      </c>
      <c r="M1641" t="str">
        <f>IF(acs2015_county_data[[#This Row],[PublicWork]]&gt;='Описательные характеристики'!$F$5,"да","нет")</f>
        <v>нет</v>
      </c>
      <c r="N1641" t="str">
        <f>IF(acs2015_county_data[[#This Row],[Unemployment]]&gt;='Описательные характеристики'!$I$5,"да","нет")</f>
        <v>нет</v>
      </c>
    </row>
    <row r="1642" spans="1:14" x14ac:dyDescent="0.35">
      <c r="A1642">
        <v>30085</v>
      </c>
      <c r="B1642" t="s">
        <v>1053</v>
      </c>
      <c r="C1642" t="s">
        <v>1080</v>
      </c>
      <c r="D1642" s="2">
        <v>11072</v>
      </c>
      <c r="E1642" s="2">
        <v>16182</v>
      </c>
      <c r="F1642" s="3">
        <v>4.7</v>
      </c>
      <c r="G1642" s="3">
        <v>3575</v>
      </c>
      <c r="H1642" s="3">
        <v>45</v>
      </c>
      <c r="I1642" s="3">
        <v>42.8</v>
      </c>
      <c r="J1642" s="3">
        <v>11.3</v>
      </c>
      <c r="K1642" s="3">
        <v>0.9</v>
      </c>
      <c r="L1642" s="3">
        <v>6.8</v>
      </c>
      <c r="M1642" t="str">
        <f>IF(acs2015_county_data[[#This Row],[PublicWork]]&gt;='Описательные характеристики'!$F$5,"да","нет")</f>
        <v>да</v>
      </c>
      <c r="N1642" t="str">
        <f>IF(acs2015_county_data[[#This Row],[Unemployment]]&gt;='Описательные характеристики'!$I$5,"да","нет")</f>
        <v>нет</v>
      </c>
    </row>
    <row r="1643" spans="1:14" x14ac:dyDescent="0.35">
      <c r="A1643">
        <v>30087</v>
      </c>
      <c r="B1643" t="s">
        <v>1053</v>
      </c>
      <c r="C1643" t="s">
        <v>1081</v>
      </c>
      <c r="D1643" s="2">
        <v>9352</v>
      </c>
      <c r="E1643" s="2">
        <v>23238</v>
      </c>
      <c r="F1643" s="3">
        <v>7.2</v>
      </c>
      <c r="G1643" s="3">
        <v>4002</v>
      </c>
      <c r="H1643" s="3">
        <v>63.5</v>
      </c>
      <c r="I1643" s="3">
        <v>28.8</v>
      </c>
      <c r="J1643" s="3">
        <v>7</v>
      </c>
      <c r="K1643" s="3">
        <v>0.8</v>
      </c>
      <c r="L1643" s="3">
        <v>10.6</v>
      </c>
      <c r="M1643" t="str">
        <f>IF(acs2015_county_data[[#This Row],[PublicWork]]&gt;='Описательные характеристики'!$F$5,"да","нет")</f>
        <v>да</v>
      </c>
      <c r="N1643" t="str">
        <f>IF(acs2015_county_data[[#This Row],[Unemployment]]&gt;='Описательные характеристики'!$I$5,"да","нет")</f>
        <v>да</v>
      </c>
    </row>
    <row r="1644" spans="1:14" x14ac:dyDescent="0.35">
      <c r="A1644">
        <v>30089</v>
      </c>
      <c r="B1644" t="s">
        <v>1053</v>
      </c>
      <c r="C1644" t="s">
        <v>1082</v>
      </c>
      <c r="D1644" s="2">
        <v>11346</v>
      </c>
      <c r="E1644" s="2">
        <v>20169</v>
      </c>
      <c r="F1644" s="3">
        <v>12.2</v>
      </c>
      <c r="G1644" s="3">
        <v>4091</v>
      </c>
      <c r="H1644" s="3">
        <v>61.7</v>
      </c>
      <c r="I1644" s="3">
        <v>16.3</v>
      </c>
      <c r="J1644" s="3">
        <v>21.4</v>
      </c>
      <c r="K1644" s="3">
        <v>0.6</v>
      </c>
      <c r="L1644" s="3">
        <v>9.3000000000000007</v>
      </c>
      <c r="M1644" t="str">
        <f>IF(acs2015_county_data[[#This Row],[PublicWork]]&gt;='Описательные характеристики'!$F$5,"да","нет")</f>
        <v>да</v>
      </c>
      <c r="N1644" t="str">
        <f>IF(acs2015_county_data[[#This Row],[Unemployment]]&gt;='Описательные характеристики'!$I$5,"да","нет")</f>
        <v>да</v>
      </c>
    </row>
    <row r="1645" spans="1:14" x14ac:dyDescent="0.35">
      <c r="A1645">
        <v>30091</v>
      </c>
      <c r="B1645" t="s">
        <v>1053</v>
      </c>
      <c r="C1645" t="s">
        <v>696</v>
      </c>
      <c r="D1645" s="2">
        <v>3630</v>
      </c>
      <c r="E1645" s="2">
        <v>30814</v>
      </c>
      <c r="F1645" s="3">
        <v>6</v>
      </c>
      <c r="G1645" s="3">
        <v>1904</v>
      </c>
      <c r="H1645" s="3">
        <v>62.4</v>
      </c>
      <c r="I1645" s="3">
        <v>17.399999999999999</v>
      </c>
      <c r="J1645" s="3">
        <v>19</v>
      </c>
      <c r="K1645" s="3">
        <v>1.2</v>
      </c>
      <c r="L1645" s="3">
        <v>2.7</v>
      </c>
      <c r="M1645" t="str">
        <f>IF(acs2015_county_data[[#This Row],[PublicWork]]&gt;='Описательные характеристики'!$F$5,"да","нет")</f>
        <v>да</v>
      </c>
      <c r="N1645" t="str">
        <f>IF(acs2015_county_data[[#This Row],[Unemployment]]&gt;='Описательные характеристики'!$I$5,"да","нет")</f>
        <v>нет</v>
      </c>
    </row>
    <row r="1646" spans="1:14" x14ac:dyDescent="0.35">
      <c r="A1646">
        <v>30093</v>
      </c>
      <c r="B1646" t="s">
        <v>1053</v>
      </c>
      <c r="C1646" t="s">
        <v>1083</v>
      </c>
      <c r="D1646" s="2">
        <v>34549</v>
      </c>
      <c r="E1646" s="2">
        <v>24383</v>
      </c>
      <c r="F1646" s="3">
        <v>3.5</v>
      </c>
      <c r="G1646" s="3">
        <v>16497</v>
      </c>
      <c r="H1646" s="3">
        <v>76</v>
      </c>
      <c r="I1646" s="3">
        <v>16.7</v>
      </c>
      <c r="J1646" s="3">
        <v>6.9</v>
      </c>
      <c r="K1646" s="3">
        <v>0.4</v>
      </c>
      <c r="L1646" s="3">
        <v>7</v>
      </c>
      <c r="M1646" t="str">
        <f>IF(acs2015_county_data[[#This Row],[PublicWork]]&gt;='Описательные характеристики'!$F$5,"да","нет")</f>
        <v>да</v>
      </c>
      <c r="N1646" t="str">
        <f>IF(acs2015_county_data[[#This Row],[Unemployment]]&gt;='Описательные характеристики'!$I$5,"да","нет")</f>
        <v>нет</v>
      </c>
    </row>
    <row r="1647" spans="1:14" x14ac:dyDescent="0.35">
      <c r="A1647">
        <v>30095</v>
      </c>
      <c r="B1647" t="s">
        <v>1053</v>
      </c>
      <c r="C1647" t="s">
        <v>1084</v>
      </c>
      <c r="D1647" s="2">
        <v>9288</v>
      </c>
      <c r="E1647" s="2">
        <v>29217</v>
      </c>
      <c r="F1647" s="3">
        <v>7.4</v>
      </c>
      <c r="G1647" s="3">
        <v>4487</v>
      </c>
      <c r="H1647" s="3">
        <v>74.900000000000006</v>
      </c>
      <c r="I1647" s="3">
        <v>12.1</v>
      </c>
      <c r="J1647" s="3">
        <v>12.2</v>
      </c>
      <c r="K1647" s="3">
        <v>0.8</v>
      </c>
      <c r="L1647" s="3">
        <v>3.6</v>
      </c>
      <c r="M1647" t="str">
        <f>IF(acs2015_county_data[[#This Row],[PublicWork]]&gt;='Описательные характеристики'!$F$5,"да","нет")</f>
        <v>нет</v>
      </c>
      <c r="N1647" t="str">
        <f>IF(acs2015_county_data[[#This Row],[Unemployment]]&gt;='Описательные характеристики'!$I$5,"да","нет")</f>
        <v>нет</v>
      </c>
    </row>
    <row r="1648" spans="1:14" x14ac:dyDescent="0.35">
      <c r="A1648">
        <v>30097</v>
      </c>
      <c r="B1648" t="s">
        <v>1053</v>
      </c>
      <c r="C1648" t="s">
        <v>1085</v>
      </c>
      <c r="D1648" s="2">
        <v>3633</v>
      </c>
      <c r="E1648" s="2">
        <v>25522</v>
      </c>
      <c r="F1648" s="3">
        <v>11.4</v>
      </c>
      <c r="G1648" s="3">
        <v>1613</v>
      </c>
      <c r="H1648" s="3">
        <v>67.599999999999994</v>
      </c>
      <c r="I1648" s="3">
        <v>16.7</v>
      </c>
      <c r="J1648" s="3">
        <v>13.6</v>
      </c>
      <c r="K1648" s="3">
        <v>2</v>
      </c>
      <c r="L1648" s="3">
        <v>0.9</v>
      </c>
      <c r="M1648" t="str">
        <f>IF(acs2015_county_data[[#This Row],[PublicWork]]&gt;='Описательные характеристики'!$F$5,"да","нет")</f>
        <v>да</v>
      </c>
      <c r="N1648" t="str">
        <f>IF(acs2015_county_data[[#This Row],[Unemployment]]&gt;='Описательные характеристики'!$I$5,"да","нет")</f>
        <v>нет</v>
      </c>
    </row>
    <row r="1649" spans="1:14" x14ac:dyDescent="0.35">
      <c r="A1649">
        <v>30099</v>
      </c>
      <c r="B1649" t="s">
        <v>1053</v>
      </c>
      <c r="C1649" t="s">
        <v>500</v>
      </c>
      <c r="D1649" s="2">
        <v>6074</v>
      </c>
      <c r="E1649" s="2">
        <v>24443</v>
      </c>
      <c r="F1649" s="3">
        <v>7.7</v>
      </c>
      <c r="G1649" s="3">
        <v>2720</v>
      </c>
      <c r="H1649" s="3">
        <v>63.2</v>
      </c>
      <c r="I1649" s="3">
        <v>19.2</v>
      </c>
      <c r="J1649" s="3">
        <v>16.5</v>
      </c>
      <c r="K1649" s="3">
        <v>1.2</v>
      </c>
      <c r="L1649" s="3">
        <v>5.0999999999999996</v>
      </c>
      <c r="M1649" t="str">
        <f>IF(acs2015_county_data[[#This Row],[PublicWork]]&gt;='Описательные характеристики'!$F$5,"да","нет")</f>
        <v>да</v>
      </c>
      <c r="N1649" t="str">
        <f>IF(acs2015_county_data[[#This Row],[Unemployment]]&gt;='Описательные характеристики'!$I$5,"да","нет")</f>
        <v>нет</v>
      </c>
    </row>
    <row r="1650" spans="1:14" x14ac:dyDescent="0.35">
      <c r="A1650">
        <v>30101</v>
      </c>
      <c r="B1650" t="s">
        <v>1053</v>
      </c>
      <c r="C1650" t="s">
        <v>1086</v>
      </c>
      <c r="D1650" s="2">
        <v>5150</v>
      </c>
      <c r="E1650" s="2">
        <v>22101</v>
      </c>
      <c r="F1650" s="3">
        <v>7.1</v>
      </c>
      <c r="G1650" s="3">
        <v>2308</v>
      </c>
      <c r="H1650" s="3">
        <v>69.2</v>
      </c>
      <c r="I1650" s="3">
        <v>17.8</v>
      </c>
      <c r="J1650" s="3">
        <v>9.8000000000000007</v>
      </c>
      <c r="K1650" s="3">
        <v>3.2</v>
      </c>
      <c r="L1650" s="3">
        <v>3.1</v>
      </c>
      <c r="M1650" t="str">
        <f>IF(acs2015_county_data[[#This Row],[PublicWork]]&gt;='Описательные характеристики'!$F$5,"да","нет")</f>
        <v>да</v>
      </c>
      <c r="N1650" t="str">
        <f>IF(acs2015_county_data[[#This Row],[Unemployment]]&gt;='Описательные характеристики'!$I$5,"да","нет")</f>
        <v>нет</v>
      </c>
    </row>
    <row r="1651" spans="1:14" x14ac:dyDescent="0.35">
      <c r="A1651">
        <v>30103</v>
      </c>
      <c r="B1651" t="s">
        <v>1053</v>
      </c>
      <c r="C1651" t="s">
        <v>1087</v>
      </c>
      <c r="D1651" s="2">
        <v>812</v>
      </c>
      <c r="E1651" s="2">
        <v>20758</v>
      </c>
      <c r="F1651" s="3">
        <v>17.2</v>
      </c>
      <c r="G1651" s="3">
        <v>379</v>
      </c>
      <c r="H1651" s="3">
        <v>71.2</v>
      </c>
      <c r="I1651" s="3">
        <v>12.4</v>
      </c>
      <c r="J1651" s="3">
        <v>11.9</v>
      </c>
      <c r="K1651" s="3">
        <v>4.5</v>
      </c>
      <c r="L1651" s="3">
        <v>0.8</v>
      </c>
      <c r="M1651" t="str">
        <f>IF(acs2015_county_data[[#This Row],[PublicWork]]&gt;='Описательные характеристики'!$F$5,"да","нет")</f>
        <v>нет</v>
      </c>
      <c r="N1651" t="str">
        <f>IF(acs2015_county_data[[#This Row],[Unemployment]]&gt;='Описательные характеристики'!$I$5,"да","нет")</f>
        <v>нет</v>
      </c>
    </row>
    <row r="1652" spans="1:14" x14ac:dyDescent="0.35">
      <c r="A1652">
        <v>30105</v>
      </c>
      <c r="B1652" t="s">
        <v>1053</v>
      </c>
      <c r="C1652" t="s">
        <v>502</v>
      </c>
      <c r="D1652" s="2">
        <v>7577</v>
      </c>
      <c r="E1652" s="2">
        <v>26337</v>
      </c>
      <c r="F1652" s="3">
        <v>7.3</v>
      </c>
      <c r="G1652" s="3">
        <v>3753</v>
      </c>
      <c r="H1652" s="3">
        <v>61.7</v>
      </c>
      <c r="I1652" s="3">
        <v>22.6</v>
      </c>
      <c r="J1652" s="3">
        <v>14.9</v>
      </c>
      <c r="K1652" s="3">
        <v>0.9</v>
      </c>
      <c r="L1652" s="3">
        <v>2.6</v>
      </c>
      <c r="M1652" t="str">
        <f>IF(acs2015_county_data[[#This Row],[PublicWork]]&gt;='Описательные характеристики'!$F$5,"да","нет")</f>
        <v>да</v>
      </c>
      <c r="N1652" t="str">
        <f>IF(acs2015_county_data[[#This Row],[Unemployment]]&gt;='Описательные характеристики'!$I$5,"да","нет")</f>
        <v>нет</v>
      </c>
    </row>
    <row r="1653" spans="1:14" x14ac:dyDescent="0.35">
      <c r="A1653">
        <v>30107</v>
      </c>
      <c r="B1653" t="s">
        <v>1053</v>
      </c>
      <c r="C1653" t="s">
        <v>1088</v>
      </c>
      <c r="D1653" s="2">
        <v>2115</v>
      </c>
      <c r="E1653" s="2">
        <v>19385</v>
      </c>
      <c r="F1653" s="3">
        <v>14.8</v>
      </c>
      <c r="G1653" s="3">
        <v>917</v>
      </c>
      <c r="H1653" s="3">
        <v>51.4</v>
      </c>
      <c r="I1653" s="3">
        <v>9.5</v>
      </c>
      <c r="J1653" s="3">
        <v>33</v>
      </c>
      <c r="K1653" s="3">
        <v>6.1</v>
      </c>
      <c r="L1653" s="3">
        <v>3.4</v>
      </c>
      <c r="M1653" t="str">
        <f>IF(acs2015_county_data[[#This Row],[PublicWork]]&gt;='Описательные характеристики'!$F$5,"да","нет")</f>
        <v>нет</v>
      </c>
      <c r="N1653" t="str">
        <f>IF(acs2015_county_data[[#This Row],[Unemployment]]&gt;='Описательные характеристики'!$I$5,"да","нет")</f>
        <v>нет</v>
      </c>
    </row>
    <row r="1654" spans="1:14" x14ac:dyDescent="0.35">
      <c r="A1654">
        <v>30109</v>
      </c>
      <c r="B1654" t="s">
        <v>1053</v>
      </c>
      <c r="C1654" t="s">
        <v>1089</v>
      </c>
      <c r="D1654" s="2">
        <v>986</v>
      </c>
      <c r="E1654" s="2">
        <v>23875</v>
      </c>
      <c r="F1654" s="3">
        <v>9.3000000000000007</v>
      </c>
      <c r="G1654" s="3">
        <v>457</v>
      </c>
      <c r="H1654" s="3">
        <v>56.2</v>
      </c>
      <c r="I1654" s="3">
        <v>28.4</v>
      </c>
      <c r="J1654" s="3">
        <v>14.7</v>
      </c>
      <c r="K1654" s="3">
        <v>0.7</v>
      </c>
      <c r="L1654" s="3">
        <v>3</v>
      </c>
      <c r="M1654" t="str">
        <f>IF(acs2015_county_data[[#This Row],[PublicWork]]&gt;='Описательные характеристики'!$F$5,"да","нет")</f>
        <v>да</v>
      </c>
      <c r="N1654" t="str">
        <f>IF(acs2015_county_data[[#This Row],[Unemployment]]&gt;='Описательные характеристики'!$I$5,"да","нет")</f>
        <v>нет</v>
      </c>
    </row>
    <row r="1655" spans="1:14" x14ac:dyDescent="0.35">
      <c r="A1655">
        <v>30111</v>
      </c>
      <c r="B1655" t="s">
        <v>1053</v>
      </c>
      <c r="C1655" t="s">
        <v>1090</v>
      </c>
      <c r="D1655" s="2">
        <v>153692</v>
      </c>
      <c r="E1655" s="2">
        <v>29576</v>
      </c>
      <c r="F1655" s="3">
        <v>3.7</v>
      </c>
      <c r="G1655" s="3">
        <v>78572</v>
      </c>
      <c r="H1655" s="3">
        <v>82.3</v>
      </c>
      <c r="I1655" s="3">
        <v>10.6</v>
      </c>
      <c r="J1655" s="3">
        <v>6.9</v>
      </c>
      <c r="K1655" s="3">
        <v>0.2</v>
      </c>
      <c r="L1655" s="3">
        <v>4.0999999999999996</v>
      </c>
      <c r="M1655" t="str">
        <f>IF(acs2015_county_data[[#This Row],[PublicWork]]&gt;='Описательные характеристики'!$F$5,"да","нет")</f>
        <v>нет</v>
      </c>
      <c r="N1655" t="str">
        <f>IF(acs2015_county_data[[#This Row],[Unemployment]]&gt;='Описательные характеристики'!$I$5,"да","нет")</f>
        <v>нет</v>
      </c>
    </row>
    <row r="1656" spans="1:14" x14ac:dyDescent="0.35">
      <c r="A1656">
        <v>31001</v>
      </c>
      <c r="B1656" t="s">
        <v>1091</v>
      </c>
      <c r="C1656" t="s">
        <v>237</v>
      </c>
      <c r="D1656" s="2">
        <v>31442</v>
      </c>
      <c r="E1656" s="2">
        <v>27690</v>
      </c>
      <c r="F1656" s="3">
        <v>4.8</v>
      </c>
      <c r="G1656" s="3">
        <v>15783</v>
      </c>
      <c r="H1656" s="3">
        <v>78.599999999999994</v>
      </c>
      <c r="I1656" s="3">
        <v>13.3</v>
      </c>
      <c r="J1656" s="3">
        <v>7.9</v>
      </c>
      <c r="K1656" s="3">
        <v>0.2</v>
      </c>
      <c r="L1656" s="3">
        <v>5.5</v>
      </c>
      <c r="M1656" t="str">
        <f>IF(acs2015_county_data[[#This Row],[PublicWork]]&gt;='Описательные характеристики'!$F$5,"да","нет")</f>
        <v>нет</v>
      </c>
      <c r="N1656" t="str">
        <f>IF(acs2015_county_data[[#This Row],[Unemployment]]&gt;='Описательные характеристики'!$I$5,"да","нет")</f>
        <v>нет</v>
      </c>
    </row>
    <row r="1657" spans="1:14" x14ac:dyDescent="0.35">
      <c r="A1657">
        <v>31003</v>
      </c>
      <c r="B1657" t="s">
        <v>1091</v>
      </c>
      <c r="C1657" t="s">
        <v>1092</v>
      </c>
      <c r="D1657" s="2">
        <v>6486</v>
      </c>
      <c r="E1657" s="2">
        <v>26763</v>
      </c>
      <c r="F1657" s="3">
        <v>10.8</v>
      </c>
      <c r="G1657" s="3">
        <v>3288</v>
      </c>
      <c r="H1657" s="3">
        <v>69.7</v>
      </c>
      <c r="I1657" s="3">
        <v>14.6</v>
      </c>
      <c r="J1657" s="3">
        <v>15.4</v>
      </c>
      <c r="K1657" s="3">
        <v>0.4</v>
      </c>
      <c r="L1657" s="3">
        <v>1.6</v>
      </c>
      <c r="M1657" t="str">
        <f>IF(acs2015_county_data[[#This Row],[PublicWork]]&gt;='Описательные характеристики'!$F$5,"да","нет")</f>
        <v>нет</v>
      </c>
      <c r="N1657" t="str">
        <f>IF(acs2015_county_data[[#This Row],[Unemployment]]&gt;='Описательные характеристики'!$I$5,"да","нет")</f>
        <v>нет</v>
      </c>
    </row>
    <row r="1658" spans="1:14" x14ac:dyDescent="0.35">
      <c r="A1658">
        <v>31005</v>
      </c>
      <c r="B1658" t="s">
        <v>1091</v>
      </c>
      <c r="C1658" t="s">
        <v>1093</v>
      </c>
      <c r="D1658" s="2">
        <v>448</v>
      </c>
      <c r="E1658" s="2">
        <v>22035</v>
      </c>
      <c r="F1658" s="3">
        <v>19.899999999999999</v>
      </c>
      <c r="G1658" s="3">
        <v>193</v>
      </c>
      <c r="H1658" s="3">
        <v>54.4</v>
      </c>
      <c r="I1658" s="3">
        <v>17.100000000000001</v>
      </c>
      <c r="J1658" s="3">
        <v>27.5</v>
      </c>
      <c r="K1658" s="3">
        <v>1</v>
      </c>
      <c r="L1658" s="3">
        <v>4</v>
      </c>
      <c r="M1658" t="str">
        <f>IF(acs2015_county_data[[#This Row],[PublicWork]]&gt;='Описательные характеристики'!$F$5,"да","нет")</f>
        <v>да</v>
      </c>
      <c r="N1658" t="str">
        <f>IF(acs2015_county_data[[#This Row],[Unemployment]]&gt;='Описательные характеристики'!$I$5,"да","нет")</f>
        <v>нет</v>
      </c>
    </row>
    <row r="1659" spans="1:14" x14ac:dyDescent="0.35">
      <c r="A1659">
        <v>31007</v>
      </c>
      <c r="B1659" t="s">
        <v>1091</v>
      </c>
      <c r="C1659" t="s">
        <v>1094</v>
      </c>
      <c r="D1659" s="2">
        <v>820</v>
      </c>
      <c r="E1659" s="2">
        <v>31735</v>
      </c>
      <c r="F1659" s="3">
        <v>19.2</v>
      </c>
      <c r="G1659" s="3">
        <v>455</v>
      </c>
      <c r="H1659" s="3">
        <v>60.4</v>
      </c>
      <c r="I1659" s="3">
        <v>19.100000000000001</v>
      </c>
      <c r="J1659" s="3">
        <v>20.399999999999999</v>
      </c>
      <c r="K1659" s="3">
        <v>0</v>
      </c>
      <c r="L1659" s="3">
        <v>5.4</v>
      </c>
      <c r="M1659" t="str">
        <f>IF(acs2015_county_data[[#This Row],[PublicWork]]&gt;='Описательные характеристики'!$F$5,"да","нет")</f>
        <v>да</v>
      </c>
      <c r="N1659" t="str">
        <f>IF(acs2015_county_data[[#This Row],[Unemployment]]&gt;='Описательные характеристики'!$I$5,"да","нет")</f>
        <v>нет</v>
      </c>
    </row>
    <row r="1660" spans="1:14" x14ac:dyDescent="0.35">
      <c r="A1660">
        <v>31009</v>
      </c>
      <c r="B1660" t="s">
        <v>1091</v>
      </c>
      <c r="C1660" t="s">
        <v>475</v>
      </c>
      <c r="D1660" s="2">
        <v>551</v>
      </c>
      <c r="E1660" s="2">
        <v>21854</v>
      </c>
      <c r="F1660" s="3">
        <v>27.6</v>
      </c>
      <c r="G1660" s="3">
        <v>287</v>
      </c>
      <c r="H1660" s="3">
        <v>63.8</v>
      </c>
      <c r="I1660" s="3">
        <v>17.100000000000001</v>
      </c>
      <c r="J1660" s="3">
        <v>19.2</v>
      </c>
      <c r="K1660" s="3">
        <v>0</v>
      </c>
      <c r="L1660" s="3">
        <v>0.7</v>
      </c>
      <c r="M1660" t="str">
        <f>IF(acs2015_county_data[[#This Row],[PublicWork]]&gt;='Описательные характеристики'!$F$5,"да","нет")</f>
        <v>да</v>
      </c>
      <c r="N1660" t="str">
        <f>IF(acs2015_county_data[[#This Row],[Unemployment]]&gt;='Описательные характеристики'!$I$5,"да","нет")</f>
        <v>нет</v>
      </c>
    </row>
    <row r="1661" spans="1:14" x14ac:dyDescent="0.35">
      <c r="A1661">
        <v>31011</v>
      </c>
      <c r="B1661" t="s">
        <v>1091</v>
      </c>
      <c r="C1661" t="s">
        <v>128</v>
      </c>
      <c r="D1661" s="2">
        <v>5373</v>
      </c>
      <c r="E1661" s="2">
        <v>27799</v>
      </c>
      <c r="F1661" s="3">
        <v>9.8000000000000007</v>
      </c>
      <c r="G1661" s="3">
        <v>2777</v>
      </c>
      <c r="H1661" s="3">
        <v>72.7</v>
      </c>
      <c r="I1661" s="3">
        <v>11.8</v>
      </c>
      <c r="J1661" s="3">
        <v>15.6</v>
      </c>
      <c r="K1661" s="3">
        <v>0</v>
      </c>
      <c r="L1661" s="3">
        <v>1.2</v>
      </c>
      <c r="M1661" t="str">
        <f>IF(acs2015_county_data[[#This Row],[PublicWork]]&gt;='Описательные характеристики'!$F$5,"да","нет")</f>
        <v>нет</v>
      </c>
      <c r="N1661" t="str">
        <f>IF(acs2015_county_data[[#This Row],[Unemployment]]&gt;='Описательные характеристики'!$I$5,"да","нет")</f>
        <v>нет</v>
      </c>
    </row>
    <row r="1662" spans="1:14" x14ac:dyDescent="0.35">
      <c r="A1662">
        <v>31013</v>
      </c>
      <c r="B1662" t="s">
        <v>1091</v>
      </c>
      <c r="C1662" t="s">
        <v>1095</v>
      </c>
      <c r="D1662" s="2">
        <v>11310</v>
      </c>
      <c r="E1662" s="2">
        <v>25897</v>
      </c>
      <c r="F1662" s="3">
        <v>4.2</v>
      </c>
      <c r="G1662" s="3">
        <v>5606</v>
      </c>
      <c r="H1662" s="3">
        <v>75</v>
      </c>
      <c r="I1662" s="3">
        <v>14.1</v>
      </c>
      <c r="J1662" s="3">
        <v>10.8</v>
      </c>
      <c r="K1662" s="3">
        <v>0.1</v>
      </c>
      <c r="L1662" s="3">
        <v>3.9</v>
      </c>
      <c r="M1662" t="str">
        <f>IF(acs2015_county_data[[#This Row],[PublicWork]]&gt;='Описательные характеристики'!$F$5,"да","нет")</f>
        <v>нет</v>
      </c>
      <c r="N1662" t="str">
        <f>IF(acs2015_county_data[[#This Row],[Unemployment]]&gt;='Описательные характеристики'!$I$5,"да","нет")</f>
        <v>нет</v>
      </c>
    </row>
    <row r="1663" spans="1:14" x14ac:dyDescent="0.35">
      <c r="A1663">
        <v>31015</v>
      </c>
      <c r="B1663" t="s">
        <v>1091</v>
      </c>
      <c r="C1663" t="s">
        <v>715</v>
      </c>
      <c r="D1663" s="2">
        <v>2039</v>
      </c>
      <c r="E1663" s="2">
        <v>24085</v>
      </c>
      <c r="F1663" s="3">
        <v>16.3</v>
      </c>
      <c r="G1663" s="3">
        <v>964</v>
      </c>
      <c r="H1663" s="3">
        <v>59.1</v>
      </c>
      <c r="I1663" s="3">
        <v>14.9</v>
      </c>
      <c r="J1663" s="3">
        <v>24.8</v>
      </c>
      <c r="K1663" s="3">
        <v>1.1000000000000001</v>
      </c>
      <c r="L1663" s="3">
        <v>1.1000000000000001</v>
      </c>
      <c r="M1663" t="str">
        <f>IF(acs2015_county_data[[#This Row],[PublicWork]]&gt;='Описательные характеристики'!$F$5,"да","нет")</f>
        <v>нет</v>
      </c>
      <c r="N1663" t="str">
        <f>IF(acs2015_county_data[[#This Row],[Unemployment]]&gt;='Описательные характеристики'!$I$5,"да","нет")</f>
        <v>нет</v>
      </c>
    </row>
    <row r="1664" spans="1:14" x14ac:dyDescent="0.35">
      <c r="A1664">
        <v>31017</v>
      </c>
      <c r="B1664" t="s">
        <v>1091</v>
      </c>
      <c r="C1664" t="s">
        <v>506</v>
      </c>
      <c r="D1664" s="2">
        <v>3078</v>
      </c>
      <c r="E1664" s="2">
        <v>26390</v>
      </c>
      <c r="F1664" s="3">
        <v>9.9</v>
      </c>
      <c r="G1664" s="3">
        <v>1585</v>
      </c>
      <c r="H1664" s="3">
        <v>64.400000000000006</v>
      </c>
      <c r="I1664" s="3">
        <v>18.2</v>
      </c>
      <c r="J1664" s="3">
        <v>17.399999999999999</v>
      </c>
      <c r="K1664" s="3">
        <v>0.1</v>
      </c>
      <c r="L1664" s="3">
        <v>0.7</v>
      </c>
      <c r="M1664" t="str">
        <f>IF(acs2015_county_data[[#This Row],[PublicWork]]&gt;='Описательные характеристики'!$F$5,"да","нет")</f>
        <v>да</v>
      </c>
      <c r="N1664" t="str">
        <f>IF(acs2015_county_data[[#This Row],[Unemployment]]&gt;='Описательные характеристики'!$I$5,"да","нет")</f>
        <v>нет</v>
      </c>
    </row>
    <row r="1665" spans="1:14" x14ac:dyDescent="0.35">
      <c r="A1665">
        <v>31019</v>
      </c>
      <c r="B1665" t="s">
        <v>1091</v>
      </c>
      <c r="C1665" t="s">
        <v>1096</v>
      </c>
      <c r="D1665" s="2">
        <v>47958</v>
      </c>
      <c r="E1665" s="2">
        <v>26846</v>
      </c>
      <c r="F1665" s="3">
        <v>4.3</v>
      </c>
      <c r="G1665" s="3">
        <v>27263</v>
      </c>
      <c r="H1665" s="3">
        <v>79.2</v>
      </c>
      <c r="I1665" s="3">
        <v>13.7</v>
      </c>
      <c r="J1665" s="3">
        <v>6.6</v>
      </c>
      <c r="K1665" s="3">
        <v>0.4</v>
      </c>
      <c r="L1665" s="3">
        <v>3.5</v>
      </c>
      <c r="M1665" t="str">
        <f>IF(acs2015_county_data[[#This Row],[PublicWork]]&gt;='Описательные характеристики'!$F$5,"да","нет")</f>
        <v>нет</v>
      </c>
      <c r="N1665" t="str">
        <f>IF(acs2015_county_data[[#This Row],[Unemployment]]&gt;='Описательные характеристики'!$I$5,"да","нет")</f>
        <v>нет</v>
      </c>
    </row>
    <row r="1666" spans="1:14" x14ac:dyDescent="0.35">
      <c r="A1666">
        <v>31021</v>
      </c>
      <c r="B1666" t="s">
        <v>1091</v>
      </c>
      <c r="C1666" t="s">
        <v>1097</v>
      </c>
      <c r="D1666" s="2">
        <v>6647</v>
      </c>
      <c r="E1666" s="2">
        <v>24332</v>
      </c>
      <c r="F1666" s="3">
        <v>6.5</v>
      </c>
      <c r="G1666" s="3">
        <v>3046</v>
      </c>
      <c r="H1666" s="3">
        <v>75.5</v>
      </c>
      <c r="I1666" s="3">
        <v>14.1</v>
      </c>
      <c r="J1666" s="3">
        <v>9.6</v>
      </c>
      <c r="K1666" s="3">
        <v>0.8</v>
      </c>
      <c r="L1666" s="3">
        <v>3.3</v>
      </c>
      <c r="M1666" t="str">
        <f>IF(acs2015_county_data[[#This Row],[PublicWork]]&gt;='Описательные характеристики'!$F$5,"да","нет")</f>
        <v>нет</v>
      </c>
      <c r="N1666" t="str">
        <f>IF(acs2015_county_data[[#This Row],[Unemployment]]&gt;='Описательные характеристики'!$I$5,"да","нет")</f>
        <v>нет</v>
      </c>
    </row>
    <row r="1667" spans="1:14" x14ac:dyDescent="0.35">
      <c r="A1667">
        <v>31023</v>
      </c>
      <c r="B1667" t="s">
        <v>1091</v>
      </c>
      <c r="C1667" t="s">
        <v>21</v>
      </c>
      <c r="D1667" s="2">
        <v>8256</v>
      </c>
      <c r="E1667" s="2">
        <v>29457</v>
      </c>
      <c r="F1667" s="3">
        <v>7.8</v>
      </c>
      <c r="G1667" s="3">
        <v>4299</v>
      </c>
      <c r="H1667" s="3">
        <v>75.599999999999994</v>
      </c>
      <c r="I1667" s="3">
        <v>13.3</v>
      </c>
      <c r="J1667" s="3">
        <v>11</v>
      </c>
      <c r="K1667" s="3">
        <v>0.1</v>
      </c>
      <c r="L1667" s="3">
        <v>4.2</v>
      </c>
      <c r="M1667" t="str">
        <f>IF(acs2015_county_data[[#This Row],[PublicWork]]&gt;='Описательные характеристики'!$F$5,"да","нет")</f>
        <v>нет</v>
      </c>
      <c r="N1667" t="str">
        <f>IF(acs2015_county_data[[#This Row],[Unemployment]]&gt;='Описательные характеристики'!$I$5,"да","нет")</f>
        <v>нет</v>
      </c>
    </row>
    <row r="1668" spans="1:14" x14ac:dyDescent="0.35">
      <c r="A1668">
        <v>31025</v>
      </c>
      <c r="B1668" t="s">
        <v>1091</v>
      </c>
      <c r="C1668" t="s">
        <v>508</v>
      </c>
      <c r="D1668" s="2">
        <v>25360</v>
      </c>
      <c r="E1668" s="2">
        <v>30694</v>
      </c>
      <c r="F1668" s="3">
        <v>3.1</v>
      </c>
      <c r="G1668" s="3">
        <v>13103</v>
      </c>
      <c r="H1668" s="3">
        <v>76.099999999999994</v>
      </c>
      <c r="I1668" s="3">
        <v>17.600000000000001</v>
      </c>
      <c r="J1668" s="3">
        <v>6.1</v>
      </c>
      <c r="K1668" s="3">
        <v>0.2</v>
      </c>
      <c r="L1668" s="3">
        <v>3.8</v>
      </c>
      <c r="M1668" t="str">
        <f>IF(acs2015_county_data[[#This Row],[PublicWork]]&gt;='Описательные характеристики'!$F$5,"да","нет")</f>
        <v>да</v>
      </c>
      <c r="N1668" t="str">
        <f>IF(acs2015_county_data[[#This Row],[Unemployment]]&gt;='Описательные характеристики'!$I$5,"да","нет")</f>
        <v>нет</v>
      </c>
    </row>
    <row r="1669" spans="1:14" x14ac:dyDescent="0.35">
      <c r="A1669">
        <v>31027</v>
      </c>
      <c r="B1669" t="s">
        <v>1091</v>
      </c>
      <c r="C1669" t="s">
        <v>607</v>
      </c>
      <c r="D1669" s="2">
        <v>8675</v>
      </c>
      <c r="E1669" s="2">
        <v>27774</v>
      </c>
      <c r="F1669" s="3">
        <v>11.4</v>
      </c>
      <c r="G1669" s="3">
        <v>4588</v>
      </c>
      <c r="H1669" s="3">
        <v>69.7</v>
      </c>
      <c r="I1669" s="3">
        <v>14.8</v>
      </c>
      <c r="J1669" s="3">
        <v>15</v>
      </c>
      <c r="K1669" s="3">
        <v>0.5</v>
      </c>
      <c r="L1669" s="3">
        <v>2.2000000000000002</v>
      </c>
      <c r="M1669" t="str">
        <f>IF(acs2015_county_data[[#This Row],[PublicWork]]&gt;='Описательные характеристики'!$F$5,"да","нет")</f>
        <v>нет</v>
      </c>
      <c r="N1669" t="str">
        <f>IF(acs2015_county_data[[#This Row],[Unemployment]]&gt;='Описательные характеристики'!$I$5,"да","нет")</f>
        <v>нет</v>
      </c>
    </row>
    <row r="1670" spans="1:14" x14ac:dyDescent="0.35">
      <c r="A1670">
        <v>31029</v>
      </c>
      <c r="B1670" t="s">
        <v>1091</v>
      </c>
      <c r="C1670" t="s">
        <v>649</v>
      </c>
      <c r="D1670" s="2">
        <v>3897</v>
      </c>
      <c r="E1670" s="2">
        <v>29905</v>
      </c>
      <c r="F1670" s="3">
        <v>11.5</v>
      </c>
      <c r="G1670" s="3">
        <v>2073</v>
      </c>
      <c r="H1670" s="3">
        <v>66.3</v>
      </c>
      <c r="I1670" s="3">
        <v>13.7</v>
      </c>
      <c r="J1670" s="3">
        <v>18.7</v>
      </c>
      <c r="K1670" s="3">
        <v>1.3</v>
      </c>
      <c r="L1670" s="3">
        <v>0.7</v>
      </c>
      <c r="M1670" t="str">
        <f>IF(acs2015_county_data[[#This Row],[PublicWork]]&gt;='Описательные характеристики'!$F$5,"да","нет")</f>
        <v>нет</v>
      </c>
      <c r="N1670" t="str">
        <f>IF(acs2015_county_data[[#This Row],[Unemployment]]&gt;='Описательные характеристики'!$I$5,"да","нет")</f>
        <v>нет</v>
      </c>
    </row>
    <row r="1671" spans="1:14" x14ac:dyDescent="0.35">
      <c r="A1671">
        <v>31031</v>
      </c>
      <c r="B1671" t="s">
        <v>1091</v>
      </c>
      <c r="C1671" t="s">
        <v>1098</v>
      </c>
      <c r="D1671" s="2">
        <v>5770</v>
      </c>
      <c r="E1671" s="2">
        <v>26229</v>
      </c>
      <c r="F1671" s="3">
        <v>20.6</v>
      </c>
      <c r="G1671" s="3">
        <v>3271</v>
      </c>
      <c r="H1671" s="3">
        <v>58.5</v>
      </c>
      <c r="I1671" s="3">
        <v>21.6</v>
      </c>
      <c r="J1671" s="3">
        <v>18.600000000000001</v>
      </c>
      <c r="K1671" s="3">
        <v>1.3</v>
      </c>
      <c r="L1671" s="3">
        <v>2.6</v>
      </c>
      <c r="M1671" t="str">
        <f>IF(acs2015_county_data[[#This Row],[PublicWork]]&gt;='Описательные характеристики'!$F$5,"да","нет")</f>
        <v>да</v>
      </c>
      <c r="N1671" t="str">
        <f>IF(acs2015_county_data[[#This Row],[Unemployment]]&gt;='Описательные характеристики'!$I$5,"да","нет")</f>
        <v>нет</v>
      </c>
    </row>
    <row r="1672" spans="1:14" x14ac:dyDescent="0.35">
      <c r="A1672">
        <v>31033</v>
      </c>
      <c r="B1672" t="s">
        <v>1091</v>
      </c>
      <c r="C1672" t="s">
        <v>246</v>
      </c>
      <c r="D1672" s="2">
        <v>10077</v>
      </c>
      <c r="E1672" s="2">
        <v>30339</v>
      </c>
      <c r="F1672" s="3">
        <v>3.4</v>
      </c>
      <c r="G1672" s="3">
        <v>5681</v>
      </c>
      <c r="H1672" s="3">
        <v>80.8</v>
      </c>
      <c r="I1672" s="3">
        <v>11.4</v>
      </c>
      <c r="J1672" s="3">
        <v>7.8</v>
      </c>
      <c r="K1672" s="3">
        <v>0</v>
      </c>
      <c r="L1672" s="3">
        <v>1.6</v>
      </c>
      <c r="M1672" t="str">
        <f>IF(acs2015_county_data[[#This Row],[PublicWork]]&gt;='Описательные характеристики'!$F$5,"да","нет")</f>
        <v>нет</v>
      </c>
      <c r="N1672" t="str">
        <f>IF(acs2015_county_data[[#This Row],[Unemployment]]&gt;='Описательные характеристики'!$I$5,"да","нет")</f>
        <v>нет</v>
      </c>
    </row>
    <row r="1673" spans="1:14" x14ac:dyDescent="0.35">
      <c r="A1673">
        <v>31035</v>
      </c>
      <c r="B1673" t="s">
        <v>1091</v>
      </c>
      <c r="C1673" t="s">
        <v>28</v>
      </c>
      <c r="D1673" s="2">
        <v>6382</v>
      </c>
      <c r="E1673" s="2">
        <v>26324</v>
      </c>
      <c r="F1673" s="3">
        <v>4.8</v>
      </c>
      <c r="G1673" s="3">
        <v>3171</v>
      </c>
      <c r="H1673" s="3">
        <v>73.2</v>
      </c>
      <c r="I1673" s="3">
        <v>14.6</v>
      </c>
      <c r="J1673" s="3">
        <v>12</v>
      </c>
      <c r="K1673" s="3">
        <v>0.3</v>
      </c>
      <c r="L1673" s="3">
        <v>2.8</v>
      </c>
      <c r="M1673" t="str">
        <f>IF(acs2015_county_data[[#This Row],[PublicWork]]&gt;='Описательные характеристики'!$F$5,"да","нет")</f>
        <v>нет</v>
      </c>
      <c r="N1673" t="str">
        <f>IF(acs2015_county_data[[#This Row],[Unemployment]]&gt;='Описательные характеристики'!$I$5,"да","нет")</f>
        <v>нет</v>
      </c>
    </row>
    <row r="1674" spans="1:14" x14ac:dyDescent="0.35">
      <c r="A1674">
        <v>31037</v>
      </c>
      <c r="B1674" t="s">
        <v>1091</v>
      </c>
      <c r="C1674" t="s">
        <v>1099</v>
      </c>
      <c r="D1674" s="2">
        <v>10522</v>
      </c>
      <c r="E1674" s="2">
        <v>22857</v>
      </c>
      <c r="F1674" s="3">
        <v>4.2</v>
      </c>
      <c r="G1674" s="3">
        <v>5224</v>
      </c>
      <c r="H1674" s="3">
        <v>83.3</v>
      </c>
      <c r="I1674" s="3">
        <v>8.1999999999999993</v>
      </c>
      <c r="J1674" s="3">
        <v>8.3000000000000007</v>
      </c>
      <c r="K1674" s="3">
        <v>0.3</v>
      </c>
      <c r="L1674" s="3">
        <v>6.4</v>
      </c>
      <c r="M1674" t="str">
        <f>IF(acs2015_county_data[[#This Row],[PublicWork]]&gt;='Описательные характеристики'!$F$5,"да","нет")</f>
        <v>нет</v>
      </c>
      <c r="N1674" t="str">
        <f>IF(acs2015_county_data[[#This Row],[Unemployment]]&gt;='Описательные характеристики'!$I$5,"да","нет")</f>
        <v>нет</v>
      </c>
    </row>
    <row r="1675" spans="1:14" x14ac:dyDescent="0.35">
      <c r="A1675">
        <v>31039</v>
      </c>
      <c r="B1675" t="s">
        <v>1091</v>
      </c>
      <c r="C1675" t="s">
        <v>1100</v>
      </c>
      <c r="D1675" s="2">
        <v>9078</v>
      </c>
      <c r="E1675" s="2">
        <v>25318</v>
      </c>
      <c r="F1675" s="3">
        <v>6.6</v>
      </c>
      <c r="G1675" s="3">
        <v>4562</v>
      </c>
      <c r="H1675" s="3">
        <v>73</v>
      </c>
      <c r="I1675" s="3">
        <v>12.3</v>
      </c>
      <c r="J1675" s="3">
        <v>13.7</v>
      </c>
      <c r="K1675" s="3">
        <v>0.9</v>
      </c>
      <c r="L1675" s="3">
        <v>3.3</v>
      </c>
      <c r="M1675" t="str">
        <f>IF(acs2015_county_data[[#This Row],[PublicWork]]&gt;='Описательные характеристики'!$F$5,"да","нет")</f>
        <v>нет</v>
      </c>
      <c r="N1675" t="str">
        <f>IF(acs2015_county_data[[#This Row],[Unemployment]]&gt;='Описательные характеристики'!$I$5,"да","нет")</f>
        <v>нет</v>
      </c>
    </row>
    <row r="1676" spans="1:14" x14ac:dyDescent="0.35">
      <c r="A1676">
        <v>31041</v>
      </c>
      <c r="B1676" t="s">
        <v>1091</v>
      </c>
      <c r="C1676" t="s">
        <v>485</v>
      </c>
      <c r="D1676" s="2">
        <v>10802</v>
      </c>
      <c r="E1676" s="2">
        <v>29406</v>
      </c>
      <c r="F1676" s="3">
        <v>8.1</v>
      </c>
      <c r="G1676" s="3">
        <v>5694</v>
      </c>
      <c r="H1676" s="3">
        <v>71.7</v>
      </c>
      <c r="I1676" s="3">
        <v>12.3</v>
      </c>
      <c r="J1676" s="3">
        <v>15.5</v>
      </c>
      <c r="K1676" s="3">
        <v>0.5</v>
      </c>
      <c r="L1676" s="3">
        <v>2.2999999999999998</v>
      </c>
      <c r="M1676" t="str">
        <f>IF(acs2015_county_data[[#This Row],[PublicWork]]&gt;='Описательные характеристики'!$F$5,"да","нет")</f>
        <v>нет</v>
      </c>
      <c r="N1676" t="str">
        <f>IF(acs2015_county_data[[#This Row],[Unemployment]]&gt;='Описательные характеристики'!$I$5,"да","нет")</f>
        <v>нет</v>
      </c>
    </row>
    <row r="1677" spans="1:14" x14ac:dyDescent="0.35">
      <c r="A1677">
        <v>31043</v>
      </c>
      <c r="B1677" t="s">
        <v>1091</v>
      </c>
      <c r="C1677" t="s">
        <v>928</v>
      </c>
      <c r="D1677" s="2">
        <v>20798</v>
      </c>
      <c r="E1677" s="2">
        <v>20543</v>
      </c>
      <c r="F1677" s="3">
        <v>2.5</v>
      </c>
      <c r="G1677" s="3">
        <v>10025</v>
      </c>
      <c r="H1677" s="3">
        <v>87.3</v>
      </c>
      <c r="I1677" s="3">
        <v>7.3</v>
      </c>
      <c r="J1677" s="3">
        <v>5.2</v>
      </c>
      <c r="K1677" s="3">
        <v>0.2</v>
      </c>
      <c r="L1677" s="3">
        <v>7.4</v>
      </c>
      <c r="M1677" t="str">
        <f>IF(acs2015_county_data[[#This Row],[PublicWork]]&gt;='Описательные характеристики'!$F$5,"да","нет")</f>
        <v>нет</v>
      </c>
      <c r="N1677" t="str">
        <f>IF(acs2015_county_data[[#This Row],[Unemployment]]&gt;='Описательные характеристики'!$I$5,"да","нет")</f>
        <v>нет</v>
      </c>
    </row>
    <row r="1678" spans="1:14" x14ac:dyDescent="0.35">
      <c r="A1678">
        <v>31045</v>
      </c>
      <c r="B1678" t="s">
        <v>1091</v>
      </c>
      <c r="C1678" t="s">
        <v>1101</v>
      </c>
      <c r="D1678" s="2">
        <v>9136</v>
      </c>
      <c r="E1678" s="2">
        <v>22176</v>
      </c>
      <c r="F1678" s="3">
        <v>5.2</v>
      </c>
      <c r="G1678" s="3">
        <v>4613</v>
      </c>
      <c r="H1678" s="3">
        <v>59.9</v>
      </c>
      <c r="I1678" s="3">
        <v>29</v>
      </c>
      <c r="J1678" s="3">
        <v>10.7</v>
      </c>
      <c r="K1678" s="3">
        <v>0.4</v>
      </c>
      <c r="L1678" s="3">
        <v>2.6</v>
      </c>
      <c r="M1678" t="str">
        <f>IF(acs2015_county_data[[#This Row],[PublicWork]]&gt;='Описательные характеристики'!$F$5,"да","нет")</f>
        <v>да</v>
      </c>
      <c r="N1678" t="str">
        <f>IF(acs2015_county_data[[#This Row],[Unemployment]]&gt;='Описательные характеристики'!$I$5,"да","нет")</f>
        <v>нет</v>
      </c>
    </row>
    <row r="1679" spans="1:14" x14ac:dyDescent="0.35">
      <c r="A1679">
        <v>31047</v>
      </c>
      <c r="B1679" t="s">
        <v>1091</v>
      </c>
      <c r="C1679" t="s">
        <v>385</v>
      </c>
      <c r="D1679" s="2">
        <v>24069</v>
      </c>
      <c r="E1679" s="2">
        <v>22098</v>
      </c>
      <c r="F1679" s="3">
        <v>3.5</v>
      </c>
      <c r="G1679" s="3">
        <v>12312</v>
      </c>
      <c r="H1679" s="3">
        <v>80.5</v>
      </c>
      <c r="I1679" s="3">
        <v>11.5</v>
      </c>
      <c r="J1679" s="3">
        <v>7.9</v>
      </c>
      <c r="K1679" s="3">
        <v>0.1</v>
      </c>
      <c r="L1679" s="3">
        <v>4.8</v>
      </c>
      <c r="M1679" t="str">
        <f>IF(acs2015_county_data[[#This Row],[PublicWork]]&gt;='Описательные характеристики'!$F$5,"да","нет")</f>
        <v>нет</v>
      </c>
      <c r="N1679" t="str">
        <f>IF(acs2015_county_data[[#This Row],[Unemployment]]&gt;='Описательные характеристики'!$I$5,"да","нет")</f>
        <v>нет</v>
      </c>
    </row>
    <row r="1680" spans="1:14" x14ac:dyDescent="0.35">
      <c r="A1680">
        <v>31049</v>
      </c>
      <c r="B1680" t="s">
        <v>1091</v>
      </c>
      <c r="C1680" t="s">
        <v>1102</v>
      </c>
      <c r="D1680" s="2">
        <v>1946</v>
      </c>
      <c r="E1680" s="2">
        <v>27439</v>
      </c>
      <c r="F1680" s="3">
        <v>6.1</v>
      </c>
      <c r="G1680" s="3">
        <v>1023</v>
      </c>
      <c r="H1680" s="3">
        <v>69.599999999999994</v>
      </c>
      <c r="I1680" s="3">
        <v>17.7</v>
      </c>
      <c r="J1680" s="3">
        <v>12.7</v>
      </c>
      <c r="K1680" s="3">
        <v>0</v>
      </c>
      <c r="L1680" s="3">
        <v>4.3</v>
      </c>
      <c r="M1680" t="str">
        <f>IF(acs2015_county_data[[#This Row],[PublicWork]]&gt;='Описательные характеристики'!$F$5,"да","нет")</f>
        <v>да</v>
      </c>
      <c r="N1680" t="str">
        <f>IF(acs2015_county_data[[#This Row],[Unemployment]]&gt;='Описательные характеристики'!$I$5,"да","нет")</f>
        <v>нет</v>
      </c>
    </row>
    <row r="1681" spans="1:14" x14ac:dyDescent="0.35">
      <c r="A1681">
        <v>31051</v>
      </c>
      <c r="B1681" t="s">
        <v>1091</v>
      </c>
      <c r="C1681" t="s">
        <v>1103</v>
      </c>
      <c r="D1681" s="2">
        <v>5866</v>
      </c>
      <c r="E1681" s="2">
        <v>24286</v>
      </c>
      <c r="F1681" s="3">
        <v>5.2</v>
      </c>
      <c r="G1681" s="3">
        <v>2916</v>
      </c>
      <c r="H1681" s="3">
        <v>72.099999999999994</v>
      </c>
      <c r="I1681" s="3">
        <v>18</v>
      </c>
      <c r="J1681" s="3">
        <v>9.6</v>
      </c>
      <c r="K1681" s="3">
        <v>0.3</v>
      </c>
      <c r="L1681" s="3">
        <v>4.5</v>
      </c>
      <c r="M1681" t="str">
        <f>IF(acs2015_county_data[[#This Row],[PublicWork]]&gt;='Описательные характеристики'!$F$5,"да","нет")</f>
        <v>да</v>
      </c>
      <c r="N1681" t="str">
        <f>IF(acs2015_county_data[[#This Row],[Unemployment]]&gt;='Описательные характеристики'!$I$5,"да","нет")</f>
        <v>нет</v>
      </c>
    </row>
    <row r="1682" spans="1:14" x14ac:dyDescent="0.35">
      <c r="A1682">
        <v>31053</v>
      </c>
      <c r="B1682" t="s">
        <v>1091</v>
      </c>
      <c r="C1682" t="s">
        <v>387</v>
      </c>
      <c r="D1682" s="2">
        <v>36725</v>
      </c>
      <c r="E1682" s="2">
        <v>25112</v>
      </c>
      <c r="F1682" s="3">
        <v>3.3</v>
      </c>
      <c r="G1682" s="3">
        <v>18447</v>
      </c>
      <c r="H1682" s="3">
        <v>83.1</v>
      </c>
      <c r="I1682" s="3">
        <v>11.1</v>
      </c>
      <c r="J1682" s="3">
        <v>5.6</v>
      </c>
      <c r="K1682" s="3">
        <v>0.2</v>
      </c>
      <c r="L1682" s="3">
        <v>5.0999999999999996</v>
      </c>
      <c r="M1682" t="str">
        <f>IF(acs2015_county_data[[#This Row],[PublicWork]]&gt;='Описательные характеристики'!$F$5,"да","нет")</f>
        <v>нет</v>
      </c>
      <c r="N1682" t="str">
        <f>IF(acs2015_county_data[[#This Row],[Unemployment]]&gt;='Описательные характеристики'!$I$5,"да","нет")</f>
        <v>нет</v>
      </c>
    </row>
    <row r="1683" spans="1:14" x14ac:dyDescent="0.35">
      <c r="A1683">
        <v>31055</v>
      </c>
      <c r="B1683" t="s">
        <v>1091</v>
      </c>
      <c r="C1683" t="s">
        <v>254</v>
      </c>
      <c r="D1683" s="2">
        <v>537655</v>
      </c>
      <c r="E1683" s="2">
        <v>29842</v>
      </c>
      <c r="F1683" s="3">
        <v>3.5</v>
      </c>
      <c r="G1683" s="3">
        <v>277349</v>
      </c>
      <c r="H1683" s="3">
        <v>84.8</v>
      </c>
      <c r="I1683" s="3">
        <v>10.8</v>
      </c>
      <c r="J1683" s="3">
        <v>4.2</v>
      </c>
      <c r="K1683" s="3">
        <v>0.1</v>
      </c>
      <c r="L1683" s="3">
        <v>5.7</v>
      </c>
      <c r="M1683" t="str">
        <f>IF(acs2015_county_data[[#This Row],[PublicWork]]&gt;='Описательные характеристики'!$F$5,"да","нет")</f>
        <v>нет</v>
      </c>
      <c r="N1683" t="str">
        <f>IF(acs2015_county_data[[#This Row],[Unemployment]]&gt;='Описательные характеристики'!$I$5,"да","нет")</f>
        <v>нет</v>
      </c>
    </row>
    <row r="1684" spans="1:14" x14ac:dyDescent="0.35">
      <c r="A1684">
        <v>31057</v>
      </c>
      <c r="B1684" t="s">
        <v>1091</v>
      </c>
      <c r="C1684" t="s">
        <v>1104</v>
      </c>
      <c r="D1684" s="2">
        <v>2015</v>
      </c>
      <c r="E1684" s="2">
        <v>28870</v>
      </c>
      <c r="F1684" s="3">
        <v>10.6</v>
      </c>
      <c r="G1684" s="3">
        <v>932</v>
      </c>
      <c r="H1684" s="3">
        <v>60.9</v>
      </c>
      <c r="I1684" s="3">
        <v>19.3</v>
      </c>
      <c r="J1684" s="3">
        <v>19.7</v>
      </c>
      <c r="K1684" s="3">
        <v>0</v>
      </c>
      <c r="L1684" s="3">
        <v>4</v>
      </c>
      <c r="M1684" t="str">
        <f>IF(acs2015_county_data[[#This Row],[PublicWork]]&gt;='Описательные характеристики'!$F$5,"да","нет")</f>
        <v>да</v>
      </c>
      <c r="N1684" t="str">
        <f>IF(acs2015_county_data[[#This Row],[Unemployment]]&gt;='Описательные характеристики'!$I$5,"да","нет")</f>
        <v>нет</v>
      </c>
    </row>
    <row r="1685" spans="1:14" x14ac:dyDescent="0.35">
      <c r="A1685">
        <v>31059</v>
      </c>
      <c r="B1685" t="s">
        <v>1091</v>
      </c>
      <c r="C1685" t="s">
        <v>930</v>
      </c>
      <c r="D1685" s="2">
        <v>5697</v>
      </c>
      <c r="E1685" s="2">
        <v>27875</v>
      </c>
      <c r="F1685" s="3">
        <v>5.3</v>
      </c>
      <c r="G1685" s="3">
        <v>2969</v>
      </c>
      <c r="H1685" s="3">
        <v>70.099999999999994</v>
      </c>
      <c r="I1685" s="3">
        <v>16.5</v>
      </c>
      <c r="J1685" s="3">
        <v>13.2</v>
      </c>
      <c r="K1685" s="3">
        <v>0.2</v>
      </c>
      <c r="L1685" s="3">
        <v>3.4</v>
      </c>
      <c r="M1685" t="str">
        <f>IF(acs2015_county_data[[#This Row],[PublicWork]]&gt;='Описательные характеристики'!$F$5,"да","нет")</f>
        <v>да</v>
      </c>
      <c r="N1685" t="str">
        <f>IF(acs2015_county_data[[#This Row],[Unemployment]]&gt;='Описательные характеристики'!$I$5,"да","нет")</f>
        <v>нет</v>
      </c>
    </row>
    <row r="1686" spans="1:14" x14ac:dyDescent="0.35">
      <c r="A1686">
        <v>31061</v>
      </c>
      <c r="B1686" t="s">
        <v>1091</v>
      </c>
      <c r="C1686" t="s">
        <v>43</v>
      </c>
      <c r="D1686" s="2">
        <v>3105</v>
      </c>
      <c r="E1686" s="2">
        <v>28426</v>
      </c>
      <c r="F1686" s="3">
        <v>6.1</v>
      </c>
      <c r="G1686" s="3">
        <v>1575</v>
      </c>
      <c r="H1686" s="3">
        <v>67.900000000000006</v>
      </c>
      <c r="I1686" s="3">
        <v>17.899999999999999</v>
      </c>
      <c r="J1686" s="3">
        <v>13.8</v>
      </c>
      <c r="K1686" s="3">
        <v>0.3</v>
      </c>
      <c r="L1686" s="3">
        <v>3.5</v>
      </c>
      <c r="M1686" t="str">
        <f>IF(acs2015_county_data[[#This Row],[PublicWork]]&gt;='Описательные характеристики'!$F$5,"да","нет")</f>
        <v>да</v>
      </c>
      <c r="N1686" t="str">
        <f>IF(acs2015_county_data[[#This Row],[Unemployment]]&gt;='Описательные характеристики'!$I$5,"да","нет")</f>
        <v>нет</v>
      </c>
    </row>
    <row r="1687" spans="1:14" x14ac:dyDescent="0.35">
      <c r="A1687">
        <v>31063</v>
      </c>
      <c r="B1687" t="s">
        <v>1091</v>
      </c>
      <c r="C1687" t="s">
        <v>1105</v>
      </c>
      <c r="D1687" s="2">
        <v>2573</v>
      </c>
      <c r="E1687" s="2">
        <v>25837</v>
      </c>
      <c r="F1687" s="3">
        <v>9</v>
      </c>
      <c r="G1687" s="3">
        <v>1294</v>
      </c>
      <c r="H1687" s="3">
        <v>62.8</v>
      </c>
      <c r="I1687" s="3">
        <v>18.8</v>
      </c>
      <c r="J1687" s="3">
        <v>16.5</v>
      </c>
      <c r="K1687" s="3">
        <v>2</v>
      </c>
      <c r="L1687" s="3">
        <v>2.4</v>
      </c>
      <c r="M1687" t="str">
        <f>IF(acs2015_county_data[[#This Row],[PublicWork]]&gt;='Описательные характеристики'!$F$5,"да","нет")</f>
        <v>да</v>
      </c>
      <c r="N1687" t="str">
        <f>IF(acs2015_county_data[[#This Row],[Unemployment]]&gt;='Описательные характеристики'!$I$5,"да","нет")</f>
        <v>нет</v>
      </c>
    </row>
    <row r="1688" spans="1:14" x14ac:dyDescent="0.35">
      <c r="A1688">
        <v>31065</v>
      </c>
      <c r="B1688" t="s">
        <v>1091</v>
      </c>
      <c r="C1688" t="s">
        <v>1106</v>
      </c>
      <c r="D1688" s="2">
        <v>4887</v>
      </c>
      <c r="E1688" s="2">
        <v>22769</v>
      </c>
      <c r="F1688" s="3">
        <v>9</v>
      </c>
      <c r="G1688" s="3">
        <v>2323</v>
      </c>
      <c r="H1688" s="3">
        <v>67.599999999999994</v>
      </c>
      <c r="I1688" s="3">
        <v>16.7</v>
      </c>
      <c r="J1688" s="3">
        <v>15.1</v>
      </c>
      <c r="K1688" s="3">
        <v>0.6</v>
      </c>
      <c r="L1688" s="3">
        <v>3.4</v>
      </c>
      <c r="M1688" t="str">
        <f>IF(acs2015_county_data[[#This Row],[PublicWork]]&gt;='Описательные характеристики'!$F$5,"да","нет")</f>
        <v>да</v>
      </c>
      <c r="N1688" t="str">
        <f>IF(acs2015_county_data[[#This Row],[Unemployment]]&gt;='Описательные характеристики'!$I$5,"да","нет")</f>
        <v>нет</v>
      </c>
    </row>
    <row r="1689" spans="1:14" x14ac:dyDescent="0.35">
      <c r="A1689">
        <v>31067</v>
      </c>
      <c r="B1689" t="s">
        <v>1091</v>
      </c>
      <c r="C1689" t="s">
        <v>1107</v>
      </c>
      <c r="D1689" s="2">
        <v>21818</v>
      </c>
      <c r="E1689" s="2">
        <v>26207</v>
      </c>
      <c r="F1689" s="3">
        <v>5.3</v>
      </c>
      <c r="G1689" s="3">
        <v>11077</v>
      </c>
      <c r="H1689" s="3">
        <v>73.8</v>
      </c>
      <c r="I1689" s="3">
        <v>15.9</v>
      </c>
      <c r="J1689" s="3">
        <v>10</v>
      </c>
      <c r="K1689" s="3">
        <v>0.3</v>
      </c>
      <c r="L1689" s="3">
        <v>4.3</v>
      </c>
      <c r="M1689" t="str">
        <f>IF(acs2015_county_data[[#This Row],[PublicWork]]&gt;='Описательные характеристики'!$F$5,"да","нет")</f>
        <v>нет</v>
      </c>
      <c r="N1689" t="str">
        <f>IF(acs2015_county_data[[#This Row],[Unemployment]]&gt;='Описательные характеристики'!$I$5,"да","нет")</f>
        <v>нет</v>
      </c>
    </row>
    <row r="1690" spans="1:14" x14ac:dyDescent="0.35">
      <c r="A1690">
        <v>31069</v>
      </c>
      <c r="B1690" t="s">
        <v>1091</v>
      </c>
      <c r="C1690" t="s">
        <v>1108</v>
      </c>
      <c r="D1690" s="2">
        <v>1823</v>
      </c>
      <c r="E1690" s="2">
        <v>30790</v>
      </c>
      <c r="F1690" s="3">
        <v>7.1</v>
      </c>
      <c r="G1690" s="3">
        <v>939</v>
      </c>
      <c r="H1690" s="3">
        <v>57</v>
      </c>
      <c r="I1690" s="3">
        <v>24.5</v>
      </c>
      <c r="J1690" s="3">
        <v>17.899999999999999</v>
      </c>
      <c r="K1690" s="3">
        <v>0.6</v>
      </c>
      <c r="L1690" s="3">
        <v>3.1</v>
      </c>
      <c r="M1690" t="str">
        <f>IF(acs2015_county_data[[#This Row],[PublicWork]]&gt;='Описательные характеристики'!$F$5,"да","нет")</f>
        <v>да</v>
      </c>
      <c r="N1690" t="str">
        <f>IF(acs2015_county_data[[#This Row],[Unemployment]]&gt;='Описательные характеристики'!$I$5,"да","нет")</f>
        <v>нет</v>
      </c>
    </row>
    <row r="1691" spans="1:14" x14ac:dyDescent="0.35">
      <c r="A1691">
        <v>31071</v>
      </c>
      <c r="B1691" t="s">
        <v>1091</v>
      </c>
      <c r="C1691" t="s">
        <v>259</v>
      </c>
      <c r="D1691" s="2">
        <v>1933</v>
      </c>
      <c r="E1691" s="2">
        <v>23612</v>
      </c>
      <c r="F1691" s="3">
        <v>10.199999999999999</v>
      </c>
      <c r="G1691" s="3">
        <v>992</v>
      </c>
      <c r="H1691" s="3">
        <v>62.4</v>
      </c>
      <c r="I1691" s="3">
        <v>18.8</v>
      </c>
      <c r="J1691" s="3">
        <v>17.2</v>
      </c>
      <c r="K1691" s="3">
        <v>1.6</v>
      </c>
      <c r="L1691" s="3">
        <v>3.5</v>
      </c>
      <c r="M1691" t="str">
        <f>IF(acs2015_county_data[[#This Row],[PublicWork]]&gt;='Описательные характеристики'!$F$5,"да","нет")</f>
        <v>да</v>
      </c>
      <c r="N1691" t="str">
        <f>IF(acs2015_county_data[[#This Row],[Unemployment]]&gt;='Описательные характеристики'!$I$5,"да","нет")</f>
        <v>нет</v>
      </c>
    </row>
    <row r="1692" spans="1:14" x14ac:dyDescent="0.35">
      <c r="A1692">
        <v>31073</v>
      </c>
      <c r="B1692" t="s">
        <v>1091</v>
      </c>
      <c r="C1692" t="s">
        <v>1109</v>
      </c>
      <c r="D1692" s="2">
        <v>1976</v>
      </c>
      <c r="E1692" s="2">
        <v>27402</v>
      </c>
      <c r="F1692" s="3">
        <v>4.9000000000000004</v>
      </c>
      <c r="G1692" s="3">
        <v>1091</v>
      </c>
      <c r="H1692" s="3">
        <v>66.099999999999994</v>
      </c>
      <c r="I1692" s="3">
        <v>17.399999999999999</v>
      </c>
      <c r="J1692" s="3">
        <v>15.1</v>
      </c>
      <c r="K1692" s="3">
        <v>1.4</v>
      </c>
      <c r="L1692" s="3">
        <v>5.0999999999999996</v>
      </c>
      <c r="M1692" t="str">
        <f>IF(acs2015_county_data[[#This Row],[PublicWork]]&gt;='Описательные характеристики'!$F$5,"да","нет")</f>
        <v>да</v>
      </c>
      <c r="N1692" t="str">
        <f>IF(acs2015_county_data[[#This Row],[Unemployment]]&gt;='Описательные характеристики'!$I$5,"да","нет")</f>
        <v>нет</v>
      </c>
    </row>
    <row r="1693" spans="1:14" x14ac:dyDescent="0.35">
      <c r="A1693">
        <v>31075</v>
      </c>
      <c r="B1693" t="s">
        <v>1091</v>
      </c>
      <c r="C1693" t="s">
        <v>144</v>
      </c>
      <c r="D1693" s="2">
        <v>769</v>
      </c>
      <c r="E1693" s="2">
        <v>21782</v>
      </c>
      <c r="F1693" s="3">
        <v>11.6</v>
      </c>
      <c r="G1693" s="3">
        <v>418</v>
      </c>
      <c r="H1693" s="3">
        <v>67.2</v>
      </c>
      <c r="I1693" s="3">
        <v>12.2</v>
      </c>
      <c r="J1693" s="3">
        <v>20.6</v>
      </c>
      <c r="K1693" s="3">
        <v>0</v>
      </c>
      <c r="L1693" s="3">
        <v>3.5</v>
      </c>
      <c r="M1693" t="str">
        <f>IF(acs2015_county_data[[#This Row],[PublicWork]]&gt;='Описательные характеристики'!$F$5,"да","нет")</f>
        <v>нет</v>
      </c>
      <c r="N1693" t="str">
        <f>IF(acs2015_county_data[[#This Row],[Unemployment]]&gt;='Описательные характеристики'!$I$5,"да","нет")</f>
        <v>нет</v>
      </c>
    </row>
    <row r="1694" spans="1:14" x14ac:dyDescent="0.35">
      <c r="A1694">
        <v>31077</v>
      </c>
      <c r="B1694" t="s">
        <v>1091</v>
      </c>
      <c r="C1694" t="s">
        <v>662</v>
      </c>
      <c r="D1694" s="2">
        <v>2476</v>
      </c>
      <c r="E1694" s="2">
        <v>23333</v>
      </c>
      <c r="F1694" s="3">
        <v>10.9</v>
      </c>
      <c r="G1694" s="3">
        <v>1127</v>
      </c>
      <c r="H1694" s="3">
        <v>66.8</v>
      </c>
      <c r="I1694" s="3">
        <v>12.7</v>
      </c>
      <c r="J1694" s="3">
        <v>19.3</v>
      </c>
      <c r="K1694" s="3">
        <v>1.2</v>
      </c>
      <c r="L1694" s="3">
        <v>1.9</v>
      </c>
      <c r="M1694" t="str">
        <f>IF(acs2015_county_data[[#This Row],[PublicWork]]&gt;='Описательные характеристики'!$F$5,"да","нет")</f>
        <v>нет</v>
      </c>
      <c r="N1694" t="str">
        <f>IF(acs2015_county_data[[#This Row],[Unemployment]]&gt;='Описательные характеристики'!$I$5,"да","нет")</f>
        <v>нет</v>
      </c>
    </row>
    <row r="1695" spans="1:14" x14ac:dyDescent="0.35">
      <c r="A1695">
        <v>31079</v>
      </c>
      <c r="B1695" t="s">
        <v>1091</v>
      </c>
      <c r="C1695" t="s">
        <v>405</v>
      </c>
      <c r="D1695" s="2">
        <v>60792</v>
      </c>
      <c r="E1695" s="2">
        <v>23995</v>
      </c>
      <c r="F1695" s="3">
        <v>2.7</v>
      </c>
      <c r="G1695" s="3">
        <v>31168</v>
      </c>
      <c r="H1695" s="3">
        <v>82.6</v>
      </c>
      <c r="I1695" s="3">
        <v>12.2</v>
      </c>
      <c r="J1695" s="3">
        <v>5.2</v>
      </c>
      <c r="K1695" s="3">
        <v>0.1</v>
      </c>
      <c r="L1695" s="3">
        <v>6</v>
      </c>
      <c r="M1695" t="str">
        <f>IF(acs2015_county_data[[#This Row],[PublicWork]]&gt;='Описательные характеристики'!$F$5,"да","нет")</f>
        <v>нет</v>
      </c>
      <c r="N1695" t="str">
        <f>IF(acs2015_county_data[[#This Row],[Unemployment]]&gt;='Описательные характеристики'!$I$5,"да","нет")</f>
        <v>нет</v>
      </c>
    </row>
    <row r="1696" spans="1:14" x14ac:dyDescent="0.35">
      <c r="A1696">
        <v>31081</v>
      </c>
      <c r="B1696" t="s">
        <v>1091</v>
      </c>
      <c r="C1696" t="s">
        <v>323</v>
      </c>
      <c r="D1696" s="2">
        <v>9100</v>
      </c>
      <c r="E1696" s="2">
        <v>30424</v>
      </c>
      <c r="F1696" s="3">
        <v>6.5</v>
      </c>
      <c r="G1696" s="3">
        <v>4723</v>
      </c>
      <c r="H1696" s="3">
        <v>78</v>
      </c>
      <c r="I1696" s="3">
        <v>11.3</v>
      </c>
      <c r="J1696" s="3">
        <v>10.4</v>
      </c>
      <c r="K1696" s="3">
        <v>0.3</v>
      </c>
      <c r="L1696" s="3">
        <v>2.5</v>
      </c>
      <c r="M1696" t="str">
        <f>IF(acs2015_county_data[[#This Row],[PublicWork]]&gt;='Описательные характеристики'!$F$5,"да","нет")</f>
        <v>нет</v>
      </c>
      <c r="N1696" t="str">
        <f>IF(acs2015_county_data[[#This Row],[Unemployment]]&gt;='Описательные характеристики'!$I$5,"да","нет")</f>
        <v>нет</v>
      </c>
    </row>
    <row r="1697" spans="1:14" x14ac:dyDescent="0.35">
      <c r="A1697">
        <v>31083</v>
      </c>
      <c r="B1697" t="s">
        <v>1091</v>
      </c>
      <c r="C1697" t="s">
        <v>736</v>
      </c>
      <c r="D1697" s="2">
        <v>3458</v>
      </c>
      <c r="E1697" s="2">
        <v>26139</v>
      </c>
      <c r="F1697" s="3">
        <v>7.4</v>
      </c>
      <c r="G1697" s="3">
        <v>1687</v>
      </c>
      <c r="H1697" s="3">
        <v>69.3</v>
      </c>
      <c r="I1697" s="3">
        <v>15.6</v>
      </c>
      <c r="J1697" s="3">
        <v>14.5</v>
      </c>
      <c r="K1697" s="3">
        <v>0.7</v>
      </c>
      <c r="L1697" s="3">
        <v>1.7</v>
      </c>
      <c r="M1697" t="str">
        <f>IF(acs2015_county_data[[#This Row],[PublicWork]]&gt;='Описательные характеристики'!$F$5,"да","нет")</f>
        <v>нет</v>
      </c>
      <c r="N1697" t="str">
        <f>IF(acs2015_county_data[[#This Row],[Unemployment]]&gt;='Описательные характеристики'!$I$5,"да","нет")</f>
        <v>нет</v>
      </c>
    </row>
    <row r="1698" spans="1:14" x14ac:dyDescent="0.35">
      <c r="A1698">
        <v>31085</v>
      </c>
      <c r="B1698" t="s">
        <v>1091</v>
      </c>
      <c r="C1698" t="s">
        <v>1110</v>
      </c>
      <c r="D1698" s="2">
        <v>1084</v>
      </c>
      <c r="E1698" s="2">
        <v>26221</v>
      </c>
      <c r="F1698" s="3">
        <v>16</v>
      </c>
      <c r="G1698" s="3">
        <v>549</v>
      </c>
      <c r="H1698" s="3">
        <v>57.2</v>
      </c>
      <c r="I1698" s="3">
        <v>20</v>
      </c>
      <c r="J1698" s="3">
        <v>21.5</v>
      </c>
      <c r="K1698" s="3">
        <v>1.3</v>
      </c>
      <c r="L1698" s="3">
        <v>1.8</v>
      </c>
      <c r="M1698" t="str">
        <f>IF(acs2015_county_data[[#This Row],[PublicWork]]&gt;='Описательные характеристики'!$F$5,"да","нет")</f>
        <v>да</v>
      </c>
      <c r="N1698" t="str">
        <f>IF(acs2015_county_data[[#This Row],[Unemployment]]&gt;='Описательные характеристики'!$I$5,"да","нет")</f>
        <v>нет</v>
      </c>
    </row>
    <row r="1699" spans="1:14" x14ac:dyDescent="0.35">
      <c r="A1699">
        <v>31087</v>
      </c>
      <c r="B1699" t="s">
        <v>1091</v>
      </c>
      <c r="C1699" t="s">
        <v>1111</v>
      </c>
      <c r="D1699" s="2">
        <v>2879</v>
      </c>
      <c r="E1699" s="2">
        <v>23152</v>
      </c>
      <c r="F1699" s="3">
        <v>6.2</v>
      </c>
      <c r="G1699" s="3">
        <v>1358</v>
      </c>
      <c r="H1699" s="3">
        <v>70</v>
      </c>
      <c r="I1699" s="3">
        <v>17.5</v>
      </c>
      <c r="J1699" s="3">
        <v>11.2</v>
      </c>
      <c r="K1699" s="3">
        <v>1.3</v>
      </c>
      <c r="L1699" s="3">
        <v>3</v>
      </c>
      <c r="M1699" t="str">
        <f>IF(acs2015_county_data[[#This Row],[PublicWork]]&gt;='Описательные характеристики'!$F$5,"да","нет")</f>
        <v>да</v>
      </c>
      <c r="N1699" t="str">
        <f>IF(acs2015_county_data[[#This Row],[Unemployment]]&gt;='Описательные характеристики'!$I$5,"да","нет")</f>
        <v>нет</v>
      </c>
    </row>
    <row r="1700" spans="1:14" x14ac:dyDescent="0.35">
      <c r="A1700">
        <v>31089</v>
      </c>
      <c r="B1700" t="s">
        <v>1091</v>
      </c>
      <c r="C1700" t="s">
        <v>1028</v>
      </c>
      <c r="D1700" s="2">
        <v>10398</v>
      </c>
      <c r="E1700" s="2">
        <v>25672</v>
      </c>
      <c r="F1700" s="3">
        <v>10.5</v>
      </c>
      <c r="G1700" s="3">
        <v>5529</v>
      </c>
      <c r="H1700" s="3">
        <v>67.599999999999994</v>
      </c>
      <c r="I1700" s="3">
        <v>14</v>
      </c>
      <c r="J1700" s="3">
        <v>18.100000000000001</v>
      </c>
      <c r="K1700" s="3">
        <v>0.4</v>
      </c>
      <c r="L1700" s="3">
        <v>0.9</v>
      </c>
      <c r="M1700" t="str">
        <f>IF(acs2015_county_data[[#This Row],[PublicWork]]&gt;='Описательные характеристики'!$F$5,"да","нет")</f>
        <v>нет</v>
      </c>
      <c r="N1700" t="str">
        <f>IF(acs2015_county_data[[#This Row],[Unemployment]]&gt;='Описательные характеристики'!$I$5,"да","нет")</f>
        <v>нет</v>
      </c>
    </row>
    <row r="1701" spans="1:14" x14ac:dyDescent="0.35">
      <c r="A1701">
        <v>31091</v>
      </c>
      <c r="B1701" t="s">
        <v>1091</v>
      </c>
      <c r="C1701" t="s">
        <v>1112</v>
      </c>
      <c r="D1701" s="2">
        <v>681</v>
      </c>
      <c r="E1701" s="2">
        <v>22949</v>
      </c>
      <c r="F1701" s="3">
        <v>9.5</v>
      </c>
      <c r="G1701" s="3">
        <v>331</v>
      </c>
      <c r="H1701" s="3">
        <v>51.4</v>
      </c>
      <c r="I1701" s="3">
        <v>23.6</v>
      </c>
      <c r="J1701" s="3">
        <v>25.1</v>
      </c>
      <c r="K1701" s="3">
        <v>0</v>
      </c>
      <c r="L1701" s="3">
        <v>2.9</v>
      </c>
      <c r="M1701" t="str">
        <f>IF(acs2015_county_data[[#This Row],[PublicWork]]&gt;='Описательные характеристики'!$F$5,"да","нет")</f>
        <v>да</v>
      </c>
      <c r="N1701" t="str">
        <f>IF(acs2015_county_data[[#This Row],[Unemployment]]&gt;='Описательные характеристики'!$I$5,"да","нет")</f>
        <v>нет</v>
      </c>
    </row>
    <row r="1702" spans="1:14" x14ac:dyDescent="0.35">
      <c r="A1702">
        <v>31093</v>
      </c>
      <c r="B1702" t="s">
        <v>1091</v>
      </c>
      <c r="C1702" t="s">
        <v>147</v>
      </c>
      <c r="D1702" s="2">
        <v>6347</v>
      </c>
      <c r="E1702" s="2">
        <v>26658</v>
      </c>
      <c r="F1702" s="3">
        <v>11.4</v>
      </c>
      <c r="G1702" s="3">
        <v>3287</v>
      </c>
      <c r="H1702" s="3">
        <v>71.900000000000006</v>
      </c>
      <c r="I1702" s="3">
        <v>15.5</v>
      </c>
      <c r="J1702" s="3">
        <v>12.6</v>
      </c>
      <c r="K1702" s="3">
        <v>0.1</v>
      </c>
      <c r="L1702" s="3">
        <v>4</v>
      </c>
      <c r="M1702" t="str">
        <f>IF(acs2015_county_data[[#This Row],[PublicWork]]&gt;='Описательные характеристики'!$F$5,"да","нет")</f>
        <v>нет</v>
      </c>
      <c r="N1702" t="str">
        <f>IF(acs2015_county_data[[#This Row],[Unemployment]]&gt;='Описательные характеристики'!$I$5,"да","нет")</f>
        <v>нет</v>
      </c>
    </row>
    <row r="1703" spans="1:14" x14ac:dyDescent="0.35">
      <c r="A1703">
        <v>31095</v>
      </c>
      <c r="B1703" t="s">
        <v>1091</v>
      </c>
      <c r="C1703" t="s">
        <v>50</v>
      </c>
      <c r="D1703" s="2">
        <v>7433</v>
      </c>
      <c r="E1703" s="2">
        <v>25469</v>
      </c>
      <c r="F1703" s="3">
        <v>7.3</v>
      </c>
      <c r="G1703" s="3">
        <v>3734</v>
      </c>
      <c r="H1703" s="3">
        <v>71.8</v>
      </c>
      <c r="I1703" s="3">
        <v>12.1</v>
      </c>
      <c r="J1703" s="3">
        <v>15.8</v>
      </c>
      <c r="K1703" s="3">
        <v>0.3</v>
      </c>
      <c r="L1703" s="3">
        <v>4</v>
      </c>
      <c r="M1703" t="str">
        <f>IF(acs2015_county_data[[#This Row],[PublicWork]]&gt;='Описательные характеристики'!$F$5,"да","нет")</f>
        <v>нет</v>
      </c>
      <c r="N1703" t="str">
        <f>IF(acs2015_county_data[[#This Row],[Unemployment]]&gt;='Описательные характеристики'!$I$5,"да","нет")</f>
        <v>нет</v>
      </c>
    </row>
    <row r="1704" spans="1:14" x14ac:dyDescent="0.35">
      <c r="A1704">
        <v>31097</v>
      </c>
      <c r="B1704" t="s">
        <v>1091</v>
      </c>
      <c r="C1704" t="s">
        <v>150</v>
      </c>
      <c r="D1704" s="2">
        <v>5167</v>
      </c>
      <c r="E1704" s="2">
        <v>21488</v>
      </c>
      <c r="F1704" s="3">
        <v>6.4</v>
      </c>
      <c r="G1704" s="3">
        <v>2053</v>
      </c>
      <c r="H1704" s="3">
        <v>60.5</v>
      </c>
      <c r="I1704" s="3">
        <v>24.9</v>
      </c>
      <c r="J1704" s="3">
        <v>14.5</v>
      </c>
      <c r="K1704" s="3">
        <v>0.1</v>
      </c>
      <c r="L1704" s="3">
        <v>3.6</v>
      </c>
      <c r="M1704" t="str">
        <f>IF(acs2015_county_data[[#This Row],[PublicWork]]&gt;='Описательные характеристики'!$F$5,"да","нет")</f>
        <v>да</v>
      </c>
      <c r="N1704" t="str">
        <f>IF(acs2015_county_data[[#This Row],[Unemployment]]&gt;='Описательные характеристики'!$I$5,"да","нет")</f>
        <v>нет</v>
      </c>
    </row>
    <row r="1705" spans="1:14" x14ac:dyDescent="0.35">
      <c r="A1705">
        <v>31099</v>
      </c>
      <c r="B1705" t="s">
        <v>1091</v>
      </c>
      <c r="C1705" t="s">
        <v>1113</v>
      </c>
      <c r="D1705" s="2">
        <v>6549</v>
      </c>
      <c r="E1705" s="2">
        <v>27360</v>
      </c>
      <c r="F1705" s="3">
        <v>4.7</v>
      </c>
      <c r="G1705" s="3">
        <v>3478</v>
      </c>
      <c r="H1705" s="3">
        <v>78.599999999999994</v>
      </c>
      <c r="I1705" s="3">
        <v>11.9</v>
      </c>
      <c r="J1705" s="3">
        <v>8.9</v>
      </c>
      <c r="K1705" s="3">
        <v>0.5</v>
      </c>
      <c r="L1705" s="3">
        <v>3.8</v>
      </c>
      <c r="M1705" t="str">
        <f>IF(acs2015_county_data[[#This Row],[PublicWork]]&gt;='Описательные характеристики'!$F$5,"да","нет")</f>
        <v>нет</v>
      </c>
      <c r="N1705" t="str">
        <f>IF(acs2015_county_data[[#This Row],[Unemployment]]&gt;='Описательные характеристики'!$I$5,"да","нет")</f>
        <v>нет</v>
      </c>
    </row>
    <row r="1706" spans="1:14" x14ac:dyDescent="0.35">
      <c r="A1706">
        <v>31101</v>
      </c>
      <c r="B1706" t="s">
        <v>1091</v>
      </c>
      <c r="C1706" t="s">
        <v>1114</v>
      </c>
      <c r="D1706" s="2">
        <v>8146</v>
      </c>
      <c r="E1706" s="2">
        <v>26422</v>
      </c>
      <c r="F1706" s="3">
        <v>5.4</v>
      </c>
      <c r="G1706" s="3">
        <v>4116</v>
      </c>
      <c r="H1706" s="3">
        <v>74.2</v>
      </c>
      <c r="I1706" s="3">
        <v>14.5</v>
      </c>
      <c r="J1706" s="3">
        <v>10.8</v>
      </c>
      <c r="K1706" s="3">
        <v>0.4</v>
      </c>
      <c r="L1706" s="3">
        <v>2.8</v>
      </c>
      <c r="M1706" t="str">
        <f>IF(acs2015_county_data[[#This Row],[PublicWork]]&gt;='Описательные характеристики'!$F$5,"да","нет")</f>
        <v>нет</v>
      </c>
      <c r="N1706" t="str">
        <f>IF(acs2015_county_data[[#This Row],[Unemployment]]&gt;='Описательные характеристики'!$I$5,"да","нет")</f>
        <v>нет</v>
      </c>
    </row>
    <row r="1707" spans="1:14" x14ac:dyDescent="0.35">
      <c r="A1707">
        <v>31103</v>
      </c>
      <c r="B1707" t="s">
        <v>1091</v>
      </c>
      <c r="C1707" t="s">
        <v>1115</v>
      </c>
      <c r="D1707" s="2">
        <v>711</v>
      </c>
      <c r="E1707" s="2">
        <v>26666</v>
      </c>
      <c r="F1707" s="3">
        <v>37.200000000000003</v>
      </c>
      <c r="G1707" s="3">
        <v>440</v>
      </c>
      <c r="H1707" s="3">
        <v>48</v>
      </c>
      <c r="I1707" s="3">
        <v>16.600000000000001</v>
      </c>
      <c r="J1707" s="3">
        <v>34.299999999999997</v>
      </c>
      <c r="K1707" s="3">
        <v>1.1000000000000001</v>
      </c>
      <c r="L1707" s="3">
        <v>1.1000000000000001</v>
      </c>
      <c r="M1707" t="str">
        <f>IF(acs2015_county_data[[#This Row],[PublicWork]]&gt;='Описательные характеристики'!$F$5,"да","нет")</f>
        <v>да</v>
      </c>
      <c r="N1707" t="str">
        <f>IF(acs2015_county_data[[#This Row],[Unemployment]]&gt;='Описательные характеристики'!$I$5,"да","нет")</f>
        <v>нет</v>
      </c>
    </row>
    <row r="1708" spans="1:14" x14ac:dyDescent="0.35">
      <c r="A1708">
        <v>31105</v>
      </c>
      <c r="B1708" t="s">
        <v>1091</v>
      </c>
      <c r="C1708" t="s">
        <v>1116</v>
      </c>
      <c r="D1708" s="2">
        <v>3720</v>
      </c>
      <c r="E1708" s="2">
        <v>24255</v>
      </c>
      <c r="F1708" s="3">
        <v>4.7</v>
      </c>
      <c r="G1708" s="3">
        <v>1658</v>
      </c>
      <c r="H1708" s="3">
        <v>68.2</v>
      </c>
      <c r="I1708" s="3">
        <v>16.899999999999999</v>
      </c>
      <c r="J1708" s="3">
        <v>14.9</v>
      </c>
      <c r="K1708" s="3">
        <v>0</v>
      </c>
      <c r="L1708" s="3">
        <v>5.0999999999999996</v>
      </c>
      <c r="M1708" t="str">
        <f>IF(acs2015_county_data[[#This Row],[PublicWork]]&gt;='Описательные характеристики'!$F$5,"да","нет")</f>
        <v>да</v>
      </c>
      <c r="N1708" t="str">
        <f>IF(acs2015_county_data[[#This Row],[Unemployment]]&gt;='Описательные характеристики'!$I$5,"да","нет")</f>
        <v>нет</v>
      </c>
    </row>
    <row r="1709" spans="1:14" x14ac:dyDescent="0.35">
      <c r="A1709">
        <v>31107</v>
      </c>
      <c r="B1709" t="s">
        <v>1091</v>
      </c>
      <c r="C1709" t="s">
        <v>529</v>
      </c>
      <c r="D1709" s="2">
        <v>8556</v>
      </c>
      <c r="E1709" s="2">
        <v>26560</v>
      </c>
      <c r="F1709" s="3">
        <v>7.5</v>
      </c>
      <c r="G1709" s="3">
        <v>4277</v>
      </c>
      <c r="H1709" s="3">
        <v>61.9</v>
      </c>
      <c r="I1709" s="3">
        <v>19.7</v>
      </c>
      <c r="J1709" s="3">
        <v>17.899999999999999</v>
      </c>
      <c r="K1709" s="3">
        <v>0.4</v>
      </c>
      <c r="L1709" s="3">
        <v>3.3</v>
      </c>
      <c r="M1709" t="str">
        <f>IF(acs2015_county_data[[#This Row],[PublicWork]]&gt;='Описательные характеристики'!$F$5,"да","нет")</f>
        <v>да</v>
      </c>
      <c r="N1709" t="str">
        <f>IF(acs2015_county_data[[#This Row],[Unemployment]]&gt;='Описательные характеристики'!$I$5,"да","нет")</f>
        <v>нет</v>
      </c>
    </row>
    <row r="1710" spans="1:14" x14ac:dyDescent="0.35">
      <c r="A1710">
        <v>31109</v>
      </c>
      <c r="B1710" t="s">
        <v>1091</v>
      </c>
      <c r="C1710" t="s">
        <v>1117</v>
      </c>
      <c r="D1710" s="2">
        <v>298080</v>
      </c>
      <c r="E1710" s="2">
        <v>27764</v>
      </c>
      <c r="F1710" s="3">
        <v>3.4</v>
      </c>
      <c r="G1710" s="3">
        <v>160866</v>
      </c>
      <c r="H1710" s="3">
        <v>76.8</v>
      </c>
      <c r="I1710" s="3">
        <v>18.399999999999999</v>
      </c>
      <c r="J1710" s="3">
        <v>4.5999999999999996</v>
      </c>
      <c r="K1710" s="3">
        <v>0.1</v>
      </c>
      <c r="L1710" s="3">
        <v>5.0999999999999996</v>
      </c>
      <c r="M1710" t="str">
        <f>IF(acs2015_county_data[[#This Row],[PublicWork]]&gt;='Описательные характеристики'!$F$5,"да","нет")</f>
        <v>да</v>
      </c>
      <c r="N1710" t="str">
        <f>IF(acs2015_county_data[[#This Row],[Unemployment]]&gt;='Описательные характеристики'!$I$5,"да","нет")</f>
        <v>нет</v>
      </c>
    </row>
    <row r="1711" spans="1:14" x14ac:dyDescent="0.35">
      <c r="A1711">
        <v>31111</v>
      </c>
      <c r="B1711" t="s">
        <v>1091</v>
      </c>
      <c r="C1711" t="s">
        <v>152</v>
      </c>
      <c r="D1711" s="2">
        <v>35896</v>
      </c>
      <c r="E1711" s="2">
        <v>27056</v>
      </c>
      <c r="F1711" s="3">
        <v>4.5</v>
      </c>
      <c r="G1711" s="3">
        <v>17360</v>
      </c>
      <c r="H1711" s="3">
        <v>78.5</v>
      </c>
      <c r="I1711" s="3">
        <v>14.6</v>
      </c>
      <c r="J1711" s="3">
        <v>6.7</v>
      </c>
      <c r="K1711" s="3">
        <v>0.2</v>
      </c>
      <c r="L1711" s="3">
        <v>4.2</v>
      </c>
      <c r="M1711" t="str">
        <f>IF(acs2015_county_data[[#This Row],[PublicWork]]&gt;='Описательные характеристики'!$F$5,"да","нет")</f>
        <v>нет</v>
      </c>
      <c r="N1711" t="str">
        <f>IF(acs2015_county_data[[#This Row],[Unemployment]]&gt;='Описательные характеристики'!$I$5,"да","нет")</f>
        <v>нет</v>
      </c>
    </row>
    <row r="1712" spans="1:14" x14ac:dyDescent="0.35">
      <c r="A1712">
        <v>31113</v>
      </c>
      <c r="B1712" t="s">
        <v>1091</v>
      </c>
      <c r="C1712" t="s">
        <v>154</v>
      </c>
      <c r="D1712" s="2">
        <v>851</v>
      </c>
      <c r="E1712" s="2">
        <v>25920</v>
      </c>
      <c r="F1712" s="3">
        <v>23</v>
      </c>
      <c r="G1712" s="3">
        <v>449</v>
      </c>
      <c r="H1712" s="3">
        <v>73.3</v>
      </c>
      <c r="I1712" s="3">
        <v>14</v>
      </c>
      <c r="J1712" s="3">
        <v>11.6</v>
      </c>
      <c r="K1712" s="3">
        <v>1.1000000000000001</v>
      </c>
      <c r="L1712" s="3">
        <v>0.9</v>
      </c>
      <c r="M1712" t="str">
        <f>IF(acs2015_county_data[[#This Row],[PublicWork]]&gt;='Описательные характеристики'!$F$5,"да","нет")</f>
        <v>нет</v>
      </c>
      <c r="N1712" t="str">
        <f>IF(acs2015_county_data[[#This Row],[Unemployment]]&gt;='Описательные характеристики'!$I$5,"да","нет")</f>
        <v>нет</v>
      </c>
    </row>
    <row r="1713" spans="1:14" x14ac:dyDescent="0.35">
      <c r="A1713">
        <v>31115</v>
      </c>
      <c r="B1713" t="s">
        <v>1091</v>
      </c>
      <c r="C1713" t="s">
        <v>1118</v>
      </c>
      <c r="D1713" s="2">
        <v>548</v>
      </c>
      <c r="E1713" s="2">
        <v>27794</v>
      </c>
      <c r="F1713" s="3">
        <v>22.4</v>
      </c>
      <c r="G1713" s="3">
        <v>297</v>
      </c>
      <c r="H1713" s="3">
        <v>51.2</v>
      </c>
      <c r="I1713" s="3">
        <v>19.5</v>
      </c>
      <c r="J1713" s="3">
        <v>29.3</v>
      </c>
      <c r="K1713" s="3">
        <v>0</v>
      </c>
      <c r="L1713" s="3">
        <v>0.7</v>
      </c>
      <c r="M1713" t="str">
        <f>IF(acs2015_county_data[[#This Row],[PublicWork]]&gt;='Описательные характеристики'!$F$5,"да","нет")</f>
        <v>да</v>
      </c>
      <c r="N1713" t="str">
        <f>IF(acs2015_county_data[[#This Row],[Unemployment]]&gt;='Описательные характеристики'!$I$5,"да","нет")</f>
        <v>нет</v>
      </c>
    </row>
    <row r="1714" spans="1:14" x14ac:dyDescent="0.35">
      <c r="A1714">
        <v>31117</v>
      </c>
      <c r="B1714" t="s">
        <v>1091</v>
      </c>
      <c r="C1714" t="s">
        <v>674</v>
      </c>
      <c r="D1714" s="2">
        <v>433</v>
      </c>
      <c r="E1714" s="2">
        <v>27364</v>
      </c>
      <c r="F1714" s="3">
        <v>22.6</v>
      </c>
      <c r="G1714" s="3">
        <v>222</v>
      </c>
      <c r="H1714" s="3">
        <v>69.400000000000006</v>
      </c>
      <c r="I1714" s="3">
        <v>5.9</v>
      </c>
      <c r="J1714" s="3">
        <v>23.9</v>
      </c>
      <c r="K1714" s="3">
        <v>0.9</v>
      </c>
      <c r="L1714" s="3">
        <v>0.9</v>
      </c>
      <c r="M1714" t="str">
        <f>IF(acs2015_county_data[[#This Row],[PublicWork]]&gt;='Описательные характеристики'!$F$5,"да","нет")</f>
        <v>нет</v>
      </c>
      <c r="N1714" t="str">
        <f>IF(acs2015_county_data[[#This Row],[Unemployment]]&gt;='Описательные характеристики'!$I$5,"да","нет")</f>
        <v>нет</v>
      </c>
    </row>
    <row r="1715" spans="1:14" x14ac:dyDescent="0.35">
      <c r="A1715">
        <v>31119</v>
      </c>
      <c r="B1715" t="s">
        <v>1091</v>
      </c>
      <c r="C1715" t="s">
        <v>57</v>
      </c>
      <c r="D1715" s="2">
        <v>35111</v>
      </c>
      <c r="E1715" s="2">
        <v>26083</v>
      </c>
      <c r="F1715" s="3">
        <v>3.4</v>
      </c>
      <c r="G1715" s="3">
        <v>18727</v>
      </c>
      <c r="H1715" s="3">
        <v>80.599999999999994</v>
      </c>
      <c r="I1715" s="3">
        <v>12</v>
      </c>
      <c r="J1715" s="3">
        <v>7.2</v>
      </c>
      <c r="K1715" s="3">
        <v>0.1</v>
      </c>
      <c r="L1715" s="3">
        <v>3.1</v>
      </c>
      <c r="M1715" t="str">
        <f>IF(acs2015_county_data[[#This Row],[PublicWork]]&gt;='Описательные характеристики'!$F$5,"да","нет")</f>
        <v>нет</v>
      </c>
      <c r="N1715" t="str">
        <f>IF(acs2015_county_data[[#This Row],[Unemployment]]&gt;='Описательные характеристики'!$I$5,"да","нет")</f>
        <v>нет</v>
      </c>
    </row>
    <row r="1716" spans="1:14" x14ac:dyDescent="0.35">
      <c r="A1716">
        <v>31121</v>
      </c>
      <c r="B1716" t="s">
        <v>1091</v>
      </c>
      <c r="C1716" t="s">
        <v>1119</v>
      </c>
      <c r="D1716" s="2">
        <v>7776</v>
      </c>
      <c r="E1716" s="2">
        <v>26136</v>
      </c>
      <c r="F1716" s="3">
        <v>7.8</v>
      </c>
      <c r="G1716" s="3">
        <v>4177</v>
      </c>
      <c r="H1716" s="3">
        <v>75.400000000000006</v>
      </c>
      <c r="I1716" s="3">
        <v>11.2</v>
      </c>
      <c r="J1716" s="3">
        <v>13.1</v>
      </c>
      <c r="K1716" s="3">
        <v>0.2</v>
      </c>
      <c r="L1716" s="3">
        <v>5.2</v>
      </c>
      <c r="M1716" t="str">
        <f>IF(acs2015_county_data[[#This Row],[PublicWork]]&gt;='Описательные характеристики'!$F$5,"да","нет")</f>
        <v>нет</v>
      </c>
      <c r="N1716" t="str">
        <f>IF(acs2015_county_data[[#This Row],[Unemployment]]&gt;='Описательные характеристики'!$I$5,"да","нет")</f>
        <v>нет</v>
      </c>
    </row>
    <row r="1717" spans="1:14" x14ac:dyDescent="0.35">
      <c r="A1717">
        <v>31123</v>
      </c>
      <c r="B1717" t="s">
        <v>1091</v>
      </c>
      <c r="C1717" t="s">
        <v>1120</v>
      </c>
      <c r="D1717" s="2">
        <v>4874</v>
      </c>
      <c r="E1717" s="2">
        <v>24869</v>
      </c>
      <c r="F1717" s="3">
        <v>7.9</v>
      </c>
      <c r="G1717" s="3">
        <v>2451</v>
      </c>
      <c r="H1717" s="3">
        <v>67.2</v>
      </c>
      <c r="I1717" s="3">
        <v>20.8</v>
      </c>
      <c r="J1717" s="3">
        <v>11.8</v>
      </c>
      <c r="K1717" s="3">
        <v>0.2</v>
      </c>
      <c r="L1717" s="3">
        <v>4</v>
      </c>
      <c r="M1717" t="str">
        <f>IF(acs2015_county_data[[#This Row],[PublicWork]]&gt;='Описательные характеристики'!$F$5,"да","нет")</f>
        <v>да</v>
      </c>
      <c r="N1717" t="str">
        <f>IF(acs2015_county_data[[#This Row],[Unemployment]]&gt;='Описательные характеристики'!$I$5,"да","нет")</f>
        <v>нет</v>
      </c>
    </row>
    <row r="1718" spans="1:14" x14ac:dyDescent="0.35">
      <c r="A1718">
        <v>31125</v>
      </c>
      <c r="B1718" t="s">
        <v>1091</v>
      </c>
      <c r="C1718" t="s">
        <v>1121</v>
      </c>
      <c r="D1718" s="2">
        <v>3639</v>
      </c>
      <c r="E1718" s="2">
        <v>25479</v>
      </c>
      <c r="F1718" s="3">
        <v>6.8</v>
      </c>
      <c r="G1718" s="3">
        <v>1784</v>
      </c>
      <c r="H1718" s="3">
        <v>66.900000000000006</v>
      </c>
      <c r="I1718" s="3">
        <v>16.7</v>
      </c>
      <c r="J1718" s="3">
        <v>14.9</v>
      </c>
      <c r="K1718" s="3">
        <v>1.5</v>
      </c>
      <c r="L1718" s="3">
        <v>3.2</v>
      </c>
      <c r="M1718" t="str">
        <f>IF(acs2015_county_data[[#This Row],[PublicWork]]&gt;='Описательные характеристики'!$F$5,"да","нет")</f>
        <v>да</v>
      </c>
      <c r="N1718" t="str">
        <f>IF(acs2015_county_data[[#This Row],[Unemployment]]&gt;='Описательные характеристики'!$I$5,"да","нет")</f>
        <v>нет</v>
      </c>
    </row>
    <row r="1719" spans="1:14" x14ac:dyDescent="0.35">
      <c r="A1719">
        <v>31127</v>
      </c>
      <c r="B1719" t="s">
        <v>1091</v>
      </c>
      <c r="C1719" t="s">
        <v>678</v>
      </c>
      <c r="D1719" s="2">
        <v>7168</v>
      </c>
      <c r="E1719" s="2">
        <v>27087</v>
      </c>
      <c r="F1719" s="3">
        <v>4.9000000000000004</v>
      </c>
      <c r="G1719" s="3">
        <v>3481</v>
      </c>
      <c r="H1719" s="3">
        <v>62.3</v>
      </c>
      <c r="I1719" s="3">
        <v>27</v>
      </c>
      <c r="J1719" s="3">
        <v>10.6</v>
      </c>
      <c r="K1719" s="3">
        <v>0.1</v>
      </c>
      <c r="L1719" s="3">
        <v>8</v>
      </c>
      <c r="M1719" t="str">
        <f>IF(acs2015_county_data[[#This Row],[PublicWork]]&gt;='Описательные характеристики'!$F$5,"да","нет")</f>
        <v>да</v>
      </c>
      <c r="N1719" t="str">
        <f>IF(acs2015_county_data[[#This Row],[Unemployment]]&gt;='Описательные характеристики'!$I$5,"да","нет")</f>
        <v>да</v>
      </c>
    </row>
    <row r="1720" spans="1:14" x14ac:dyDescent="0.35">
      <c r="A1720">
        <v>31129</v>
      </c>
      <c r="B1720" t="s">
        <v>1091</v>
      </c>
      <c r="C1720" t="s">
        <v>1122</v>
      </c>
      <c r="D1720" s="2">
        <v>4391</v>
      </c>
      <c r="E1720" s="2">
        <v>24447</v>
      </c>
      <c r="F1720" s="3">
        <v>9.6999999999999993</v>
      </c>
      <c r="G1720" s="3">
        <v>2219</v>
      </c>
      <c r="H1720" s="3">
        <v>65.3</v>
      </c>
      <c r="I1720" s="3">
        <v>17.5</v>
      </c>
      <c r="J1720" s="3">
        <v>16.2</v>
      </c>
      <c r="K1720" s="3">
        <v>1</v>
      </c>
      <c r="L1720" s="3">
        <v>2.9</v>
      </c>
      <c r="M1720" t="str">
        <f>IF(acs2015_county_data[[#This Row],[PublicWork]]&gt;='Описательные характеристики'!$F$5,"да","нет")</f>
        <v>да</v>
      </c>
      <c r="N1720" t="str">
        <f>IF(acs2015_county_data[[#This Row],[Unemployment]]&gt;='Описательные характеристики'!$I$5,"да","нет")</f>
        <v>нет</v>
      </c>
    </row>
    <row r="1721" spans="1:14" x14ac:dyDescent="0.35">
      <c r="A1721">
        <v>31131</v>
      </c>
      <c r="B1721" t="s">
        <v>1091</v>
      </c>
      <c r="C1721" t="s">
        <v>1123</v>
      </c>
      <c r="D1721" s="2">
        <v>15842</v>
      </c>
      <c r="E1721" s="2">
        <v>26032</v>
      </c>
      <c r="F1721" s="3">
        <v>3.9</v>
      </c>
      <c r="G1721" s="3">
        <v>8225</v>
      </c>
      <c r="H1721" s="3">
        <v>75.5</v>
      </c>
      <c r="I1721" s="3">
        <v>15.9</v>
      </c>
      <c r="J1721" s="3">
        <v>8.4</v>
      </c>
      <c r="K1721" s="3">
        <v>0.1</v>
      </c>
      <c r="L1721" s="3">
        <v>4.5999999999999996</v>
      </c>
      <c r="M1721" t="str">
        <f>IF(acs2015_county_data[[#This Row],[PublicWork]]&gt;='Описательные характеристики'!$F$5,"да","нет")</f>
        <v>нет</v>
      </c>
      <c r="N1721" t="str">
        <f>IF(acs2015_county_data[[#This Row],[Unemployment]]&gt;='Описательные характеристики'!$I$5,"да","нет")</f>
        <v>нет</v>
      </c>
    </row>
    <row r="1722" spans="1:14" x14ac:dyDescent="0.35">
      <c r="A1722">
        <v>31133</v>
      </c>
      <c r="B1722" t="s">
        <v>1091</v>
      </c>
      <c r="C1722" t="s">
        <v>685</v>
      </c>
      <c r="D1722" s="2">
        <v>2726</v>
      </c>
      <c r="E1722" s="2">
        <v>29030</v>
      </c>
      <c r="F1722" s="3">
        <v>13.5</v>
      </c>
      <c r="G1722" s="3">
        <v>1265</v>
      </c>
      <c r="H1722" s="3">
        <v>51.9</v>
      </c>
      <c r="I1722" s="3">
        <v>22.4</v>
      </c>
      <c r="J1722" s="3">
        <v>25.1</v>
      </c>
      <c r="K1722" s="3">
        <v>0.6</v>
      </c>
      <c r="L1722" s="3">
        <v>4.5999999999999996</v>
      </c>
      <c r="M1722" t="str">
        <f>IF(acs2015_county_data[[#This Row],[PublicWork]]&gt;='Описательные характеристики'!$F$5,"да","нет")</f>
        <v>да</v>
      </c>
      <c r="N1722" t="str">
        <f>IF(acs2015_county_data[[#This Row],[Unemployment]]&gt;='Описательные характеристики'!$I$5,"да","нет")</f>
        <v>нет</v>
      </c>
    </row>
    <row r="1723" spans="1:14" x14ac:dyDescent="0.35">
      <c r="A1723">
        <v>31135</v>
      </c>
      <c r="B1723" t="s">
        <v>1091</v>
      </c>
      <c r="C1723" t="s">
        <v>1124</v>
      </c>
      <c r="D1723" s="2">
        <v>2924</v>
      </c>
      <c r="E1723" s="2">
        <v>29171</v>
      </c>
      <c r="F1723" s="3">
        <v>12.7</v>
      </c>
      <c r="G1723" s="3">
        <v>1499</v>
      </c>
      <c r="H1723" s="3">
        <v>59</v>
      </c>
      <c r="I1723" s="3">
        <v>21.7</v>
      </c>
      <c r="J1723" s="3">
        <v>18.7</v>
      </c>
      <c r="K1723" s="3">
        <v>0.7</v>
      </c>
      <c r="L1723" s="3">
        <v>1.7</v>
      </c>
      <c r="M1723" t="str">
        <f>IF(acs2015_county_data[[#This Row],[PublicWork]]&gt;='Описательные характеристики'!$F$5,"да","нет")</f>
        <v>да</v>
      </c>
      <c r="N1723" t="str">
        <f>IF(acs2015_county_data[[#This Row],[Unemployment]]&gt;='Описательные характеристики'!$I$5,"да","нет")</f>
        <v>нет</v>
      </c>
    </row>
    <row r="1724" spans="1:14" x14ac:dyDescent="0.35">
      <c r="A1724">
        <v>31137</v>
      </c>
      <c r="B1724" t="s">
        <v>1091</v>
      </c>
      <c r="C1724" t="s">
        <v>1040</v>
      </c>
      <c r="D1724" s="2">
        <v>9216</v>
      </c>
      <c r="E1724" s="2">
        <v>26697</v>
      </c>
      <c r="F1724" s="3">
        <v>4.7</v>
      </c>
      <c r="G1724" s="3">
        <v>4641</v>
      </c>
      <c r="H1724" s="3">
        <v>75.099999999999994</v>
      </c>
      <c r="I1724" s="3">
        <v>12.1</v>
      </c>
      <c r="J1724" s="3">
        <v>12.3</v>
      </c>
      <c r="K1724" s="3">
        <v>0.5</v>
      </c>
      <c r="L1724" s="3">
        <v>1.7</v>
      </c>
      <c r="M1724" t="str">
        <f>IF(acs2015_county_data[[#This Row],[PublicWork]]&gt;='Описательные характеристики'!$F$5,"да","нет")</f>
        <v>нет</v>
      </c>
      <c r="N1724" t="str">
        <f>IF(acs2015_county_data[[#This Row],[Unemployment]]&gt;='Описательные характеристики'!$I$5,"да","нет")</f>
        <v>нет</v>
      </c>
    </row>
    <row r="1725" spans="1:14" x14ac:dyDescent="0.35">
      <c r="A1725">
        <v>31139</v>
      </c>
      <c r="B1725" t="s">
        <v>1091</v>
      </c>
      <c r="C1725" t="s">
        <v>430</v>
      </c>
      <c r="D1725" s="2">
        <v>7184</v>
      </c>
      <c r="E1725" s="2">
        <v>26668</v>
      </c>
      <c r="F1725" s="3">
        <v>8.6</v>
      </c>
      <c r="G1725" s="3">
        <v>3663</v>
      </c>
      <c r="H1725" s="3">
        <v>73.599999999999994</v>
      </c>
      <c r="I1725" s="3">
        <v>13.4</v>
      </c>
      <c r="J1725" s="3">
        <v>12.5</v>
      </c>
      <c r="K1725" s="3">
        <v>0.5</v>
      </c>
      <c r="L1725" s="3">
        <v>4.7</v>
      </c>
      <c r="M1725" t="str">
        <f>IF(acs2015_county_data[[#This Row],[PublicWork]]&gt;='Описательные характеристики'!$F$5,"да","нет")</f>
        <v>нет</v>
      </c>
      <c r="N1725" t="str">
        <f>IF(acs2015_county_data[[#This Row],[Unemployment]]&gt;='Описательные характеристики'!$I$5,"да","нет")</f>
        <v>нет</v>
      </c>
    </row>
    <row r="1726" spans="1:14" x14ac:dyDescent="0.35">
      <c r="A1726">
        <v>31141</v>
      </c>
      <c r="B1726" t="s">
        <v>1091</v>
      </c>
      <c r="C1726" t="s">
        <v>1041</v>
      </c>
      <c r="D1726" s="2">
        <v>32642</v>
      </c>
      <c r="E1726" s="2">
        <v>25869</v>
      </c>
      <c r="F1726" s="3">
        <v>3.7</v>
      </c>
      <c r="G1726" s="3">
        <v>17701</v>
      </c>
      <c r="H1726" s="3">
        <v>82.2</v>
      </c>
      <c r="I1726" s="3">
        <v>11.7</v>
      </c>
      <c r="J1726" s="3">
        <v>5.9</v>
      </c>
      <c r="K1726" s="3">
        <v>0.2</v>
      </c>
      <c r="L1726" s="3">
        <v>4.5</v>
      </c>
      <c r="M1726" t="str">
        <f>IF(acs2015_county_data[[#This Row],[PublicWork]]&gt;='Описательные характеристики'!$F$5,"да","нет")</f>
        <v>нет</v>
      </c>
      <c r="N1726" t="str">
        <f>IF(acs2015_county_data[[#This Row],[Unemployment]]&gt;='Описательные характеристики'!$I$5,"да","нет")</f>
        <v>нет</v>
      </c>
    </row>
    <row r="1727" spans="1:14" x14ac:dyDescent="0.35">
      <c r="A1727">
        <v>31143</v>
      </c>
      <c r="B1727" t="s">
        <v>1091</v>
      </c>
      <c r="C1727" t="s">
        <v>164</v>
      </c>
      <c r="D1727" s="2">
        <v>5271</v>
      </c>
      <c r="E1727" s="2">
        <v>30428</v>
      </c>
      <c r="F1727" s="3">
        <v>8.1</v>
      </c>
      <c r="G1727" s="3">
        <v>2843</v>
      </c>
      <c r="H1727" s="3">
        <v>70.400000000000006</v>
      </c>
      <c r="I1727" s="3">
        <v>14.8</v>
      </c>
      <c r="J1727" s="3">
        <v>14.2</v>
      </c>
      <c r="K1727" s="3">
        <v>0.5</v>
      </c>
      <c r="L1727" s="3">
        <v>1.9</v>
      </c>
      <c r="M1727" t="str">
        <f>IF(acs2015_county_data[[#This Row],[PublicWork]]&gt;='Описательные характеристики'!$F$5,"да","нет")</f>
        <v>нет</v>
      </c>
      <c r="N1727" t="str">
        <f>IF(acs2015_county_data[[#This Row],[Unemployment]]&gt;='Описательные характеристики'!$I$5,"да","нет")</f>
        <v>нет</v>
      </c>
    </row>
    <row r="1728" spans="1:14" x14ac:dyDescent="0.35">
      <c r="A1728">
        <v>31145</v>
      </c>
      <c r="B1728" t="s">
        <v>1091</v>
      </c>
      <c r="C1728" t="s">
        <v>1125</v>
      </c>
      <c r="D1728" s="2">
        <v>10946</v>
      </c>
      <c r="E1728" s="2">
        <v>23387</v>
      </c>
      <c r="F1728" s="3">
        <v>8.4</v>
      </c>
      <c r="G1728" s="3">
        <v>5714</v>
      </c>
      <c r="H1728" s="3">
        <v>72.7</v>
      </c>
      <c r="I1728" s="3">
        <v>15.8</v>
      </c>
      <c r="J1728" s="3">
        <v>11.2</v>
      </c>
      <c r="K1728" s="3">
        <v>0.3</v>
      </c>
      <c r="L1728" s="3">
        <v>4.0999999999999996</v>
      </c>
      <c r="M1728" t="str">
        <f>IF(acs2015_county_data[[#This Row],[PublicWork]]&gt;='Описательные характеристики'!$F$5,"да","нет")</f>
        <v>нет</v>
      </c>
      <c r="N1728" t="str">
        <f>IF(acs2015_county_data[[#This Row],[Unemployment]]&gt;='Описательные характеристики'!$I$5,"да","нет")</f>
        <v>нет</v>
      </c>
    </row>
    <row r="1729" spans="1:14" x14ac:dyDescent="0.35">
      <c r="A1729">
        <v>31147</v>
      </c>
      <c r="B1729" t="s">
        <v>1091</v>
      </c>
      <c r="C1729" t="s">
        <v>1126</v>
      </c>
      <c r="D1729" s="2">
        <v>8201</v>
      </c>
      <c r="E1729" s="2">
        <v>25358</v>
      </c>
      <c r="F1729" s="3">
        <v>7.5</v>
      </c>
      <c r="G1729" s="3">
        <v>4000</v>
      </c>
      <c r="H1729" s="3">
        <v>70.5</v>
      </c>
      <c r="I1729" s="3">
        <v>18.2</v>
      </c>
      <c r="J1729" s="3">
        <v>11.1</v>
      </c>
      <c r="K1729" s="3">
        <v>0.2</v>
      </c>
      <c r="L1729" s="3">
        <v>3.4</v>
      </c>
      <c r="M1729" t="str">
        <f>IF(acs2015_county_data[[#This Row],[PublicWork]]&gt;='Описательные характеристики'!$F$5,"да","нет")</f>
        <v>да</v>
      </c>
      <c r="N1729" t="str">
        <f>IF(acs2015_county_data[[#This Row],[Unemployment]]&gt;='Описательные характеристики'!$I$5,"да","нет")</f>
        <v>нет</v>
      </c>
    </row>
    <row r="1730" spans="1:14" x14ac:dyDescent="0.35">
      <c r="A1730">
        <v>31149</v>
      </c>
      <c r="B1730" t="s">
        <v>1091</v>
      </c>
      <c r="C1730" t="s">
        <v>962</v>
      </c>
      <c r="D1730" s="2">
        <v>1401</v>
      </c>
      <c r="E1730" s="2">
        <v>29205</v>
      </c>
      <c r="F1730" s="3">
        <v>13.6</v>
      </c>
      <c r="G1730" s="3">
        <v>765</v>
      </c>
      <c r="H1730" s="3">
        <v>60.5</v>
      </c>
      <c r="I1730" s="3">
        <v>14.4</v>
      </c>
      <c r="J1730" s="3">
        <v>24.1</v>
      </c>
      <c r="K1730" s="3">
        <v>1</v>
      </c>
      <c r="L1730" s="3">
        <v>1.7</v>
      </c>
      <c r="M1730" t="str">
        <f>IF(acs2015_county_data[[#This Row],[PublicWork]]&gt;='Описательные характеристики'!$F$5,"да","нет")</f>
        <v>нет</v>
      </c>
      <c r="N1730" t="str">
        <f>IF(acs2015_county_data[[#This Row],[Unemployment]]&gt;='Описательные характеристики'!$I$5,"да","нет")</f>
        <v>нет</v>
      </c>
    </row>
    <row r="1731" spans="1:14" x14ac:dyDescent="0.35">
      <c r="A1731">
        <v>31151</v>
      </c>
      <c r="B1731" t="s">
        <v>1091</v>
      </c>
      <c r="C1731" t="s">
        <v>168</v>
      </c>
      <c r="D1731" s="2">
        <v>14360</v>
      </c>
      <c r="E1731" s="2">
        <v>21955</v>
      </c>
      <c r="F1731" s="3">
        <v>3.5</v>
      </c>
      <c r="G1731" s="3">
        <v>7130</v>
      </c>
      <c r="H1731" s="3">
        <v>77.8</v>
      </c>
      <c r="I1731" s="3">
        <v>13.1</v>
      </c>
      <c r="J1731" s="3">
        <v>8.6</v>
      </c>
      <c r="K1731" s="3">
        <v>0.5</v>
      </c>
      <c r="L1731" s="3">
        <v>3.4</v>
      </c>
      <c r="M1731" t="str">
        <f>IF(acs2015_county_data[[#This Row],[PublicWork]]&gt;='Описательные характеристики'!$F$5,"да","нет")</f>
        <v>нет</v>
      </c>
      <c r="N1731" t="str">
        <f>IF(acs2015_county_data[[#This Row],[Unemployment]]&gt;='Описательные характеристики'!$I$5,"да","нет")</f>
        <v>нет</v>
      </c>
    </row>
    <row r="1732" spans="1:14" x14ac:dyDescent="0.35">
      <c r="A1732">
        <v>31153</v>
      </c>
      <c r="B1732" t="s">
        <v>1091</v>
      </c>
      <c r="C1732" t="s">
        <v>1127</v>
      </c>
      <c r="D1732" s="2">
        <v>169192</v>
      </c>
      <c r="E1732" s="2">
        <v>30902</v>
      </c>
      <c r="F1732" s="3">
        <v>3.1</v>
      </c>
      <c r="G1732" s="3">
        <v>87645</v>
      </c>
      <c r="H1732" s="3">
        <v>80.099999999999994</v>
      </c>
      <c r="I1732" s="3">
        <v>15.8</v>
      </c>
      <c r="J1732" s="3">
        <v>4.0999999999999996</v>
      </c>
      <c r="K1732" s="3">
        <v>0.1</v>
      </c>
      <c r="L1732" s="3">
        <v>4.4000000000000004</v>
      </c>
      <c r="M1732" t="str">
        <f>IF(acs2015_county_data[[#This Row],[PublicWork]]&gt;='Описательные характеристики'!$F$5,"да","нет")</f>
        <v>нет</v>
      </c>
      <c r="N1732" t="str">
        <f>IF(acs2015_county_data[[#This Row],[Unemployment]]&gt;='Описательные характеристики'!$I$5,"да","нет")</f>
        <v>нет</v>
      </c>
    </row>
    <row r="1733" spans="1:14" x14ac:dyDescent="0.35">
      <c r="A1733">
        <v>31155</v>
      </c>
      <c r="B1733" t="s">
        <v>1091</v>
      </c>
      <c r="C1733" t="s">
        <v>1128</v>
      </c>
      <c r="D1733" s="2">
        <v>20913</v>
      </c>
      <c r="E1733" s="2">
        <v>29637</v>
      </c>
      <c r="F1733" s="3">
        <v>5.5</v>
      </c>
      <c r="G1733" s="3">
        <v>10624</v>
      </c>
      <c r="H1733" s="3">
        <v>75.599999999999994</v>
      </c>
      <c r="I1733" s="3">
        <v>15.6</v>
      </c>
      <c r="J1733" s="3">
        <v>8.4</v>
      </c>
      <c r="K1733" s="3">
        <v>0.4</v>
      </c>
      <c r="L1733" s="3">
        <v>3.5</v>
      </c>
      <c r="M1733" t="str">
        <f>IF(acs2015_county_data[[#This Row],[PublicWork]]&gt;='Описательные характеристики'!$F$5,"да","нет")</f>
        <v>нет</v>
      </c>
      <c r="N1733" t="str">
        <f>IF(acs2015_county_data[[#This Row],[Unemployment]]&gt;='Описательные характеристики'!$I$5,"да","нет")</f>
        <v>нет</v>
      </c>
    </row>
    <row r="1734" spans="1:14" x14ac:dyDescent="0.35">
      <c r="A1734">
        <v>31157</v>
      </c>
      <c r="B1734" t="s">
        <v>1091</v>
      </c>
      <c r="C1734" t="s">
        <v>1129</v>
      </c>
      <c r="D1734" s="2">
        <v>36684</v>
      </c>
      <c r="E1734" s="2">
        <v>25064</v>
      </c>
      <c r="F1734" s="3">
        <v>3.7</v>
      </c>
      <c r="G1734" s="3">
        <v>17970</v>
      </c>
      <c r="H1734" s="3">
        <v>79.7</v>
      </c>
      <c r="I1734" s="3">
        <v>12.9</v>
      </c>
      <c r="J1734" s="3">
        <v>7.2</v>
      </c>
      <c r="K1734" s="3">
        <v>0.2</v>
      </c>
      <c r="L1734" s="3">
        <v>5.5</v>
      </c>
      <c r="M1734" t="str">
        <f>IF(acs2015_county_data[[#This Row],[PublicWork]]&gt;='Описательные характеристики'!$F$5,"да","нет")</f>
        <v>нет</v>
      </c>
      <c r="N1734" t="str">
        <f>IF(acs2015_county_data[[#This Row],[Unemployment]]&gt;='Описательные характеристики'!$I$5,"да","нет")</f>
        <v>нет</v>
      </c>
    </row>
    <row r="1735" spans="1:14" x14ac:dyDescent="0.35">
      <c r="A1735">
        <v>31159</v>
      </c>
      <c r="B1735" t="s">
        <v>1091</v>
      </c>
      <c r="C1735" t="s">
        <v>694</v>
      </c>
      <c r="D1735" s="2">
        <v>16998</v>
      </c>
      <c r="E1735" s="2">
        <v>28124</v>
      </c>
      <c r="F1735" s="3">
        <v>5.4</v>
      </c>
      <c r="G1735" s="3">
        <v>8543</v>
      </c>
      <c r="H1735" s="3">
        <v>76.8</v>
      </c>
      <c r="I1735" s="3">
        <v>14</v>
      </c>
      <c r="J1735" s="3">
        <v>9</v>
      </c>
      <c r="K1735" s="3">
        <v>0.2</v>
      </c>
      <c r="L1735" s="3">
        <v>3.5</v>
      </c>
      <c r="M1735" t="str">
        <f>IF(acs2015_county_data[[#This Row],[PublicWork]]&gt;='Описательные характеристики'!$F$5,"да","нет")</f>
        <v>нет</v>
      </c>
      <c r="N1735" t="str">
        <f>IF(acs2015_county_data[[#This Row],[Unemployment]]&gt;='Описательные характеристики'!$I$5,"да","нет")</f>
        <v>нет</v>
      </c>
    </row>
    <row r="1736" spans="1:14" x14ac:dyDescent="0.35">
      <c r="A1736">
        <v>31161</v>
      </c>
      <c r="B1736" t="s">
        <v>1091</v>
      </c>
      <c r="C1736" t="s">
        <v>696</v>
      </c>
      <c r="D1736" s="2">
        <v>5294</v>
      </c>
      <c r="E1736" s="2">
        <v>23734</v>
      </c>
      <c r="F1736" s="3">
        <v>6.9</v>
      </c>
      <c r="G1736" s="3">
        <v>2564</v>
      </c>
      <c r="H1736" s="3">
        <v>64.400000000000006</v>
      </c>
      <c r="I1736" s="3">
        <v>20.8</v>
      </c>
      <c r="J1736" s="3">
        <v>14.4</v>
      </c>
      <c r="K1736" s="3">
        <v>0.5</v>
      </c>
      <c r="L1736" s="3">
        <v>1.4</v>
      </c>
      <c r="M1736" t="str">
        <f>IF(acs2015_county_data[[#This Row],[PublicWork]]&gt;='Описательные характеристики'!$F$5,"да","нет")</f>
        <v>да</v>
      </c>
      <c r="N1736" t="str">
        <f>IF(acs2015_county_data[[#This Row],[Unemployment]]&gt;='Описательные характеристики'!$I$5,"да","нет")</f>
        <v>нет</v>
      </c>
    </row>
    <row r="1737" spans="1:14" x14ac:dyDescent="0.35">
      <c r="A1737">
        <v>31163</v>
      </c>
      <c r="B1737" t="s">
        <v>1091</v>
      </c>
      <c r="C1737" t="s">
        <v>697</v>
      </c>
      <c r="D1737" s="2">
        <v>3107</v>
      </c>
      <c r="E1737" s="2">
        <v>26416</v>
      </c>
      <c r="F1737" s="3">
        <v>7.6</v>
      </c>
      <c r="G1737" s="3">
        <v>1569</v>
      </c>
      <c r="H1737" s="3">
        <v>67.599999999999994</v>
      </c>
      <c r="I1737" s="3">
        <v>13.3</v>
      </c>
      <c r="J1737" s="3">
        <v>19.100000000000001</v>
      </c>
      <c r="K1737" s="3">
        <v>0.1</v>
      </c>
      <c r="L1737" s="3">
        <v>3.1</v>
      </c>
      <c r="M1737" t="str">
        <f>IF(acs2015_county_data[[#This Row],[PublicWork]]&gt;='Описательные характеристики'!$F$5,"да","нет")</f>
        <v>нет</v>
      </c>
      <c r="N1737" t="str">
        <f>IF(acs2015_county_data[[#This Row],[Unemployment]]&gt;='Описательные характеристики'!$I$5,"да","нет")</f>
        <v>нет</v>
      </c>
    </row>
    <row r="1738" spans="1:14" x14ac:dyDescent="0.35">
      <c r="A1738">
        <v>31165</v>
      </c>
      <c r="B1738" t="s">
        <v>1091</v>
      </c>
      <c r="C1738" t="s">
        <v>636</v>
      </c>
      <c r="D1738" s="2">
        <v>1249</v>
      </c>
      <c r="E1738" s="2">
        <v>27216</v>
      </c>
      <c r="F1738" s="3">
        <v>12.7</v>
      </c>
      <c r="G1738" s="3">
        <v>662</v>
      </c>
      <c r="H1738" s="3">
        <v>62.1</v>
      </c>
      <c r="I1738" s="3">
        <v>17.7</v>
      </c>
      <c r="J1738" s="3">
        <v>20.2</v>
      </c>
      <c r="K1738" s="3">
        <v>0</v>
      </c>
      <c r="L1738" s="3">
        <v>1.3</v>
      </c>
      <c r="M1738" t="str">
        <f>IF(acs2015_county_data[[#This Row],[PublicWork]]&gt;='Описательные характеристики'!$F$5,"да","нет")</f>
        <v>да</v>
      </c>
      <c r="N1738" t="str">
        <f>IF(acs2015_county_data[[#This Row],[Unemployment]]&gt;='Описательные характеристики'!$I$5,"да","нет")</f>
        <v>нет</v>
      </c>
    </row>
    <row r="1739" spans="1:14" x14ac:dyDescent="0.35">
      <c r="A1739">
        <v>31167</v>
      </c>
      <c r="B1739" t="s">
        <v>1091</v>
      </c>
      <c r="C1739" t="s">
        <v>700</v>
      </c>
      <c r="D1739" s="2">
        <v>6081</v>
      </c>
      <c r="E1739" s="2">
        <v>27463</v>
      </c>
      <c r="F1739" s="3">
        <v>6.3</v>
      </c>
      <c r="G1739" s="3">
        <v>3151</v>
      </c>
      <c r="H1739" s="3">
        <v>74</v>
      </c>
      <c r="I1739" s="3">
        <v>14.6</v>
      </c>
      <c r="J1739" s="3">
        <v>10.199999999999999</v>
      </c>
      <c r="K1739" s="3">
        <v>1.1000000000000001</v>
      </c>
      <c r="L1739" s="3">
        <v>2.6</v>
      </c>
      <c r="M1739" t="str">
        <f>IF(acs2015_county_data[[#This Row],[PublicWork]]&gt;='Описательные характеристики'!$F$5,"да","нет")</f>
        <v>нет</v>
      </c>
      <c r="N1739" t="str">
        <f>IF(acs2015_county_data[[#This Row],[Unemployment]]&gt;='Описательные характеристики'!$I$5,"да","нет")</f>
        <v>нет</v>
      </c>
    </row>
    <row r="1740" spans="1:14" x14ac:dyDescent="0.35">
      <c r="A1740">
        <v>31169</v>
      </c>
      <c r="B1740" t="s">
        <v>1091</v>
      </c>
      <c r="C1740" t="s">
        <v>1130</v>
      </c>
      <c r="D1740" s="2">
        <v>5182</v>
      </c>
      <c r="E1740" s="2">
        <v>29120</v>
      </c>
      <c r="F1740" s="3">
        <v>9.4</v>
      </c>
      <c r="G1740" s="3">
        <v>2542</v>
      </c>
      <c r="H1740" s="3">
        <v>71.3</v>
      </c>
      <c r="I1740" s="3">
        <v>12.9</v>
      </c>
      <c r="J1740" s="3">
        <v>15.6</v>
      </c>
      <c r="K1740" s="3">
        <v>0.3</v>
      </c>
      <c r="L1740" s="3">
        <v>1.7</v>
      </c>
      <c r="M1740" t="str">
        <f>IF(acs2015_county_data[[#This Row],[PublicWork]]&gt;='Описательные характеристики'!$F$5,"да","нет")</f>
        <v>нет</v>
      </c>
      <c r="N1740" t="str">
        <f>IF(acs2015_county_data[[#This Row],[Unemployment]]&gt;='Описательные характеристики'!$I$5,"да","нет")</f>
        <v>нет</v>
      </c>
    </row>
    <row r="1741" spans="1:14" x14ac:dyDescent="0.35">
      <c r="A1741">
        <v>31171</v>
      </c>
      <c r="B1741" t="s">
        <v>1091</v>
      </c>
      <c r="C1741" t="s">
        <v>445</v>
      </c>
      <c r="D1741" s="2">
        <v>675</v>
      </c>
      <c r="E1741" s="2">
        <v>30475</v>
      </c>
      <c r="F1741" s="3">
        <v>19.5</v>
      </c>
      <c r="G1741" s="3">
        <v>385</v>
      </c>
      <c r="H1741" s="3">
        <v>57.9</v>
      </c>
      <c r="I1741" s="3">
        <v>22.3</v>
      </c>
      <c r="J1741" s="3">
        <v>19.2</v>
      </c>
      <c r="K1741" s="3">
        <v>0.5</v>
      </c>
      <c r="L1741" s="3">
        <v>0</v>
      </c>
      <c r="M1741" t="str">
        <f>IF(acs2015_county_data[[#This Row],[PublicWork]]&gt;='Описательные характеристики'!$F$5,"да","нет")</f>
        <v>да</v>
      </c>
      <c r="N1741" t="str">
        <f>IF(acs2015_county_data[[#This Row],[Unemployment]]&gt;='Описательные характеристики'!$I$5,"да","нет")</f>
        <v>нет</v>
      </c>
    </row>
    <row r="1742" spans="1:14" x14ac:dyDescent="0.35">
      <c r="A1742">
        <v>31173</v>
      </c>
      <c r="B1742" t="s">
        <v>1091</v>
      </c>
      <c r="C1742" t="s">
        <v>1131</v>
      </c>
      <c r="D1742" s="2">
        <v>6946</v>
      </c>
      <c r="E1742" s="2">
        <v>18529</v>
      </c>
      <c r="F1742" s="3">
        <v>5.5</v>
      </c>
      <c r="G1742" s="3">
        <v>2483</v>
      </c>
      <c r="H1742" s="3">
        <v>52.4</v>
      </c>
      <c r="I1742" s="3">
        <v>37.799999999999997</v>
      </c>
      <c r="J1742" s="3">
        <v>9.8000000000000007</v>
      </c>
      <c r="K1742" s="3">
        <v>0</v>
      </c>
      <c r="L1742" s="3">
        <v>14.4</v>
      </c>
      <c r="M1742" t="str">
        <f>IF(acs2015_county_data[[#This Row],[PublicWork]]&gt;='Описательные характеристики'!$F$5,"да","нет")</f>
        <v>да</v>
      </c>
      <c r="N1742" t="str">
        <f>IF(acs2015_county_data[[#This Row],[Unemployment]]&gt;='Описательные характеристики'!$I$5,"да","нет")</f>
        <v>да</v>
      </c>
    </row>
    <row r="1743" spans="1:14" x14ac:dyDescent="0.35">
      <c r="A1743">
        <v>31175</v>
      </c>
      <c r="B1743" t="s">
        <v>1091</v>
      </c>
      <c r="C1743" t="s">
        <v>502</v>
      </c>
      <c r="D1743" s="2">
        <v>4254</v>
      </c>
      <c r="E1743" s="2">
        <v>25951</v>
      </c>
      <c r="F1743" s="3">
        <v>7.8</v>
      </c>
      <c r="G1743" s="3">
        <v>2268</v>
      </c>
      <c r="H1743" s="3">
        <v>68.8</v>
      </c>
      <c r="I1743" s="3">
        <v>16.399999999999999</v>
      </c>
      <c r="J1743" s="3">
        <v>14.6</v>
      </c>
      <c r="K1743" s="3">
        <v>0.2</v>
      </c>
      <c r="L1743" s="3">
        <v>1.4</v>
      </c>
      <c r="M1743" t="str">
        <f>IF(acs2015_county_data[[#This Row],[PublicWork]]&gt;='Описательные характеристики'!$F$5,"да","нет")</f>
        <v>да</v>
      </c>
      <c r="N1743" t="str">
        <f>IF(acs2015_county_data[[#This Row],[Unemployment]]&gt;='Описательные характеристики'!$I$5,"да","нет")</f>
        <v>нет</v>
      </c>
    </row>
    <row r="1744" spans="1:14" x14ac:dyDescent="0.35">
      <c r="A1744">
        <v>31177</v>
      </c>
      <c r="B1744" t="s">
        <v>1091</v>
      </c>
      <c r="C1744" t="s">
        <v>75</v>
      </c>
      <c r="D1744" s="2">
        <v>20257</v>
      </c>
      <c r="E1744" s="2">
        <v>31151</v>
      </c>
      <c r="F1744" s="3">
        <v>4.5</v>
      </c>
      <c r="G1744" s="3">
        <v>10850</v>
      </c>
      <c r="H1744" s="3">
        <v>79.599999999999994</v>
      </c>
      <c r="I1744" s="3">
        <v>13.5</v>
      </c>
      <c r="J1744" s="3">
        <v>6.7</v>
      </c>
      <c r="K1744" s="3">
        <v>0.2</v>
      </c>
      <c r="L1744" s="3">
        <v>1.4</v>
      </c>
      <c r="M1744" t="str">
        <f>IF(acs2015_county_data[[#This Row],[PublicWork]]&gt;='Описательные характеристики'!$F$5,"да","нет")</f>
        <v>нет</v>
      </c>
      <c r="N1744" t="str">
        <f>IF(acs2015_county_data[[#This Row],[Unemployment]]&gt;='Описательные характеристики'!$I$5,"да","нет")</f>
        <v>нет</v>
      </c>
    </row>
    <row r="1745" spans="1:14" x14ac:dyDescent="0.35">
      <c r="A1745">
        <v>31179</v>
      </c>
      <c r="B1745" t="s">
        <v>1091</v>
      </c>
      <c r="C1745" t="s">
        <v>457</v>
      </c>
      <c r="D1745" s="2">
        <v>9425</v>
      </c>
      <c r="E1745" s="2">
        <v>26031</v>
      </c>
      <c r="F1745" s="3">
        <v>8.1999999999999993</v>
      </c>
      <c r="G1745" s="3">
        <v>5219</v>
      </c>
      <c r="H1745" s="3">
        <v>69.400000000000006</v>
      </c>
      <c r="I1745" s="3">
        <v>21.4</v>
      </c>
      <c r="J1745" s="3">
        <v>9</v>
      </c>
      <c r="K1745" s="3">
        <v>0.2</v>
      </c>
      <c r="L1745" s="3">
        <v>3</v>
      </c>
      <c r="M1745" t="str">
        <f>IF(acs2015_county_data[[#This Row],[PublicWork]]&gt;='Описательные характеристики'!$F$5,"да","нет")</f>
        <v>да</v>
      </c>
      <c r="N1745" t="str">
        <f>IF(acs2015_county_data[[#This Row],[Unemployment]]&gt;='Описательные характеристики'!$I$5,"да","нет")</f>
        <v>нет</v>
      </c>
    </row>
    <row r="1746" spans="1:14" x14ac:dyDescent="0.35">
      <c r="A1746">
        <v>31181</v>
      </c>
      <c r="B1746" t="s">
        <v>1091</v>
      </c>
      <c r="C1746" t="s">
        <v>458</v>
      </c>
      <c r="D1746" s="2">
        <v>3697</v>
      </c>
      <c r="E1746" s="2">
        <v>22385</v>
      </c>
      <c r="F1746" s="3">
        <v>9.6</v>
      </c>
      <c r="G1746" s="3">
        <v>1689</v>
      </c>
      <c r="H1746" s="3">
        <v>66.5</v>
      </c>
      <c r="I1746" s="3">
        <v>16.899999999999999</v>
      </c>
      <c r="J1746" s="3">
        <v>15.7</v>
      </c>
      <c r="K1746" s="3">
        <v>0.8</v>
      </c>
      <c r="L1746" s="3">
        <v>4.7</v>
      </c>
      <c r="M1746" t="str">
        <f>IF(acs2015_county_data[[#This Row],[PublicWork]]&gt;='Описательные характеристики'!$F$5,"да","нет")</f>
        <v>да</v>
      </c>
      <c r="N1746" t="str">
        <f>IF(acs2015_county_data[[#This Row],[Unemployment]]&gt;='Описательные характеристики'!$I$5,"да","нет")</f>
        <v>нет</v>
      </c>
    </row>
    <row r="1747" spans="1:14" x14ac:dyDescent="0.35">
      <c r="A1747">
        <v>31183</v>
      </c>
      <c r="B1747" t="s">
        <v>1091</v>
      </c>
      <c r="C1747" t="s">
        <v>459</v>
      </c>
      <c r="D1747" s="2">
        <v>847</v>
      </c>
      <c r="E1747" s="2">
        <v>30126</v>
      </c>
      <c r="F1747" s="3">
        <v>16.600000000000001</v>
      </c>
      <c r="G1747" s="3">
        <v>494</v>
      </c>
      <c r="H1747" s="3">
        <v>59.1</v>
      </c>
      <c r="I1747" s="3">
        <v>16.8</v>
      </c>
      <c r="J1747" s="3">
        <v>22.7</v>
      </c>
      <c r="K1747" s="3">
        <v>1.4</v>
      </c>
      <c r="L1747" s="3">
        <v>2.9</v>
      </c>
      <c r="M1747" t="str">
        <f>IF(acs2015_county_data[[#This Row],[PublicWork]]&gt;='Описательные характеристики'!$F$5,"да","нет")</f>
        <v>да</v>
      </c>
      <c r="N1747" t="str">
        <f>IF(acs2015_county_data[[#This Row],[Unemployment]]&gt;='Описательные характеристики'!$I$5,"да","нет")</f>
        <v>нет</v>
      </c>
    </row>
    <row r="1748" spans="1:14" x14ac:dyDescent="0.35">
      <c r="A1748">
        <v>31185</v>
      </c>
      <c r="B1748" t="s">
        <v>1091</v>
      </c>
      <c r="C1748" t="s">
        <v>824</v>
      </c>
      <c r="D1748" s="2">
        <v>13825</v>
      </c>
      <c r="E1748" s="2">
        <v>27646</v>
      </c>
      <c r="F1748" s="3">
        <v>6.2</v>
      </c>
      <c r="G1748" s="3">
        <v>7274</v>
      </c>
      <c r="H1748" s="3">
        <v>76.8</v>
      </c>
      <c r="I1748" s="3">
        <v>13.1</v>
      </c>
      <c r="J1748" s="3">
        <v>10</v>
      </c>
      <c r="K1748" s="3">
        <v>0.1</v>
      </c>
      <c r="L1748" s="3">
        <v>2</v>
      </c>
      <c r="M1748" t="str">
        <f>IF(acs2015_county_data[[#This Row],[PublicWork]]&gt;='Описательные характеристики'!$F$5,"да","нет")</f>
        <v>нет</v>
      </c>
      <c r="N1748" t="str">
        <f>IF(acs2015_county_data[[#This Row],[Unemployment]]&gt;='Описательные характеристики'!$I$5,"да","нет")</f>
        <v>нет</v>
      </c>
    </row>
    <row r="1749" spans="1:14" x14ac:dyDescent="0.35">
      <c r="A1749">
        <v>32001</v>
      </c>
      <c r="B1749" t="s">
        <v>159</v>
      </c>
      <c r="C1749" t="s">
        <v>1132</v>
      </c>
      <c r="D1749" s="2">
        <v>24252</v>
      </c>
      <c r="E1749" s="2">
        <v>24202</v>
      </c>
      <c r="F1749" s="3">
        <v>3.4</v>
      </c>
      <c r="G1749" s="3">
        <v>9274</v>
      </c>
      <c r="H1749" s="3">
        <v>68.2</v>
      </c>
      <c r="I1749" s="3">
        <v>24.2</v>
      </c>
      <c r="J1749" s="3">
        <v>7.5</v>
      </c>
      <c r="K1749" s="3">
        <v>0.1</v>
      </c>
      <c r="L1749" s="3">
        <v>11.9</v>
      </c>
      <c r="M1749" t="str">
        <f>IF(acs2015_county_data[[#This Row],[PublicWork]]&gt;='Описательные характеристики'!$F$5,"да","нет")</f>
        <v>да</v>
      </c>
      <c r="N1749" t="str">
        <f>IF(acs2015_county_data[[#This Row],[Unemployment]]&gt;='Описательные характеристики'!$I$5,"да","нет")</f>
        <v>да</v>
      </c>
    </row>
    <row r="1750" spans="1:14" x14ac:dyDescent="0.35">
      <c r="A1750">
        <v>32003</v>
      </c>
      <c r="B1750" t="s">
        <v>159</v>
      </c>
      <c r="C1750" t="s">
        <v>131</v>
      </c>
      <c r="D1750" s="2">
        <v>2035572</v>
      </c>
      <c r="E1750" s="2">
        <v>26048</v>
      </c>
      <c r="F1750" s="3">
        <v>3.1</v>
      </c>
      <c r="G1750" s="3">
        <v>923588</v>
      </c>
      <c r="H1750" s="3">
        <v>84.5</v>
      </c>
      <c r="I1750" s="3">
        <v>10.7</v>
      </c>
      <c r="J1750" s="3">
        <v>4.8</v>
      </c>
      <c r="K1750" s="3">
        <v>0.1</v>
      </c>
      <c r="L1750" s="3">
        <v>10.8</v>
      </c>
      <c r="M1750" t="str">
        <f>IF(acs2015_county_data[[#This Row],[PublicWork]]&gt;='Описательные характеристики'!$F$5,"да","нет")</f>
        <v>нет</v>
      </c>
      <c r="N1750" t="str">
        <f>IF(acs2015_county_data[[#This Row],[Unemployment]]&gt;='Описательные характеристики'!$I$5,"да","нет")</f>
        <v>да</v>
      </c>
    </row>
    <row r="1751" spans="1:14" x14ac:dyDescent="0.35">
      <c r="A1751">
        <v>32005</v>
      </c>
      <c r="B1751" t="s">
        <v>159</v>
      </c>
      <c r="C1751" t="s">
        <v>254</v>
      </c>
      <c r="D1751" s="2">
        <v>47259</v>
      </c>
      <c r="E1751" s="2">
        <v>33057</v>
      </c>
      <c r="F1751" s="3">
        <v>5</v>
      </c>
      <c r="G1751" s="3">
        <v>20371</v>
      </c>
      <c r="H1751" s="3">
        <v>71.3</v>
      </c>
      <c r="I1751" s="3">
        <v>18.8</v>
      </c>
      <c r="J1751" s="3">
        <v>9.6</v>
      </c>
      <c r="K1751" s="3">
        <v>0.3</v>
      </c>
      <c r="L1751" s="3">
        <v>8.5</v>
      </c>
      <c r="M1751" t="str">
        <f>IF(acs2015_county_data[[#This Row],[PublicWork]]&gt;='Описательные характеристики'!$F$5,"да","нет")</f>
        <v>да</v>
      </c>
      <c r="N1751" t="str">
        <f>IF(acs2015_county_data[[#This Row],[Unemployment]]&gt;='Описательные характеристики'!$I$5,"да","нет")</f>
        <v>да</v>
      </c>
    </row>
    <row r="1752" spans="1:14" x14ac:dyDescent="0.35">
      <c r="A1752">
        <v>32007</v>
      </c>
      <c r="B1752" t="s">
        <v>159</v>
      </c>
      <c r="C1752" t="s">
        <v>1133</v>
      </c>
      <c r="D1752" s="2">
        <v>51562</v>
      </c>
      <c r="E1752" s="2">
        <v>29988</v>
      </c>
      <c r="F1752" s="3">
        <v>3.3</v>
      </c>
      <c r="G1752" s="3">
        <v>25865</v>
      </c>
      <c r="H1752" s="3">
        <v>83.6</v>
      </c>
      <c r="I1752" s="3">
        <v>13</v>
      </c>
      <c r="J1752" s="3">
        <v>3.2</v>
      </c>
      <c r="K1752" s="3">
        <v>0.2</v>
      </c>
      <c r="L1752" s="3">
        <v>5.5</v>
      </c>
      <c r="M1752" t="str">
        <f>IF(acs2015_county_data[[#This Row],[PublicWork]]&gt;='Описательные характеристики'!$F$5,"да","нет")</f>
        <v>нет</v>
      </c>
      <c r="N1752" t="str">
        <f>IF(acs2015_county_data[[#This Row],[Unemployment]]&gt;='Описательные характеристики'!$I$5,"да","нет")</f>
        <v>нет</v>
      </c>
    </row>
    <row r="1753" spans="1:14" x14ac:dyDescent="0.35">
      <c r="A1753">
        <v>32009</v>
      </c>
      <c r="B1753" t="s">
        <v>159</v>
      </c>
      <c r="C1753" t="s">
        <v>1134</v>
      </c>
      <c r="D1753" s="2">
        <v>1141</v>
      </c>
      <c r="E1753" s="2">
        <v>20984</v>
      </c>
      <c r="F1753" s="3">
        <v>4.8</v>
      </c>
      <c r="G1753" s="3">
        <v>437</v>
      </c>
      <c r="H1753" s="3">
        <v>70.900000000000006</v>
      </c>
      <c r="I1753" s="3">
        <v>18.3</v>
      </c>
      <c r="J1753" s="3">
        <v>10.8</v>
      </c>
      <c r="K1753" s="3">
        <v>0</v>
      </c>
      <c r="L1753" s="3">
        <v>11.9</v>
      </c>
      <c r="M1753" t="str">
        <f>IF(acs2015_county_data[[#This Row],[PublicWork]]&gt;='Описательные характеристики'!$F$5,"да","нет")</f>
        <v>да</v>
      </c>
      <c r="N1753" t="str">
        <f>IF(acs2015_county_data[[#This Row],[Unemployment]]&gt;='Описательные характеристики'!$I$5,"да","нет")</f>
        <v>да</v>
      </c>
    </row>
    <row r="1754" spans="1:14" x14ac:dyDescent="0.35">
      <c r="A1754">
        <v>32011</v>
      </c>
      <c r="B1754" t="s">
        <v>159</v>
      </c>
      <c r="C1754" t="s">
        <v>1135</v>
      </c>
      <c r="D1754" s="2">
        <v>1669</v>
      </c>
      <c r="E1754" s="2">
        <v>30459</v>
      </c>
      <c r="F1754" s="3">
        <v>2</v>
      </c>
      <c r="G1754" s="3">
        <v>853</v>
      </c>
      <c r="H1754" s="3">
        <v>57.9</v>
      </c>
      <c r="I1754" s="3">
        <v>33.799999999999997</v>
      </c>
      <c r="J1754" s="3">
        <v>8.3000000000000007</v>
      </c>
      <c r="K1754" s="3">
        <v>0</v>
      </c>
      <c r="L1754" s="3">
        <v>4.7</v>
      </c>
      <c r="M1754" t="str">
        <f>IF(acs2015_county_data[[#This Row],[PublicWork]]&gt;='Описательные характеристики'!$F$5,"да","нет")</f>
        <v>да</v>
      </c>
      <c r="N1754" t="str">
        <f>IF(acs2015_county_data[[#This Row],[Unemployment]]&gt;='Описательные характеристики'!$I$5,"да","нет")</f>
        <v>нет</v>
      </c>
    </row>
    <row r="1755" spans="1:14" x14ac:dyDescent="0.35">
      <c r="A1755">
        <v>32013</v>
      </c>
      <c r="B1755" t="s">
        <v>159</v>
      </c>
      <c r="C1755" t="s">
        <v>191</v>
      </c>
      <c r="D1755" s="2">
        <v>17067</v>
      </c>
      <c r="E1755" s="2">
        <v>27255</v>
      </c>
      <c r="F1755" s="3">
        <v>3.8</v>
      </c>
      <c r="G1755" s="3">
        <v>8295</v>
      </c>
      <c r="H1755" s="3">
        <v>79.099999999999994</v>
      </c>
      <c r="I1755" s="3">
        <v>14.1</v>
      </c>
      <c r="J1755" s="3">
        <v>6.7</v>
      </c>
      <c r="K1755" s="3">
        <v>0.1</v>
      </c>
      <c r="L1755" s="3">
        <v>7.8</v>
      </c>
      <c r="M1755" t="str">
        <f>IF(acs2015_county_data[[#This Row],[PublicWork]]&gt;='Описательные характеристики'!$F$5,"да","нет")</f>
        <v>нет</v>
      </c>
      <c r="N1755" t="str">
        <f>IF(acs2015_county_data[[#This Row],[Unemployment]]&gt;='Описательные характеристики'!$I$5,"да","нет")</f>
        <v>да</v>
      </c>
    </row>
    <row r="1756" spans="1:14" x14ac:dyDescent="0.35">
      <c r="A1756">
        <v>32015</v>
      </c>
      <c r="B1756" t="s">
        <v>159</v>
      </c>
      <c r="C1756" t="s">
        <v>1136</v>
      </c>
      <c r="D1756" s="2">
        <v>5946</v>
      </c>
      <c r="E1756" s="2">
        <v>29390</v>
      </c>
      <c r="F1756" s="3">
        <v>3.1</v>
      </c>
      <c r="G1756" s="3">
        <v>2644</v>
      </c>
      <c r="H1756" s="3">
        <v>82.3</v>
      </c>
      <c r="I1756" s="3">
        <v>13.2</v>
      </c>
      <c r="J1756" s="3">
        <v>4.5</v>
      </c>
      <c r="K1756" s="3">
        <v>0</v>
      </c>
      <c r="L1756" s="3">
        <v>12</v>
      </c>
      <c r="M1756" t="str">
        <f>IF(acs2015_county_data[[#This Row],[PublicWork]]&gt;='Описательные характеристики'!$F$5,"да","нет")</f>
        <v>нет</v>
      </c>
      <c r="N1756" t="str">
        <f>IF(acs2015_county_data[[#This Row],[Unemployment]]&gt;='Описательные характеристики'!$I$5,"да","нет")</f>
        <v>да</v>
      </c>
    </row>
    <row r="1757" spans="1:14" x14ac:dyDescent="0.35">
      <c r="A1757">
        <v>32017</v>
      </c>
      <c r="B1757" t="s">
        <v>159</v>
      </c>
      <c r="C1757" t="s">
        <v>152</v>
      </c>
      <c r="D1757" s="2">
        <v>5194</v>
      </c>
      <c r="E1757" s="2">
        <v>23924</v>
      </c>
      <c r="F1757" s="3">
        <v>6.6</v>
      </c>
      <c r="G1757" s="3">
        <v>1714</v>
      </c>
      <c r="H1757" s="3">
        <v>50.1</v>
      </c>
      <c r="I1757" s="3">
        <v>43.1</v>
      </c>
      <c r="J1757" s="3">
        <v>6.6</v>
      </c>
      <c r="K1757" s="3">
        <v>0.3</v>
      </c>
      <c r="L1757" s="3">
        <v>11.8</v>
      </c>
      <c r="M1757" t="str">
        <f>IF(acs2015_county_data[[#This Row],[PublicWork]]&gt;='Описательные характеристики'!$F$5,"да","нет")</f>
        <v>да</v>
      </c>
      <c r="N1757" t="str">
        <f>IF(acs2015_county_data[[#This Row],[Unemployment]]&gt;='Описательные характеристики'!$I$5,"да","нет")</f>
        <v>да</v>
      </c>
    </row>
    <row r="1758" spans="1:14" x14ac:dyDescent="0.35">
      <c r="A1758">
        <v>32019</v>
      </c>
      <c r="B1758" t="s">
        <v>159</v>
      </c>
      <c r="C1758" t="s">
        <v>622</v>
      </c>
      <c r="D1758" s="2">
        <v>51657</v>
      </c>
      <c r="E1758" s="2">
        <v>23173</v>
      </c>
      <c r="F1758" s="3">
        <v>3.2</v>
      </c>
      <c r="G1758" s="3">
        <v>19958</v>
      </c>
      <c r="H1758" s="3">
        <v>76.8</v>
      </c>
      <c r="I1758" s="3">
        <v>17.399999999999999</v>
      </c>
      <c r="J1758" s="3">
        <v>5.7</v>
      </c>
      <c r="K1758" s="3">
        <v>0.1</v>
      </c>
      <c r="L1758" s="3">
        <v>13.6</v>
      </c>
      <c r="M1758" t="str">
        <f>IF(acs2015_county_data[[#This Row],[PublicWork]]&gt;='Описательные характеристики'!$F$5,"да","нет")</f>
        <v>да</v>
      </c>
      <c r="N1758" t="str">
        <f>IF(acs2015_county_data[[#This Row],[Unemployment]]&gt;='Описательные характеристики'!$I$5,"да","нет")</f>
        <v>да</v>
      </c>
    </row>
    <row r="1759" spans="1:14" x14ac:dyDescent="0.35">
      <c r="A1759">
        <v>32021</v>
      </c>
      <c r="B1759" t="s">
        <v>159</v>
      </c>
      <c r="C1759" t="s">
        <v>271</v>
      </c>
      <c r="D1759" s="2">
        <v>4566</v>
      </c>
      <c r="E1759" s="2">
        <v>24146</v>
      </c>
      <c r="F1759" s="3">
        <v>6.3</v>
      </c>
      <c r="G1759" s="3">
        <v>1856</v>
      </c>
      <c r="H1759" s="3">
        <v>57.9</v>
      </c>
      <c r="I1759" s="3">
        <v>38.4</v>
      </c>
      <c r="J1759" s="3">
        <v>3.6</v>
      </c>
      <c r="K1759" s="3">
        <v>0.2</v>
      </c>
      <c r="L1759" s="3">
        <v>15.4</v>
      </c>
      <c r="M1759" t="str">
        <f>IF(acs2015_county_data[[#This Row],[PublicWork]]&gt;='Описательные характеристики'!$F$5,"да","нет")</f>
        <v>да</v>
      </c>
      <c r="N1759" t="str">
        <f>IF(acs2015_county_data[[#This Row],[Unemployment]]&gt;='Описательные характеристики'!$I$5,"да","нет")</f>
        <v>да</v>
      </c>
    </row>
    <row r="1760" spans="1:14" x14ac:dyDescent="0.35">
      <c r="A1760">
        <v>32023</v>
      </c>
      <c r="B1760" t="s">
        <v>159</v>
      </c>
      <c r="C1760" t="s">
        <v>1137</v>
      </c>
      <c r="D1760" s="2">
        <v>42625</v>
      </c>
      <c r="E1760" s="2">
        <v>23085</v>
      </c>
      <c r="F1760" s="3">
        <v>3.7</v>
      </c>
      <c r="G1760" s="3">
        <v>14143</v>
      </c>
      <c r="H1760" s="3">
        <v>74.599999999999994</v>
      </c>
      <c r="I1760" s="3">
        <v>20.100000000000001</v>
      </c>
      <c r="J1760" s="3">
        <v>5.2</v>
      </c>
      <c r="K1760" s="3">
        <v>0.2</v>
      </c>
      <c r="L1760" s="3">
        <v>13.4</v>
      </c>
      <c r="M1760" t="str">
        <f>IF(acs2015_county_data[[#This Row],[PublicWork]]&gt;='Описательные характеристики'!$F$5,"да","нет")</f>
        <v>да</v>
      </c>
      <c r="N1760" t="str">
        <f>IF(acs2015_county_data[[#This Row],[Unemployment]]&gt;='Описательные характеристики'!$I$5,"да","нет")</f>
        <v>да</v>
      </c>
    </row>
    <row r="1761" spans="1:14" x14ac:dyDescent="0.35">
      <c r="A1761">
        <v>32027</v>
      </c>
      <c r="B1761" t="s">
        <v>159</v>
      </c>
      <c r="C1761" t="s">
        <v>1138</v>
      </c>
      <c r="D1761" s="2">
        <v>6722</v>
      </c>
      <c r="E1761" s="2">
        <v>17332</v>
      </c>
      <c r="F1761" s="3">
        <v>2.5</v>
      </c>
      <c r="G1761" s="3">
        <v>2101</v>
      </c>
      <c r="H1761" s="3">
        <v>69.3</v>
      </c>
      <c r="I1761" s="3">
        <v>26.7</v>
      </c>
      <c r="J1761" s="3">
        <v>4</v>
      </c>
      <c r="K1761" s="3">
        <v>0</v>
      </c>
      <c r="L1761" s="3">
        <v>9.5</v>
      </c>
      <c r="M1761" t="str">
        <f>IF(acs2015_county_data[[#This Row],[PublicWork]]&gt;='Описательные характеристики'!$F$5,"да","нет")</f>
        <v>да</v>
      </c>
      <c r="N1761" t="str">
        <f>IF(acs2015_county_data[[#This Row],[Unemployment]]&gt;='Описательные характеристики'!$I$5,"да","нет")</f>
        <v>да</v>
      </c>
    </row>
    <row r="1762" spans="1:14" x14ac:dyDescent="0.35">
      <c r="A1762">
        <v>32029</v>
      </c>
      <c r="B1762" t="s">
        <v>159</v>
      </c>
      <c r="C1762" t="s">
        <v>1139</v>
      </c>
      <c r="D1762" s="2">
        <v>3929</v>
      </c>
      <c r="E1762" s="2">
        <v>35115</v>
      </c>
      <c r="F1762" s="3">
        <v>6.6</v>
      </c>
      <c r="G1762" s="3">
        <v>1777</v>
      </c>
      <c r="H1762" s="3">
        <v>72.900000000000006</v>
      </c>
      <c r="I1762" s="3">
        <v>16.399999999999999</v>
      </c>
      <c r="J1762" s="3">
        <v>10.7</v>
      </c>
      <c r="K1762" s="3">
        <v>0</v>
      </c>
      <c r="L1762" s="3">
        <v>10.3</v>
      </c>
      <c r="M1762" t="str">
        <f>IF(acs2015_county_data[[#This Row],[PublicWork]]&gt;='Описательные характеристики'!$F$5,"да","нет")</f>
        <v>да</v>
      </c>
      <c r="N1762" t="str">
        <f>IF(acs2015_county_data[[#This Row],[Unemployment]]&gt;='Описательные характеристики'!$I$5,"да","нет")</f>
        <v>да</v>
      </c>
    </row>
    <row r="1763" spans="1:14" x14ac:dyDescent="0.35">
      <c r="A1763">
        <v>32031</v>
      </c>
      <c r="B1763" t="s">
        <v>159</v>
      </c>
      <c r="C1763" t="s">
        <v>1140</v>
      </c>
      <c r="D1763" s="2">
        <v>435019</v>
      </c>
      <c r="E1763" s="2">
        <v>28757</v>
      </c>
      <c r="F1763" s="3">
        <v>3.9</v>
      </c>
      <c r="G1763" s="3">
        <v>207304</v>
      </c>
      <c r="H1763" s="3">
        <v>79.3</v>
      </c>
      <c r="I1763" s="3">
        <v>14.8</v>
      </c>
      <c r="J1763" s="3">
        <v>5.8</v>
      </c>
      <c r="K1763" s="3">
        <v>0.1</v>
      </c>
      <c r="L1763" s="3">
        <v>9.1</v>
      </c>
      <c r="M1763" t="str">
        <f>IF(acs2015_county_data[[#This Row],[PublicWork]]&gt;='Описательные характеристики'!$F$5,"да","нет")</f>
        <v>нет</v>
      </c>
      <c r="N1763" t="str">
        <f>IF(acs2015_county_data[[#This Row],[Unemployment]]&gt;='Описательные характеристики'!$I$5,"да","нет")</f>
        <v>да</v>
      </c>
    </row>
    <row r="1764" spans="1:14" x14ac:dyDescent="0.35">
      <c r="A1764">
        <v>32033</v>
      </c>
      <c r="B1764" t="s">
        <v>159</v>
      </c>
      <c r="C1764" t="s">
        <v>1141</v>
      </c>
      <c r="D1764" s="2">
        <v>9974</v>
      </c>
      <c r="E1764" s="2">
        <v>24359</v>
      </c>
      <c r="F1764" s="3">
        <v>0.9</v>
      </c>
      <c r="G1764" s="3">
        <v>3529</v>
      </c>
      <c r="H1764" s="3">
        <v>60.4</v>
      </c>
      <c r="I1764" s="3">
        <v>33.5</v>
      </c>
      <c r="J1764" s="3">
        <v>5.6</v>
      </c>
      <c r="K1764" s="3">
        <v>0.4</v>
      </c>
      <c r="L1764" s="3">
        <v>10.6</v>
      </c>
      <c r="M1764" t="str">
        <f>IF(acs2015_county_data[[#This Row],[PublicWork]]&gt;='Описательные характеристики'!$F$5,"да","нет")</f>
        <v>да</v>
      </c>
      <c r="N1764" t="str">
        <f>IF(acs2015_county_data[[#This Row],[Unemployment]]&gt;='Описательные характеристики'!$I$5,"да","нет")</f>
        <v>да</v>
      </c>
    </row>
    <row r="1765" spans="1:14" x14ac:dyDescent="0.35">
      <c r="A1765">
        <v>32510</v>
      </c>
      <c r="B1765" t="s">
        <v>159</v>
      </c>
      <c r="C1765" t="s">
        <v>1142</v>
      </c>
      <c r="D1765" s="2">
        <v>54482</v>
      </c>
      <c r="E1765" s="2">
        <v>26127</v>
      </c>
      <c r="F1765" s="3">
        <v>2.4</v>
      </c>
      <c r="G1765" s="3">
        <v>23603</v>
      </c>
      <c r="H1765" s="3">
        <v>70.3</v>
      </c>
      <c r="I1765" s="3">
        <v>24.5</v>
      </c>
      <c r="J1765" s="3">
        <v>4.9000000000000004</v>
      </c>
      <c r="K1765" s="3">
        <v>0.2</v>
      </c>
      <c r="L1765" s="3">
        <v>11.3</v>
      </c>
      <c r="M1765" t="str">
        <f>IF(acs2015_county_data[[#This Row],[PublicWork]]&gt;='Описательные характеристики'!$F$5,"да","нет")</f>
        <v>да</v>
      </c>
      <c r="N1765" t="str">
        <f>IF(acs2015_county_data[[#This Row],[Unemployment]]&gt;='Описательные характеристики'!$I$5,"да","нет")</f>
        <v>да</v>
      </c>
    </row>
    <row r="1766" spans="1:14" x14ac:dyDescent="0.35">
      <c r="A1766">
        <v>33001</v>
      </c>
      <c r="B1766" t="s">
        <v>1143</v>
      </c>
      <c r="C1766" t="s">
        <v>1144</v>
      </c>
      <c r="D1766" s="2">
        <v>60399</v>
      </c>
      <c r="E1766" s="2">
        <v>31644</v>
      </c>
      <c r="F1766" s="3">
        <v>4.2</v>
      </c>
      <c r="G1766" s="3">
        <v>30396</v>
      </c>
      <c r="H1766" s="3">
        <v>74.099999999999994</v>
      </c>
      <c r="I1766" s="3">
        <v>16.5</v>
      </c>
      <c r="J1766" s="3">
        <v>9.1999999999999993</v>
      </c>
      <c r="K1766" s="3">
        <v>0.2</v>
      </c>
      <c r="L1766" s="3">
        <v>5.3</v>
      </c>
      <c r="M1766" t="str">
        <f>IF(acs2015_county_data[[#This Row],[PublicWork]]&gt;='Описательные характеристики'!$F$5,"да","нет")</f>
        <v>да</v>
      </c>
      <c r="N1766" t="str">
        <f>IF(acs2015_county_data[[#This Row],[Unemployment]]&gt;='Описательные характеристики'!$I$5,"да","нет")</f>
        <v>нет</v>
      </c>
    </row>
    <row r="1767" spans="1:14" x14ac:dyDescent="0.35">
      <c r="A1767">
        <v>33003</v>
      </c>
      <c r="B1767" t="s">
        <v>1143</v>
      </c>
      <c r="C1767" t="s">
        <v>129</v>
      </c>
      <c r="D1767" s="2">
        <v>47513</v>
      </c>
      <c r="E1767" s="2">
        <v>32612</v>
      </c>
      <c r="F1767" s="3">
        <v>7.1</v>
      </c>
      <c r="G1767" s="3">
        <v>22992</v>
      </c>
      <c r="H1767" s="3">
        <v>71.900000000000006</v>
      </c>
      <c r="I1767" s="3">
        <v>14</v>
      </c>
      <c r="J1767" s="3">
        <v>14.1</v>
      </c>
      <c r="K1767" s="3">
        <v>0.1</v>
      </c>
      <c r="L1767" s="3">
        <v>5.8</v>
      </c>
      <c r="M1767" t="str">
        <f>IF(acs2015_county_data[[#This Row],[PublicWork]]&gt;='Описательные характеристики'!$F$5,"да","нет")</f>
        <v>нет</v>
      </c>
      <c r="N1767" t="str">
        <f>IF(acs2015_county_data[[#This Row],[Unemployment]]&gt;='Описательные характеристики'!$I$5,"да","нет")</f>
        <v>нет</v>
      </c>
    </row>
    <row r="1768" spans="1:14" x14ac:dyDescent="0.35">
      <c r="A1768">
        <v>33005</v>
      </c>
      <c r="B1768" t="s">
        <v>1143</v>
      </c>
      <c r="C1768" t="s">
        <v>1145</v>
      </c>
      <c r="D1768" s="2">
        <v>76430</v>
      </c>
      <c r="E1768" s="2">
        <v>30181</v>
      </c>
      <c r="F1768" s="3">
        <v>8.1</v>
      </c>
      <c r="G1768" s="3">
        <v>39695</v>
      </c>
      <c r="H1768" s="3">
        <v>78.3</v>
      </c>
      <c r="I1768" s="3">
        <v>14.6</v>
      </c>
      <c r="J1768" s="3">
        <v>7.1</v>
      </c>
      <c r="K1768" s="3">
        <v>0.1</v>
      </c>
      <c r="L1768" s="3">
        <v>6.1</v>
      </c>
      <c r="M1768" t="str">
        <f>IF(acs2015_county_data[[#This Row],[PublicWork]]&gt;='Описательные характеристики'!$F$5,"да","нет")</f>
        <v>нет</v>
      </c>
      <c r="N1768" t="str">
        <f>IF(acs2015_county_data[[#This Row],[Unemployment]]&gt;='Описательные характеристики'!$I$5,"да","нет")</f>
        <v>нет</v>
      </c>
    </row>
    <row r="1769" spans="1:14" x14ac:dyDescent="0.35">
      <c r="A1769">
        <v>33007</v>
      </c>
      <c r="B1769" t="s">
        <v>1143</v>
      </c>
      <c r="C1769" t="s">
        <v>1146</v>
      </c>
      <c r="D1769" s="2">
        <v>31870</v>
      </c>
      <c r="E1769" s="2">
        <v>24546</v>
      </c>
      <c r="F1769" s="3">
        <v>5.8</v>
      </c>
      <c r="G1769" s="3">
        <v>14644</v>
      </c>
      <c r="H1769" s="3">
        <v>72.7</v>
      </c>
      <c r="I1769" s="3">
        <v>18</v>
      </c>
      <c r="J1769" s="3">
        <v>9</v>
      </c>
      <c r="K1769" s="3">
        <v>0.4</v>
      </c>
      <c r="L1769" s="3">
        <v>6.9</v>
      </c>
      <c r="M1769" t="str">
        <f>IF(acs2015_county_data[[#This Row],[PublicWork]]&gt;='Описательные характеристики'!$F$5,"да","нет")</f>
        <v>да</v>
      </c>
      <c r="N1769" t="str">
        <f>IF(acs2015_county_data[[#This Row],[Unemployment]]&gt;='Описательные характеристики'!$I$5,"да","нет")</f>
        <v>нет</v>
      </c>
    </row>
    <row r="1770" spans="1:14" x14ac:dyDescent="0.35">
      <c r="A1770">
        <v>33009</v>
      </c>
      <c r="B1770" t="s">
        <v>1143</v>
      </c>
      <c r="C1770" t="s">
        <v>1147</v>
      </c>
      <c r="D1770" s="2">
        <v>89341</v>
      </c>
      <c r="E1770" s="2">
        <v>32469</v>
      </c>
      <c r="F1770" s="3">
        <v>4.9000000000000004</v>
      </c>
      <c r="G1770" s="3">
        <v>45198</v>
      </c>
      <c r="H1770" s="3">
        <v>75.8</v>
      </c>
      <c r="I1770" s="3">
        <v>15.4</v>
      </c>
      <c r="J1770" s="3">
        <v>8.6</v>
      </c>
      <c r="K1770" s="3">
        <v>0.2</v>
      </c>
      <c r="L1770" s="3">
        <v>5</v>
      </c>
      <c r="M1770" t="str">
        <f>IF(acs2015_county_data[[#This Row],[PublicWork]]&gt;='Описательные характеристики'!$F$5,"да","нет")</f>
        <v>нет</v>
      </c>
      <c r="N1770" t="str">
        <f>IF(acs2015_county_data[[#This Row],[Unemployment]]&gt;='Описательные характеристики'!$I$5,"да","нет")</f>
        <v>нет</v>
      </c>
    </row>
    <row r="1771" spans="1:14" x14ac:dyDescent="0.35">
      <c r="A1771">
        <v>33011</v>
      </c>
      <c r="B1771" t="s">
        <v>1143</v>
      </c>
      <c r="C1771" t="s">
        <v>328</v>
      </c>
      <c r="D1771" s="2">
        <v>403972</v>
      </c>
      <c r="E1771" s="2">
        <v>35242</v>
      </c>
      <c r="F1771" s="3">
        <v>6.2</v>
      </c>
      <c r="G1771" s="3">
        <v>215215</v>
      </c>
      <c r="H1771" s="3">
        <v>82.8</v>
      </c>
      <c r="I1771" s="3">
        <v>11.3</v>
      </c>
      <c r="J1771" s="3">
        <v>5.8</v>
      </c>
      <c r="K1771" s="3">
        <v>0.1</v>
      </c>
      <c r="L1771" s="3">
        <v>5.9</v>
      </c>
      <c r="M1771" t="str">
        <f>IF(acs2015_county_data[[#This Row],[PublicWork]]&gt;='Описательные характеристики'!$F$5,"да","нет")</f>
        <v>нет</v>
      </c>
      <c r="N1771" t="str">
        <f>IF(acs2015_county_data[[#This Row],[Unemployment]]&gt;='Описательные характеристики'!$I$5,"да","нет")</f>
        <v>нет</v>
      </c>
    </row>
    <row r="1772" spans="1:14" x14ac:dyDescent="0.35">
      <c r="A1772">
        <v>33013</v>
      </c>
      <c r="B1772" t="s">
        <v>1143</v>
      </c>
      <c r="C1772" t="s">
        <v>1148</v>
      </c>
      <c r="D1772" s="2">
        <v>147262</v>
      </c>
      <c r="E1772" s="2">
        <v>32020</v>
      </c>
      <c r="F1772" s="3">
        <v>6.9</v>
      </c>
      <c r="G1772" s="3">
        <v>76330</v>
      </c>
      <c r="H1772" s="3">
        <v>75.599999999999994</v>
      </c>
      <c r="I1772" s="3">
        <v>16.7</v>
      </c>
      <c r="J1772" s="3">
        <v>7.6</v>
      </c>
      <c r="K1772" s="3">
        <v>0.1</v>
      </c>
      <c r="L1772" s="3">
        <v>5.2</v>
      </c>
      <c r="M1772" t="str">
        <f>IF(acs2015_county_data[[#This Row],[PublicWork]]&gt;='Описательные характеристики'!$F$5,"да","нет")</f>
        <v>да</v>
      </c>
      <c r="N1772" t="str">
        <f>IF(acs2015_county_data[[#This Row],[Unemployment]]&gt;='Описательные характеристики'!$I$5,"да","нет")</f>
        <v>нет</v>
      </c>
    </row>
    <row r="1773" spans="1:14" x14ac:dyDescent="0.35">
      <c r="A1773">
        <v>33015</v>
      </c>
      <c r="B1773" t="s">
        <v>1143</v>
      </c>
      <c r="C1773" t="s">
        <v>1149</v>
      </c>
      <c r="D1773" s="2">
        <v>299006</v>
      </c>
      <c r="E1773" s="2">
        <v>40469</v>
      </c>
      <c r="F1773" s="3">
        <v>6.2</v>
      </c>
      <c r="G1773" s="3">
        <v>166354</v>
      </c>
      <c r="H1773" s="3">
        <v>80.900000000000006</v>
      </c>
      <c r="I1773" s="3">
        <v>12.3</v>
      </c>
      <c r="J1773" s="3">
        <v>6.7</v>
      </c>
      <c r="K1773" s="3">
        <v>0.1</v>
      </c>
      <c r="L1773" s="3">
        <v>5.6</v>
      </c>
      <c r="M1773" t="str">
        <f>IF(acs2015_county_data[[#This Row],[PublicWork]]&gt;='Описательные характеристики'!$F$5,"да","нет")</f>
        <v>нет</v>
      </c>
      <c r="N1773" t="str">
        <f>IF(acs2015_county_data[[#This Row],[Unemployment]]&gt;='Описательные характеристики'!$I$5,"да","нет")</f>
        <v>нет</v>
      </c>
    </row>
    <row r="1774" spans="1:14" x14ac:dyDescent="0.35">
      <c r="A1774">
        <v>33017</v>
      </c>
      <c r="B1774" t="s">
        <v>1143</v>
      </c>
      <c r="C1774" t="s">
        <v>1150</v>
      </c>
      <c r="D1774" s="2">
        <v>125273</v>
      </c>
      <c r="E1774" s="2">
        <v>29917</v>
      </c>
      <c r="F1774" s="3">
        <v>4.3</v>
      </c>
      <c r="G1774" s="3">
        <v>66369</v>
      </c>
      <c r="H1774" s="3">
        <v>79</v>
      </c>
      <c r="I1774" s="3">
        <v>15.6</v>
      </c>
      <c r="J1774" s="3">
        <v>5.3</v>
      </c>
      <c r="K1774" s="3">
        <v>0</v>
      </c>
      <c r="L1774" s="3">
        <v>6.5</v>
      </c>
      <c r="M1774" t="str">
        <f>IF(acs2015_county_data[[#This Row],[PublicWork]]&gt;='Описательные характеристики'!$F$5,"да","нет")</f>
        <v>нет</v>
      </c>
      <c r="N1774" t="str">
        <f>IF(acs2015_county_data[[#This Row],[Unemployment]]&gt;='Описательные характеристики'!$I$5,"да","нет")</f>
        <v>нет</v>
      </c>
    </row>
    <row r="1775" spans="1:14" x14ac:dyDescent="0.35">
      <c r="A1775">
        <v>33019</v>
      </c>
      <c r="B1775" t="s">
        <v>1143</v>
      </c>
      <c r="C1775" t="s">
        <v>1995</v>
      </c>
      <c r="D1775" s="2">
        <v>43135</v>
      </c>
      <c r="E1775" s="2">
        <v>29004</v>
      </c>
      <c r="F1775" s="3">
        <v>5.2</v>
      </c>
      <c r="G1775" s="3">
        <v>21617</v>
      </c>
      <c r="H1775" s="3">
        <v>79.2</v>
      </c>
      <c r="I1775" s="3">
        <v>12.9</v>
      </c>
      <c r="J1775" s="3">
        <v>7.8</v>
      </c>
      <c r="K1775" s="3">
        <v>0.1</v>
      </c>
      <c r="L1775" s="3">
        <v>5.8</v>
      </c>
      <c r="M1775" t="str">
        <f>IF(acs2015_county_data[[#This Row],[PublicWork]]&gt;='Описательные характеристики'!$F$5,"да","нет")</f>
        <v>нет</v>
      </c>
      <c r="N1775" t="str">
        <f>IF(acs2015_county_data[[#This Row],[Unemployment]]&gt;='Описательные характеристики'!$I$5,"да","нет")</f>
        <v>нет</v>
      </c>
    </row>
    <row r="1776" spans="1:14" x14ac:dyDescent="0.35">
      <c r="A1776">
        <v>34001</v>
      </c>
      <c r="B1776" t="s">
        <v>1151</v>
      </c>
      <c r="C1776" t="s">
        <v>1152</v>
      </c>
      <c r="D1776" s="2">
        <v>275376</v>
      </c>
      <c r="E1776" s="2">
        <v>28005</v>
      </c>
      <c r="F1776" s="3">
        <v>2</v>
      </c>
      <c r="G1776" s="3">
        <v>128151</v>
      </c>
      <c r="H1776" s="3">
        <v>79.599999999999994</v>
      </c>
      <c r="I1776" s="3">
        <v>15.5</v>
      </c>
      <c r="J1776" s="3">
        <v>4.7</v>
      </c>
      <c r="K1776" s="3">
        <v>0.2</v>
      </c>
      <c r="L1776" s="3">
        <v>12.5</v>
      </c>
      <c r="M1776" t="str">
        <f>IF(acs2015_county_data[[#This Row],[PublicWork]]&gt;='Описательные характеристики'!$F$5,"да","нет")</f>
        <v>нет</v>
      </c>
      <c r="N1776" t="str">
        <f>IF(acs2015_county_data[[#This Row],[Unemployment]]&gt;='Описательные характеристики'!$I$5,"да","нет")</f>
        <v>да</v>
      </c>
    </row>
    <row r="1777" spans="1:14" x14ac:dyDescent="0.35">
      <c r="A1777">
        <v>34003</v>
      </c>
      <c r="B1777" t="s">
        <v>1151</v>
      </c>
      <c r="C1777" t="s">
        <v>1153</v>
      </c>
      <c r="D1777" s="2">
        <v>926330</v>
      </c>
      <c r="E1777" s="2">
        <v>44002</v>
      </c>
      <c r="F1777" s="3">
        <v>4.5999999999999996</v>
      </c>
      <c r="G1777" s="3">
        <v>459612</v>
      </c>
      <c r="H1777" s="3">
        <v>82.6</v>
      </c>
      <c r="I1777" s="3">
        <v>11.6</v>
      </c>
      <c r="J1777" s="3">
        <v>5.7</v>
      </c>
      <c r="K1777" s="3">
        <v>0.2</v>
      </c>
      <c r="L1777" s="3">
        <v>6.5</v>
      </c>
      <c r="M1777" t="str">
        <f>IF(acs2015_county_data[[#This Row],[PublicWork]]&gt;='Описательные характеристики'!$F$5,"да","нет")</f>
        <v>нет</v>
      </c>
      <c r="N1777" t="str">
        <f>IF(acs2015_county_data[[#This Row],[Unemployment]]&gt;='Описательные характеристики'!$I$5,"да","нет")</f>
        <v>нет</v>
      </c>
    </row>
    <row r="1778" spans="1:14" x14ac:dyDescent="0.35">
      <c r="A1778">
        <v>34005</v>
      </c>
      <c r="B1778" t="s">
        <v>1151</v>
      </c>
      <c r="C1778" t="s">
        <v>1154</v>
      </c>
      <c r="D1778" s="2">
        <v>450556</v>
      </c>
      <c r="E1778" s="2">
        <v>37255</v>
      </c>
      <c r="F1778" s="3">
        <v>3.6</v>
      </c>
      <c r="G1778" s="3">
        <v>221766</v>
      </c>
      <c r="H1778" s="3">
        <v>77.400000000000006</v>
      </c>
      <c r="I1778" s="3">
        <v>18.2</v>
      </c>
      <c r="J1778" s="3">
        <v>4.2</v>
      </c>
      <c r="K1778" s="3">
        <v>0.1</v>
      </c>
      <c r="L1778" s="3">
        <v>8.5</v>
      </c>
      <c r="M1778" t="str">
        <f>IF(acs2015_county_data[[#This Row],[PublicWork]]&gt;='Описательные характеристики'!$F$5,"да","нет")</f>
        <v>да</v>
      </c>
      <c r="N1778" t="str">
        <f>IF(acs2015_county_data[[#This Row],[Unemployment]]&gt;='Описательные характеристики'!$I$5,"да","нет")</f>
        <v>да</v>
      </c>
    </row>
    <row r="1779" spans="1:14" x14ac:dyDescent="0.35">
      <c r="A1779">
        <v>34007</v>
      </c>
      <c r="B1779" t="s">
        <v>1151</v>
      </c>
      <c r="C1779" t="s">
        <v>370</v>
      </c>
      <c r="D1779" s="2">
        <v>511998</v>
      </c>
      <c r="E1779" s="2">
        <v>30822</v>
      </c>
      <c r="F1779" s="3">
        <v>3.3</v>
      </c>
      <c r="G1779" s="3">
        <v>241708</v>
      </c>
      <c r="H1779" s="3">
        <v>82</v>
      </c>
      <c r="I1779" s="3">
        <v>13.8</v>
      </c>
      <c r="J1779" s="3">
        <v>4</v>
      </c>
      <c r="K1779" s="3">
        <v>0.1</v>
      </c>
      <c r="L1779" s="3">
        <v>10.199999999999999</v>
      </c>
      <c r="M1779" t="str">
        <f>IF(acs2015_county_data[[#This Row],[PublicWork]]&gt;='Описательные характеристики'!$F$5,"да","нет")</f>
        <v>нет</v>
      </c>
      <c r="N1779" t="str">
        <f>IF(acs2015_county_data[[#This Row],[Unemployment]]&gt;='Описательные характеристики'!$I$5,"да","нет")</f>
        <v>да</v>
      </c>
    </row>
    <row r="1780" spans="1:14" x14ac:dyDescent="0.35">
      <c r="A1780">
        <v>34009</v>
      </c>
      <c r="B1780" t="s">
        <v>1151</v>
      </c>
      <c r="C1780" t="s">
        <v>1155</v>
      </c>
      <c r="D1780" s="2">
        <v>95805</v>
      </c>
      <c r="E1780" s="2">
        <v>33028</v>
      </c>
      <c r="F1780" s="3">
        <v>4.2</v>
      </c>
      <c r="G1780" s="3">
        <v>42881</v>
      </c>
      <c r="H1780" s="3">
        <v>72.900000000000006</v>
      </c>
      <c r="I1780" s="3">
        <v>20.8</v>
      </c>
      <c r="J1780" s="3">
        <v>6</v>
      </c>
      <c r="K1780" s="3">
        <v>0.3</v>
      </c>
      <c r="L1780" s="3">
        <v>10</v>
      </c>
      <c r="M1780" t="str">
        <f>IF(acs2015_county_data[[#This Row],[PublicWork]]&gt;='Описательные характеристики'!$F$5,"да","нет")</f>
        <v>да</v>
      </c>
      <c r="N1780" t="str">
        <f>IF(acs2015_county_data[[#This Row],[Unemployment]]&gt;='Описательные характеристики'!$I$5,"да","нет")</f>
        <v>да</v>
      </c>
    </row>
    <row r="1781" spans="1:14" x14ac:dyDescent="0.35">
      <c r="A1781">
        <v>34011</v>
      </c>
      <c r="B1781" t="s">
        <v>1151</v>
      </c>
      <c r="C1781" t="s">
        <v>513</v>
      </c>
      <c r="D1781" s="2">
        <v>157035</v>
      </c>
      <c r="E1781" s="2">
        <v>22417</v>
      </c>
      <c r="F1781" s="3">
        <v>1.6</v>
      </c>
      <c r="G1781" s="3">
        <v>63220</v>
      </c>
      <c r="H1781" s="3">
        <v>75</v>
      </c>
      <c r="I1781" s="3">
        <v>21.1</v>
      </c>
      <c r="J1781" s="3">
        <v>3.6</v>
      </c>
      <c r="K1781" s="3">
        <v>0.3</v>
      </c>
      <c r="L1781" s="3">
        <v>11.1</v>
      </c>
      <c r="M1781" t="str">
        <f>IF(acs2015_county_data[[#This Row],[PublicWork]]&gt;='Описательные характеристики'!$F$5,"да","нет")</f>
        <v>да</v>
      </c>
      <c r="N1781" t="str">
        <f>IF(acs2015_county_data[[#This Row],[Unemployment]]&gt;='Описательные характеристики'!$I$5,"да","нет")</f>
        <v>да</v>
      </c>
    </row>
    <row r="1782" spans="1:14" x14ac:dyDescent="0.35">
      <c r="A1782">
        <v>34013</v>
      </c>
      <c r="B1782" t="s">
        <v>1151</v>
      </c>
      <c r="C1782" t="s">
        <v>848</v>
      </c>
      <c r="D1782" s="2">
        <v>791609</v>
      </c>
      <c r="E1782" s="2">
        <v>32708</v>
      </c>
      <c r="F1782" s="3">
        <v>3.1</v>
      </c>
      <c r="G1782" s="3">
        <v>358229</v>
      </c>
      <c r="H1782" s="3">
        <v>79.900000000000006</v>
      </c>
      <c r="I1782" s="3">
        <v>15.1</v>
      </c>
      <c r="J1782" s="3">
        <v>4.9000000000000004</v>
      </c>
      <c r="K1782" s="3">
        <v>0.1</v>
      </c>
      <c r="L1782" s="3">
        <v>13</v>
      </c>
      <c r="M1782" t="str">
        <f>IF(acs2015_county_data[[#This Row],[PublicWork]]&gt;='Описательные характеристики'!$F$5,"да","нет")</f>
        <v>нет</v>
      </c>
      <c r="N1782" t="str">
        <f>IF(acs2015_county_data[[#This Row],[Unemployment]]&gt;='Описательные характеристики'!$I$5,"да","нет")</f>
        <v>да</v>
      </c>
    </row>
    <row r="1783" spans="1:14" x14ac:dyDescent="0.35">
      <c r="A1783">
        <v>34015</v>
      </c>
      <c r="B1783" t="s">
        <v>1151</v>
      </c>
      <c r="C1783" t="s">
        <v>1156</v>
      </c>
      <c r="D1783" s="2">
        <v>290298</v>
      </c>
      <c r="E1783" s="2">
        <v>34025</v>
      </c>
      <c r="F1783" s="3">
        <v>2.9</v>
      </c>
      <c r="G1783" s="3">
        <v>141635</v>
      </c>
      <c r="H1783" s="3">
        <v>79.900000000000006</v>
      </c>
      <c r="I1783" s="3">
        <v>16.2</v>
      </c>
      <c r="J1783" s="3">
        <v>3.7</v>
      </c>
      <c r="K1783" s="3">
        <v>0.1</v>
      </c>
      <c r="L1783" s="3">
        <v>9.1999999999999993</v>
      </c>
      <c r="M1783" t="str">
        <f>IF(acs2015_county_data[[#This Row],[PublicWork]]&gt;='Описательные характеристики'!$F$5,"да","нет")</f>
        <v>да</v>
      </c>
      <c r="N1783" t="str">
        <f>IF(acs2015_county_data[[#This Row],[Unemployment]]&gt;='Описательные характеристики'!$I$5,"да","нет")</f>
        <v>да</v>
      </c>
    </row>
    <row r="1784" spans="1:14" x14ac:dyDescent="0.35">
      <c r="A1784">
        <v>34017</v>
      </c>
      <c r="B1784" t="s">
        <v>1151</v>
      </c>
      <c r="C1784" t="s">
        <v>1157</v>
      </c>
      <c r="D1784" s="2">
        <v>662619</v>
      </c>
      <c r="E1784" s="2">
        <v>33185</v>
      </c>
      <c r="F1784" s="3">
        <v>3</v>
      </c>
      <c r="G1784" s="3">
        <v>339606</v>
      </c>
      <c r="H1784" s="3">
        <v>84.7</v>
      </c>
      <c r="I1784" s="3">
        <v>10.9</v>
      </c>
      <c r="J1784" s="3">
        <v>4.4000000000000004</v>
      </c>
      <c r="K1784" s="3">
        <v>0.1</v>
      </c>
      <c r="L1784" s="3">
        <v>9.3000000000000007</v>
      </c>
      <c r="M1784" t="str">
        <f>IF(acs2015_county_data[[#This Row],[PublicWork]]&gt;='Описательные характеристики'!$F$5,"да","нет")</f>
        <v>нет</v>
      </c>
      <c r="N1784" t="str">
        <f>IF(acs2015_county_data[[#This Row],[Unemployment]]&gt;='Описательные характеристики'!$I$5,"да","нет")</f>
        <v>да</v>
      </c>
    </row>
    <row r="1785" spans="1:14" x14ac:dyDescent="0.35">
      <c r="A1785">
        <v>34019</v>
      </c>
      <c r="B1785" t="s">
        <v>1151</v>
      </c>
      <c r="C1785" t="s">
        <v>1158</v>
      </c>
      <c r="D1785" s="2">
        <v>126250</v>
      </c>
      <c r="E1785" s="2">
        <v>51353</v>
      </c>
      <c r="F1785" s="3">
        <v>7.6</v>
      </c>
      <c r="G1785" s="3">
        <v>65918</v>
      </c>
      <c r="H1785" s="3">
        <v>79.599999999999994</v>
      </c>
      <c r="I1785" s="3">
        <v>13.6</v>
      </c>
      <c r="J1785" s="3">
        <v>6.6</v>
      </c>
      <c r="K1785" s="3">
        <v>0.1</v>
      </c>
      <c r="L1785" s="3">
        <v>5.9</v>
      </c>
      <c r="M1785" t="str">
        <f>IF(acs2015_county_data[[#This Row],[PublicWork]]&gt;='Описательные характеристики'!$F$5,"да","нет")</f>
        <v>нет</v>
      </c>
      <c r="N1785" t="str">
        <f>IF(acs2015_county_data[[#This Row],[Unemployment]]&gt;='Описательные характеристики'!$I$5,"да","нет")</f>
        <v>нет</v>
      </c>
    </row>
    <row r="1786" spans="1:14" x14ac:dyDescent="0.35">
      <c r="A1786">
        <v>34021</v>
      </c>
      <c r="B1786" t="s">
        <v>1151</v>
      </c>
      <c r="C1786" t="s">
        <v>539</v>
      </c>
      <c r="D1786" s="2">
        <v>370212</v>
      </c>
      <c r="E1786" s="2">
        <v>37680</v>
      </c>
      <c r="F1786" s="3">
        <v>5.0999999999999996</v>
      </c>
      <c r="G1786" s="3">
        <v>177609</v>
      </c>
      <c r="H1786" s="3">
        <v>78.099999999999994</v>
      </c>
      <c r="I1786" s="3">
        <v>17.399999999999999</v>
      </c>
      <c r="J1786" s="3">
        <v>4.4000000000000004</v>
      </c>
      <c r="K1786" s="3">
        <v>0.1</v>
      </c>
      <c r="L1786" s="3">
        <v>9.4</v>
      </c>
      <c r="M1786" t="str">
        <f>IF(acs2015_county_data[[#This Row],[PublicWork]]&gt;='Описательные характеристики'!$F$5,"да","нет")</f>
        <v>да</v>
      </c>
      <c r="N1786" t="str">
        <f>IF(acs2015_county_data[[#This Row],[Unemployment]]&gt;='Описательные характеристики'!$I$5,"да","нет")</f>
        <v>да</v>
      </c>
    </row>
    <row r="1787" spans="1:14" x14ac:dyDescent="0.35">
      <c r="A1787">
        <v>34023</v>
      </c>
      <c r="B1787" t="s">
        <v>1151</v>
      </c>
      <c r="C1787" t="s">
        <v>295</v>
      </c>
      <c r="D1787" s="2">
        <v>830300</v>
      </c>
      <c r="E1787" s="2">
        <v>34674</v>
      </c>
      <c r="F1787" s="3">
        <v>3.8</v>
      </c>
      <c r="G1787" s="3">
        <v>402766</v>
      </c>
      <c r="H1787" s="3">
        <v>83.1</v>
      </c>
      <c r="I1787" s="3">
        <v>13.1</v>
      </c>
      <c r="J1787" s="3">
        <v>3.8</v>
      </c>
      <c r="K1787" s="3">
        <v>0.1</v>
      </c>
      <c r="L1787" s="3">
        <v>7.5</v>
      </c>
      <c r="M1787" t="str">
        <f>IF(acs2015_county_data[[#This Row],[PublicWork]]&gt;='Описательные характеристики'!$F$5,"да","нет")</f>
        <v>нет</v>
      </c>
      <c r="N1787" t="str">
        <f>IF(acs2015_county_data[[#This Row],[Unemployment]]&gt;='Описательные характеристики'!$I$5,"да","нет")</f>
        <v>нет</v>
      </c>
    </row>
    <row r="1788" spans="1:14" x14ac:dyDescent="0.35">
      <c r="A1788">
        <v>34025</v>
      </c>
      <c r="B1788" t="s">
        <v>1151</v>
      </c>
      <c r="C1788" t="s">
        <v>1159</v>
      </c>
      <c r="D1788" s="2">
        <v>629185</v>
      </c>
      <c r="E1788" s="2">
        <v>43469</v>
      </c>
      <c r="F1788" s="3">
        <v>5</v>
      </c>
      <c r="G1788" s="3">
        <v>307183</v>
      </c>
      <c r="H1788" s="3">
        <v>80.599999999999994</v>
      </c>
      <c r="I1788" s="3">
        <v>13.8</v>
      </c>
      <c r="J1788" s="3">
        <v>5.5</v>
      </c>
      <c r="K1788" s="3">
        <v>0.2</v>
      </c>
      <c r="L1788" s="3">
        <v>7.9</v>
      </c>
      <c r="M1788" t="str">
        <f>IF(acs2015_county_data[[#This Row],[PublicWork]]&gt;='Описательные характеристики'!$F$5,"да","нет")</f>
        <v>нет</v>
      </c>
      <c r="N1788" t="str">
        <f>IF(acs2015_county_data[[#This Row],[Unemployment]]&gt;='Описательные характеристики'!$I$5,"да","нет")</f>
        <v>да</v>
      </c>
    </row>
    <row r="1789" spans="1:14" x14ac:dyDescent="0.35">
      <c r="A1789">
        <v>34027</v>
      </c>
      <c r="B1789" t="s">
        <v>1151</v>
      </c>
      <c r="C1789" t="s">
        <v>676</v>
      </c>
      <c r="D1789" s="2">
        <v>498192</v>
      </c>
      <c r="E1789" s="2">
        <v>49552</v>
      </c>
      <c r="F1789" s="3">
        <v>5.5</v>
      </c>
      <c r="G1789" s="3">
        <v>258862</v>
      </c>
      <c r="H1789" s="3">
        <v>82.8</v>
      </c>
      <c r="I1789" s="3">
        <v>11.8</v>
      </c>
      <c r="J1789" s="3">
        <v>5.3</v>
      </c>
      <c r="K1789" s="3">
        <v>0.1</v>
      </c>
      <c r="L1789" s="3">
        <v>6.3</v>
      </c>
      <c r="M1789" t="str">
        <f>IF(acs2015_county_data[[#This Row],[PublicWork]]&gt;='Описательные характеристики'!$F$5,"да","нет")</f>
        <v>нет</v>
      </c>
      <c r="N1789" t="str">
        <f>IF(acs2015_county_data[[#This Row],[Unemployment]]&gt;='Описательные характеристики'!$I$5,"да","нет")</f>
        <v>нет</v>
      </c>
    </row>
    <row r="1790" spans="1:14" x14ac:dyDescent="0.35">
      <c r="A1790">
        <v>34029</v>
      </c>
      <c r="B1790" t="s">
        <v>1151</v>
      </c>
      <c r="C1790" t="s">
        <v>1160</v>
      </c>
      <c r="D1790" s="2">
        <v>583450</v>
      </c>
      <c r="E1790" s="2">
        <v>31200</v>
      </c>
      <c r="F1790" s="3">
        <v>4.7</v>
      </c>
      <c r="G1790" s="3">
        <v>246680</v>
      </c>
      <c r="H1790" s="3">
        <v>78</v>
      </c>
      <c r="I1790" s="3">
        <v>16.3</v>
      </c>
      <c r="J1790" s="3">
        <v>5.4</v>
      </c>
      <c r="K1790" s="3">
        <v>0.2</v>
      </c>
      <c r="L1790" s="3">
        <v>8.8000000000000007</v>
      </c>
      <c r="M1790" t="str">
        <f>IF(acs2015_county_data[[#This Row],[PublicWork]]&gt;='Описательные характеристики'!$F$5,"да","нет")</f>
        <v>да</v>
      </c>
      <c r="N1790" t="str">
        <f>IF(acs2015_county_data[[#This Row],[Unemployment]]&gt;='Описательные характеристики'!$I$5,"да","нет")</f>
        <v>да</v>
      </c>
    </row>
    <row r="1791" spans="1:14" x14ac:dyDescent="0.35">
      <c r="A1791">
        <v>34031</v>
      </c>
      <c r="B1791" t="s">
        <v>1151</v>
      </c>
      <c r="C1791" t="s">
        <v>1161</v>
      </c>
      <c r="D1791" s="2">
        <v>507574</v>
      </c>
      <c r="E1791" s="2">
        <v>27643</v>
      </c>
      <c r="F1791" s="3">
        <v>2.9</v>
      </c>
      <c r="G1791" s="3">
        <v>229762</v>
      </c>
      <c r="H1791" s="3">
        <v>84.1</v>
      </c>
      <c r="I1791" s="3">
        <v>11.5</v>
      </c>
      <c r="J1791" s="3">
        <v>4.2</v>
      </c>
      <c r="K1791" s="3">
        <v>0.1</v>
      </c>
      <c r="L1791" s="3">
        <v>8.6</v>
      </c>
      <c r="M1791" t="str">
        <f>IF(acs2015_county_data[[#This Row],[PublicWork]]&gt;='Описательные характеристики'!$F$5,"да","нет")</f>
        <v>нет</v>
      </c>
      <c r="N1791" t="str">
        <f>IF(acs2015_county_data[[#This Row],[Unemployment]]&gt;='Описательные характеристики'!$I$5,"да","нет")</f>
        <v>да</v>
      </c>
    </row>
    <row r="1792" spans="1:14" x14ac:dyDescent="0.35">
      <c r="A1792">
        <v>34033</v>
      </c>
      <c r="B1792" t="s">
        <v>1151</v>
      </c>
      <c r="C1792" t="s">
        <v>1162</v>
      </c>
      <c r="D1792" s="2">
        <v>65120</v>
      </c>
      <c r="E1792" s="2">
        <v>29712</v>
      </c>
      <c r="F1792" s="3">
        <v>2.7</v>
      </c>
      <c r="G1792" s="3">
        <v>29226</v>
      </c>
      <c r="H1792" s="3">
        <v>79.7</v>
      </c>
      <c r="I1792" s="3">
        <v>15.6</v>
      </c>
      <c r="J1792" s="3">
        <v>4.5999999999999996</v>
      </c>
      <c r="K1792" s="3">
        <v>0.1</v>
      </c>
      <c r="L1792" s="3">
        <v>10.6</v>
      </c>
      <c r="M1792" t="str">
        <f>IF(acs2015_county_data[[#This Row],[PublicWork]]&gt;='Описательные характеристики'!$F$5,"да","нет")</f>
        <v>нет</v>
      </c>
      <c r="N1792" t="str">
        <f>IF(acs2015_county_data[[#This Row],[Unemployment]]&gt;='Описательные характеристики'!$I$5,"да","нет")</f>
        <v>да</v>
      </c>
    </row>
    <row r="1793" spans="1:14" x14ac:dyDescent="0.35">
      <c r="A1793">
        <v>34035</v>
      </c>
      <c r="B1793" t="s">
        <v>1151</v>
      </c>
      <c r="C1793" t="s">
        <v>822</v>
      </c>
      <c r="D1793" s="2">
        <v>330604</v>
      </c>
      <c r="E1793" s="2">
        <v>48791</v>
      </c>
      <c r="F1793" s="3">
        <v>5.7</v>
      </c>
      <c r="G1793" s="3">
        <v>170172</v>
      </c>
      <c r="H1793" s="3">
        <v>84.4</v>
      </c>
      <c r="I1793" s="3">
        <v>11</v>
      </c>
      <c r="J1793" s="3">
        <v>4.4000000000000004</v>
      </c>
      <c r="K1793" s="3">
        <v>0.2</v>
      </c>
      <c r="L1793" s="3">
        <v>6</v>
      </c>
      <c r="M1793" t="str">
        <f>IF(acs2015_county_data[[#This Row],[PublicWork]]&gt;='Описательные характеристики'!$F$5,"да","нет")</f>
        <v>нет</v>
      </c>
      <c r="N1793" t="str">
        <f>IF(acs2015_county_data[[#This Row],[Unemployment]]&gt;='Описательные характеристики'!$I$5,"да","нет")</f>
        <v>нет</v>
      </c>
    </row>
    <row r="1794" spans="1:14" x14ac:dyDescent="0.35">
      <c r="A1794">
        <v>34037</v>
      </c>
      <c r="B1794" t="s">
        <v>1151</v>
      </c>
      <c r="C1794" t="s">
        <v>303</v>
      </c>
      <c r="D1794" s="2">
        <v>145930</v>
      </c>
      <c r="E1794" s="2">
        <v>38810</v>
      </c>
      <c r="F1794" s="3">
        <v>5.4</v>
      </c>
      <c r="G1794" s="3">
        <v>75669</v>
      </c>
      <c r="H1794" s="3">
        <v>78.8</v>
      </c>
      <c r="I1794" s="3">
        <v>14.3</v>
      </c>
      <c r="J1794" s="3">
        <v>6.7</v>
      </c>
      <c r="K1794" s="3">
        <v>0.1</v>
      </c>
      <c r="L1794" s="3">
        <v>8.1999999999999993</v>
      </c>
      <c r="M1794" t="str">
        <f>IF(acs2015_county_data[[#This Row],[PublicWork]]&gt;='Описательные характеристики'!$F$5,"да","нет")</f>
        <v>нет</v>
      </c>
      <c r="N1794" t="str">
        <f>IF(acs2015_county_data[[#This Row],[Unemployment]]&gt;='Описательные характеристики'!$I$5,"да","нет")</f>
        <v>да</v>
      </c>
    </row>
    <row r="1795" spans="1:14" x14ac:dyDescent="0.35">
      <c r="A1795">
        <v>34039</v>
      </c>
      <c r="B1795" t="s">
        <v>1151</v>
      </c>
      <c r="C1795" t="s">
        <v>175</v>
      </c>
      <c r="D1795" s="2">
        <v>548744</v>
      </c>
      <c r="E1795" s="2">
        <v>35308</v>
      </c>
      <c r="F1795" s="3">
        <v>3.7</v>
      </c>
      <c r="G1795" s="3">
        <v>267803</v>
      </c>
      <c r="H1795" s="3">
        <v>82.6</v>
      </c>
      <c r="I1795" s="3">
        <v>13.4</v>
      </c>
      <c r="J1795" s="3">
        <v>3.9</v>
      </c>
      <c r="K1795" s="3">
        <v>0.1</v>
      </c>
      <c r="L1795" s="3">
        <v>9.8000000000000007</v>
      </c>
      <c r="M1795" t="str">
        <f>IF(acs2015_county_data[[#This Row],[PublicWork]]&gt;='Описательные характеристики'!$F$5,"да","нет")</f>
        <v>нет</v>
      </c>
      <c r="N1795" t="str">
        <f>IF(acs2015_county_data[[#This Row],[Unemployment]]&gt;='Описательные характеристики'!$I$5,"да","нет")</f>
        <v>да</v>
      </c>
    </row>
    <row r="1796" spans="1:14" x14ac:dyDescent="0.35">
      <c r="A1796">
        <v>34041</v>
      </c>
      <c r="B1796" t="s">
        <v>1151</v>
      </c>
      <c r="C1796" t="s">
        <v>456</v>
      </c>
      <c r="D1796" s="2">
        <v>107226</v>
      </c>
      <c r="E1796" s="2">
        <v>34136</v>
      </c>
      <c r="F1796" s="3">
        <v>4.9000000000000004</v>
      </c>
      <c r="G1796" s="3">
        <v>53302</v>
      </c>
      <c r="H1796" s="3">
        <v>79.5</v>
      </c>
      <c r="I1796" s="3">
        <v>14.4</v>
      </c>
      <c r="J1796" s="3">
        <v>6</v>
      </c>
      <c r="K1796" s="3">
        <v>0.1</v>
      </c>
      <c r="L1796" s="3">
        <v>9</v>
      </c>
      <c r="M1796" t="str">
        <f>IF(acs2015_county_data[[#This Row],[PublicWork]]&gt;='Описательные характеристики'!$F$5,"да","нет")</f>
        <v>нет</v>
      </c>
      <c r="N1796" t="str">
        <f>IF(acs2015_county_data[[#This Row],[Unemployment]]&gt;='Описательные характеристики'!$I$5,"да","нет")</f>
        <v>да</v>
      </c>
    </row>
    <row r="1797" spans="1:14" x14ac:dyDescent="0.35">
      <c r="A1797">
        <v>35001</v>
      </c>
      <c r="B1797" t="s">
        <v>1163</v>
      </c>
      <c r="C1797" t="s">
        <v>1164</v>
      </c>
      <c r="D1797" s="2">
        <v>673943</v>
      </c>
      <c r="E1797" s="2">
        <v>26765</v>
      </c>
      <c r="F1797" s="3">
        <v>4.0999999999999996</v>
      </c>
      <c r="G1797" s="3">
        <v>307756</v>
      </c>
      <c r="H1797" s="3">
        <v>74</v>
      </c>
      <c r="I1797" s="3">
        <v>20.100000000000001</v>
      </c>
      <c r="J1797" s="3">
        <v>5.6</v>
      </c>
      <c r="K1797" s="3">
        <v>0.2</v>
      </c>
      <c r="L1797" s="3">
        <v>8.4</v>
      </c>
      <c r="M1797" t="str">
        <f>IF(acs2015_county_data[[#This Row],[PublicWork]]&gt;='Описательные характеристики'!$F$5,"да","нет")</f>
        <v>да</v>
      </c>
      <c r="N1797" t="str">
        <f>IF(acs2015_county_data[[#This Row],[Unemployment]]&gt;='Описательные характеристики'!$I$5,"да","нет")</f>
        <v>да</v>
      </c>
    </row>
    <row r="1798" spans="1:14" x14ac:dyDescent="0.35">
      <c r="A1798">
        <v>35003</v>
      </c>
      <c r="B1798" t="s">
        <v>1163</v>
      </c>
      <c r="C1798" t="s">
        <v>1165</v>
      </c>
      <c r="D1798" s="2">
        <v>3583</v>
      </c>
      <c r="E1798" s="2">
        <v>20685</v>
      </c>
      <c r="F1798" s="3">
        <v>14.7</v>
      </c>
      <c r="G1798" s="3">
        <v>1049</v>
      </c>
      <c r="H1798" s="3">
        <v>50.3</v>
      </c>
      <c r="I1798" s="3">
        <v>39.700000000000003</v>
      </c>
      <c r="J1798" s="3">
        <v>8.3000000000000007</v>
      </c>
      <c r="K1798" s="3">
        <v>1.7</v>
      </c>
      <c r="L1798" s="3">
        <v>4.5999999999999996</v>
      </c>
      <c r="M1798" t="str">
        <f>IF(acs2015_county_data[[#This Row],[PublicWork]]&gt;='Описательные характеристики'!$F$5,"да","нет")</f>
        <v>да</v>
      </c>
      <c r="N1798" t="str">
        <f>IF(acs2015_county_data[[#This Row],[Unemployment]]&gt;='Описательные характеристики'!$I$5,"да","нет")</f>
        <v>нет</v>
      </c>
    </row>
    <row r="1799" spans="1:14" x14ac:dyDescent="0.35">
      <c r="A1799">
        <v>35005</v>
      </c>
      <c r="B1799" t="s">
        <v>1163</v>
      </c>
      <c r="C1799" t="s">
        <v>1166</v>
      </c>
      <c r="D1799" s="2">
        <v>65811</v>
      </c>
      <c r="E1799" s="2">
        <v>20559</v>
      </c>
      <c r="F1799" s="3">
        <v>3.8</v>
      </c>
      <c r="G1799" s="3">
        <v>26448</v>
      </c>
      <c r="H1799" s="3">
        <v>73.599999999999994</v>
      </c>
      <c r="I1799" s="3">
        <v>19.100000000000001</v>
      </c>
      <c r="J1799" s="3">
        <v>7.2</v>
      </c>
      <c r="K1799" s="3">
        <v>0.1</v>
      </c>
      <c r="L1799" s="3">
        <v>7.6</v>
      </c>
      <c r="M1799" t="str">
        <f>IF(acs2015_county_data[[#This Row],[PublicWork]]&gt;='Описательные характеристики'!$F$5,"да","нет")</f>
        <v>да</v>
      </c>
      <c r="N1799" t="str">
        <f>IF(acs2015_county_data[[#This Row],[Unemployment]]&gt;='Описательные характеристики'!$I$5,"да","нет")</f>
        <v>да</v>
      </c>
    </row>
    <row r="1800" spans="1:14" x14ac:dyDescent="0.35">
      <c r="A1800">
        <v>35006</v>
      </c>
      <c r="B1800" t="s">
        <v>1163</v>
      </c>
      <c r="C1800" t="s">
        <v>1167</v>
      </c>
      <c r="D1800" s="2">
        <v>27382</v>
      </c>
      <c r="E1800" s="2">
        <v>16072</v>
      </c>
      <c r="F1800" s="3">
        <v>6.3</v>
      </c>
      <c r="G1800" s="3">
        <v>9625</v>
      </c>
      <c r="H1800" s="3">
        <v>65</v>
      </c>
      <c r="I1800" s="3">
        <v>27.1</v>
      </c>
      <c r="J1800" s="3">
        <v>7.7</v>
      </c>
      <c r="K1800" s="3">
        <v>0.2</v>
      </c>
      <c r="L1800" s="3">
        <v>15.3</v>
      </c>
      <c r="M1800" t="str">
        <f>IF(acs2015_county_data[[#This Row],[PublicWork]]&gt;='Описательные характеристики'!$F$5,"да","нет")</f>
        <v>да</v>
      </c>
      <c r="N1800" t="str">
        <f>IF(acs2015_county_data[[#This Row],[Unemployment]]&gt;='Описательные характеристики'!$I$5,"да","нет")</f>
        <v>да</v>
      </c>
    </row>
    <row r="1801" spans="1:14" x14ac:dyDescent="0.35">
      <c r="A1801">
        <v>35007</v>
      </c>
      <c r="B1801" t="s">
        <v>1163</v>
      </c>
      <c r="C1801" t="s">
        <v>1099</v>
      </c>
      <c r="D1801" s="2">
        <v>12997</v>
      </c>
      <c r="E1801" s="2">
        <v>20534</v>
      </c>
      <c r="F1801" s="3">
        <v>4.8</v>
      </c>
      <c r="G1801" s="3">
        <v>4981</v>
      </c>
      <c r="H1801" s="3">
        <v>68.7</v>
      </c>
      <c r="I1801" s="3">
        <v>24.2</v>
      </c>
      <c r="J1801" s="3">
        <v>6.7</v>
      </c>
      <c r="K1801" s="3">
        <v>0.4</v>
      </c>
      <c r="L1801" s="3">
        <v>9.5</v>
      </c>
      <c r="M1801" t="str">
        <f>IF(acs2015_county_data[[#This Row],[PublicWork]]&gt;='Описательные характеристики'!$F$5,"да","нет")</f>
        <v>да</v>
      </c>
      <c r="N1801" t="str">
        <f>IF(acs2015_county_data[[#This Row],[Unemployment]]&gt;='Описательные характеристики'!$I$5,"да","нет")</f>
        <v>да</v>
      </c>
    </row>
    <row r="1802" spans="1:14" x14ac:dyDescent="0.35">
      <c r="A1802">
        <v>35009</v>
      </c>
      <c r="B1802" t="s">
        <v>1163</v>
      </c>
      <c r="C1802" t="s">
        <v>1168</v>
      </c>
      <c r="D1802" s="2">
        <v>50497</v>
      </c>
      <c r="E1802" s="2">
        <v>21929</v>
      </c>
      <c r="F1802" s="3">
        <v>1.5</v>
      </c>
      <c r="G1802" s="3">
        <v>20599</v>
      </c>
      <c r="H1802" s="3">
        <v>73.3</v>
      </c>
      <c r="I1802" s="3">
        <v>22.1</v>
      </c>
      <c r="J1802" s="3">
        <v>4.7</v>
      </c>
      <c r="K1802" s="3">
        <v>0</v>
      </c>
      <c r="L1802" s="3">
        <v>9.1</v>
      </c>
      <c r="M1802" t="str">
        <f>IF(acs2015_county_data[[#This Row],[PublicWork]]&gt;='Описательные характеристики'!$F$5,"да","нет")</f>
        <v>да</v>
      </c>
      <c r="N1802" t="str">
        <f>IF(acs2015_county_data[[#This Row],[Unemployment]]&gt;='Описательные характеристики'!$I$5,"да","нет")</f>
        <v>да</v>
      </c>
    </row>
    <row r="1803" spans="1:14" x14ac:dyDescent="0.35">
      <c r="A1803">
        <v>35011</v>
      </c>
      <c r="B1803" t="s">
        <v>1163</v>
      </c>
      <c r="C1803" t="s">
        <v>1169</v>
      </c>
      <c r="D1803" s="2">
        <v>2020</v>
      </c>
      <c r="E1803" s="2">
        <v>24370</v>
      </c>
      <c r="F1803" s="3">
        <v>7.4</v>
      </c>
      <c r="G1803" s="3">
        <v>619</v>
      </c>
      <c r="H1803" s="3">
        <v>66.2</v>
      </c>
      <c r="I1803" s="3">
        <v>25.5</v>
      </c>
      <c r="J1803" s="3">
        <v>8.1999999999999993</v>
      </c>
      <c r="K1803" s="3">
        <v>0</v>
      </c>
      <c r="L1803" s="3">
        <v>5.2</v>
      </c>
      <c r="M1803" t="str">
        <f>IF(acs2015_county_data[[#This Row],[PublicWork]]&gt;='Описательные характеристики'!$F$5,"да","нет")</f>
        <v>да</v>
      </c>
      <c r="N1803" t="str">
        <f>IF(acs2015_county_data[[#This Row],[Unemployment]]&gt;='Описательные характеристики'!$I$5,"да","нет")</f>
        <v>нет</v>
      </c>
    </row>
    <row r="1804" spans="1:14" x14ac:dyDescent="0.35">
      <c r="A1804">
        <v>35013</v>
      </c>
      <c r="B1804" t="s">
        <v>1163</v>
      </c>
      <c r="C1804" t="s">
        <v>1170</v>
      </c>
      <c r="D1804" s="2">
        <v>213963</v>
      </c>
      <c r="E1804" s="2">
        <v>20129</v>
      </c>
      <c r="F1804" s="3">
        <v>3.9</v>
      </c>
      <c r="G1804" s="3">
        <v>88919</v>
      </c>
      <c r="H1804" s="3">
        <v>67.900000000000006</v>
      </c>
      <c r="I1804" s="3">
        <v>24.8</v>
      </c>
      <c r="J1804" s="3">
        <v>7.1</v>
      </c>
      <c r="K1804" s="3">
        <v>0.1</v>
      </c>
      <c r="L1804" s="3">
        <v>11.5</v>
      </c>
      <c r="M1804" t="str">
        <f>IF(acs2015_county_data[[#This Row],[PublicWork]]&gt;='Описательные характеристики'!$F$5,"да","нет")</f>
        <v>да</v>
      </c>
      <c r="N1804" t="str">
        <f>IF(acs2015_county_data[[#This Row],[Unemployment]]&gt;='Описательные характеристики'!$I$5,"да","нет")</f>
        <v>да</v>
      </c>
    </row>
    <row r="1805" spans="1:14" x14ac:dyDescent="0.35">
      <c r="A1805">
        <v>35015</v>
      </c>
      <c r="B1805" t="s">
        <v>1163</v>
      </c>
      <c r="C1805" t="s">
        <v>1171</v>
      </c>
      <c r="D1805" s="2">
        <v>55641</v>
      </c>
      <c r="E1805" s="2">
        <v>28308</v>
      </c>
      <c r="F1805" s="3">
        <v>2.7</v>
      </c>
      <c r="G1805" s="3">
        <v>25620</v>
      </c>
      <c r="H1805" s="3">
        <v>79.2</v>
      </c>
      <c r="I1805" s="3">
        <v>15.6</v>
      </c>
      <c r="J1805" s="3">
        <v>5.3</v>
      </c>
      <c r="K1805" s="3">
        <v>0</v>
      </c>
      <c r="L1805" s="3">
        <v>5.8</v>
      </c>
      <c r="M1805" t="str">
        <f>IF(acs2015_county_data[[#This Row],[PublicWork]]&gt;='Описательные характеристики'!$F$5,"да","нет")</f>
        <v>нет</v>
      </c>
      <c r="N1805" t="str">
        <f>IF(acs2015_county_data[[#This Row],[Unemployment]]&gt;='Описательные характеристики'!$I$5,"да","нет")</f>
        <v>нет</v>
      </c>
    </row>
    <row r="1806" spans="1:14" x14ac:dyDescent="0.35">
      <c r="A1806">
        <v>35017</v>
      </c>
      <c r="B1806" t="s">
        <v>1163</v>
      </c>
      <c r="C1806" t="s">
        <v>144</v>
      </c>
      <c r="D1806" s="2">
        <v>29119</v>
      </c>
      <c r="E1806" s="2">
        <v>23011</v>
      </c>
      <c r="F1806" s="3">
        <v>5.8</v>
      </c>
      <c r="G1806" s="3">
        <v>10585</v>
      </c>
      <c r="H1806" s="3">
        <v>68.900000000000006</v>
      </c>
      <c r="I1806" s="3">
        <v>23.5</v>
      </c>
      <c r="J1806" s="3">
        <v>7</v>
      </c>
      <c r="K1806" s="3">
        <v>0.6</v>
      </c>
      <c r="L1806" s="3">
        <v>9.6999999999999993</v>
      </c>
      <c r="M1806" t="str">
        <f>IF(acs2015_county_data[[#This Row],[PublicWork]]&gt;='Описательные характеристики'!$F$5,"да","нет")</f>
        <v>да</v>
      </c>
      <c r="N1806" t="str">
        <f>IF(acs2015_county_data[[#This Row],[Unemployment]]&gt;='Описательные характеристики'!$I$5,"да","нет")</f>
        <v>да</v>
      </c>
    </row>
    <row r="1807" spans="1:14" x14ac:dyDescent="0.35">
      <c r="A1807">
        <v>35019</v>
      </c>
      <c r="B1807" t="s">
        <v>1163</v>
      </c>
      <c r="C1807" t="s">
        <v>1172</v>
      </c>
      <c r="D1807" s="2">
        <v>4526</v>
      </c>
      <c r="E1807" s="2">
        <v>16820</v>
      </c>
      <c r="F1807" s="3">
        <v>2.6</v>
      </c>
      <c r="G1807" s="3">
        <v>1301</v>
      </c>
      <c r="H1807" s="3">
        <v>56.7</v>
      </c>
      <c r="I1807" s="3">
        <v>38.4</v>
      </c>
      <c r="J1807" s="3">
        <v>4.3</v>
      </c>
      <c r="K1807" s="3">
        <v>0.5</v>
      </c>
      <c r="L1807" s="3">
        <v>1.2</v>
      </c>
      <c r="M1807" t="str">
        <f>IF(acs2015_county_data[[#This Row],[PublicWork]]&gt;='Описательные характеристики'!$F$5,"да","нет")</f>
        <v>да</v>
      </c>
      <c r="N1807" t="str">
        <f>IF(acs2015_county_data[[#This Row],[Unemployment]]&gt;='Описательные характеристики'!$I$5,"да","нет")</f>
        <v>нет</v>
      </c>
    </row>
    <row r="1808" spans="1:14" x14ac:dyDescent="0.35">
      <c r="A1808">
        <v>35021</v>
      </c>
      <c r="B1808" t="s">
        <v>1163</v>
      </c>
      <c r="C1808" t="s">
        <v>1173</v>
      </c>
      <c r="D1808" s="2">
        <v>565</v>
      </c>
      <c r="E1808" s="2">
        <v>22946</v>
      </c>
      <c r="F1808" s="3">
        <v>22.2</v>
      </c>
      <c r="G1808" s="3">
        <v>205</v>
      </c>
      <c r="H1808" s="3">
        <v>46.3</v>
      </c>
      <c r="I1808" s="3">
        <v>42.9</v>
      </c>
      <c r="J1808" s="3">
        <v>10.7</v>
      </c>
      <c r="K1808" s="3">
        <v>0</v>
      </c>
      <c r="L1808" s="3">
        <v>6</v>
      </c>
      <c r="M1808" t="str">
        <f>IF(acs2015_county_data[[#This Row],[PublicWork]]&gt;='Описательные характеристики'!$F$5,"да","нет")</f>
        <v>да</v>
      </c>
      <c r="N1808" t="str">
        <f>IF(acs2015_county_data[[#This Row],[Unemployment]]&gt;='Описательные характеристики'!$I$5,"да","нет")</f>
        <v>нет</v>
      </c>
    </row>
    <row r="1809" spans="1:14" x14ac:dyDescent="0.35">
      <c r="A1809">
        <v>35023</v>
      </c>
      <c r="B1809" t="s">
        <v>1163</v>
      </c>
      <c r="C1809" t="s">
        <v>1174</v>
      </c>
      <c r="D1809" s="2">
        <v>4643</v>
      </c>
      <c r="E1809" s="2">
        <v>18871</v>
      </c>
      <c r="F1809" s="3">
        <v>5.9</v>
      </c>
      <c r="G1809" s="3">
        <v>1867</v>
      </c>
      <c r="H1809" s="3">
        <v>69</v>
      </c>
      <c r="I1809" s="3">
        <v>26.1</v>
      </c>
      <c r="J1809" s="3">
        <v>4.2</v>
      </c>
      <c r="K1809" s="3">
        <v>0.7</v>
      </c>
      <c r="L1809" s="3">
        <v>12.2</v>
      </c>
      <c r="M1809" t="str">
        <f>IF(acs2015_county_data[[#This Row],[PublicWork]]&gt;='Описательные характеристики'!$F$5,"да","нет")</f>
        <v>да</v>
      </c>
      <c r="N1809" t="str">
        <f>IF(acs2015_county_data[[#This Row],[Unemployment]]&gt;='Описательные характеристики'!$I$5,"да","нет")</f>
        <v>да</v>
      </c>
    </row>
    <row r="1810" spans="1:14" x14ac:dyDescent="0.35">
      <c r="A1810">
        <v>35025</v>
      </c>
      <c r="B1810" t="s">
        <v>1163</v>
      </c>
      <c r="C1810" t="s">
        <v>1175</v>
      </c>
      <c r="D1810" s="2">
        <v>68149</v>
      </c>
      <c r="E1810" s="2">
        <v>23804</v>
      </c>
      <c r="F1810" s="3">
        <v>2.4</v>
      </c>
      <c r="G1810" s="3">
        <v>29340</v>
      </c>
      <c r="H1810" s="3">
        <v>80.8</v>
      </c>
      <c r="I1810" s="3">
        <v>13.6</v>
      </c>
      <c r="J1810" s="3">
        <v>5.5</v>
      </c>
      <c r="K1810" s="3">
        <v>0.1</v>
      </c>
      <c r="L1810" s="3">
        <v>5.9</v>
      </c>
      <c r="M1810" t="str">
        <f>IF(acs2015_county_data[[#This Row],[PublicWork]]&gt;='Описательные характеристики'!$F$5,"да","нет")</f>
        <v>нет</v>
      </c>
      <c r="N1810" t="str">
        <f>IF(acs2015_county_data[[#This Row],[Unemployment]]&gt;='Описательные характеристики'!$I$5,"да","нет")</f>
        <v>нет</v>
      </c>
    </row>
    <row r="1811" spans="1:14" x14ac:dyDescent="0.35">
      <c r="A1811">
        <v>35027</v>
      </c>
      <c r="B1811" t="s">
        <v>1163</v>
      </c>
      <c r="C1811" t="s">
        <v>152</v>
      </c>
      <c r="D1811" s="2">
        <v>19931</v>
      </c>
      <c r="E1811" s="2">
        <v>25756</v>
      </c>
      <c r="F1811" s="3">
        <v>7.2</v>
      </c>
      <c r="G1811" s="3">
        <v>8030</v>
      </c>
      <c r="H1811" s="3">
        <v>66.2</v>
      </c>
      <c r="I1811" s="3">
        <v>22.5</v>
      </c>
      <c r="J1811" s="3">
        <v>10.3</v>
      </c>
      <c r="K1811" s="3">
        <v>0.9</v>
      </c>
      <c r="L1811" s="3">
        <v>7.3</v>
      </c>
      <c r="M1811" t="str">
        <f>IF(acs2015_county_data[[#This Row],[PublicWork]]&gt;='Описательные характеристики'!$F$5,"да","нет")</f>
        <v>да</v>
      </c>
      <c r="N1811" t="str">
        <f>IF(acs2015_county_data[[#This Row],[Unemployment]]&gt;='Описательные характеристики'!$I$5,"да","нет")</f>
        <v>нет</v>
      </c>
    </row>
    <row r="1812" spans="1:14" x14ac:dyDescent="0.35">
      <c r="A1812">
        <v>35028</v>
      </c>
      <c r="B1812" t="s">
        <v>1163</v>
      </c>
      <c r="C1812" t="s">
        <v>1176</v>
      </c>
      <c r="D1812" s="2">
        <v>17939</v>
      </c>
      <c r="E1812" s="2">
        <v>51148</v>
      </c>
      <c r="F1812" s="3">
        <v>4.5</v>
      </c>
      <c r="G1812" s="3">
        <v>8916</v>
      </c>
      <c r="H1812" s="3">
        <v>61.9</v>
      </c>
      <c r="I1812" s="3">
        <v>31.3</v>
      </c>
      <c r="J1812" s="3">
        <v>6.6</v>
      </c>
      <c r="K1812" s="3">
        <v>0.2</v>
      </c>
      <c r="L1812" s="3">
        <v>3.5</v>
      </c>
      <c r="M1812" t="str">
        <f>IF(acs2015_county_data[[#This Row],[PublicWork]]&gt;='Описательные характеристики'!$F$5,"да","нет")</f>
        <v>да</v>
      </c>
      <c r="N1812" t="str">
        <f>IF(acs2015_county_data[[#This Row],[Unemployment]]&gt;='Описательные характеристики'!$I$5,"да","нет")</f>
        <v>нет</v>
      </c>
    </row>
    <row r="1813" spans="1:14" x14ac:dyDescent="0.35">
      <c r="A1813">
        <v>35029</v>
      </c>
      <c r="B1813" t="s">
        <v>1163</v>
      </c>
      <c r="C1813" t="s">
        <v>1177</v>
      </c>
      <c r="D1813" s="2">
        <v>24789</v>
      </c>
      <c r="E1813" s="2">
        <v>15078</v>
      </c>
      <c r="F1813" s="3">
        <v>4.9000000000000004</v>
      </c>
      <c r="G1813" s="3">
        <v>8383</v>
      </c>
      <c r="H1813" s="3">
        <v>73.599999999999994</v>
      </c>
      <c r="I1813" s="3">
        <v>19.8</v>
      </c>
      <c r="J1813" s="3">
        <v>6.5</v>
      </c>
      <c r="K1813" s="3">
        <v>0</v>
      </c>
      <c r="L1813" s="3">
        <v>13.8</v>
      </c>
      <c r="M1813" t="str">
        <f>IF(acs2015_county_data[[#This Row],[PublicWork]]&gt;='Описательные характеристики'!$F$5,"да","нет")</f>
        <v>да</v>
      </c>
      <c r="N1813" t="str">
        <f>IF(acs2015_county_data[[#This Row],[Unemployment]]&gt;='Описательные характеристики'!$I$5,"да","нет")</f>
        <v>да</v>
      </c>
    </row>
    <row r="1814" spans="1:14" x14ac:dyDescent="0.35">
      <c r="A1814">
        <v>35031</v>
      </c>
      <c r="B1814" t="s">
        <v>1163</v>
      </c>
      <c r="C1814" t="s">
        <v>1178</v>
      </c>
      <c r="D1814" s="2">
        <v>73998</v>
      </c>
      <c r="E1814" s="2">
        <v>12614</v>
      </c>
      <c r="F1814" s="3">
        <v>10.4</v>
      </c>
      <c r="G1814" s="3">
        <v>22865</v>
      </c>
      <c r="H1814" s="3">
        <v>58.1</v>
      </c>
      <c r="I1814" s="3">
        <v>34</v>
      </c>
      <c r="J1814" s="3">
        <v>7.7</v>
      </c>
      <c r="K1814" s="3">
        <v>0.1</v>
      </c>
      <c r="L1814" s="3">
        <v>15.5</v>
      </c>
      <c r="M1814" t="str">
        <f>IF(acs2015_county_data[[#This Row],[PublicWork]]&gt;='Описательные характеристики'!$F$5,"да","нет")</f>
        <v>да</v>
      </c>
      <c r="N1814" t="str">
        <f>IF(acs2015_county_data[[#This Row],[Unemployment]]&gt;='Описательные характеристики'!$I$5,"да","нет")</f>
        <v>да</v>
      </c>
    </row>
    <row r="1815" spans="1:14" x14ac:dyDescent="0.35">
      <c r="A1815">
        <v>35033</v>
      </c>
      <c r="B1815" t="s">
        <v>1163</v>
      </c>
      <c r="C1815" t="s">
        <v>1179</v>
      </c>
      <c r="D1815" s="2">
        <v>4660</v>
      </c>
      <c r="E1815" s="2">
        <v>15591</v>
      </c>
      <c r="F1815" s="3">
        <v>8.1</v>
      </c>
      <c r="G1815" s="3">
        <v>1166</v>
      </c>
      <c r="H1815" s="3">
        <v>50.7</v>
      </c>
      <c r="I1815" s="3">
        <v>43.9</v>
      </c>
      <c r="J1815" s="3">
        <v>5.2</v>
      </c>
      <c r="K1815" s="3">
        <v>0.2</v>
      </c>
      <c r="L1815" s="3">
        <v>5.4</v>
      </c>
      <c r="M1815" t="str">
        <f>IF(acs2015_county_data[[#This Row],[PublicWork]]&gt;='Описательные характеристики'!$F$5,"да","нет")</f>
        <v>да</v>
      </c>
      <c r="N1815" t="str">
        <f>IF(acs2015_county_data[[#This Row],[Unemployment]]&gt;='Описательные характеристики'!$I$5,"да","нет")</f>
        <v>нет</v>
      </c>
    </row>
    <row r="1816" spans="1:14" x14ac:dyDescent="0.35">
      <c r="A1816">
        <v>35035</v>
      </c>
      <c r="B1816" t="s">
        <v>1163</v>
      </c>
      <c r="C1816" t="s">
        <v>275</v>
      </c>
      <c r="D1816" s="2">
        <v>65318</v>
      </c>
      <c r="E1816" s="2">
        <v>19457</v>
      </c>
      <c r="F1816" s="3">
        <v>2.4</v>
      </c>
      <c r="G1816" s="3">
        <v>22092</v>
      </c>
      <c r="H1816" s="3">
        <v>62.7</v>
      </c>
      <c r="I1816" s="3">
        <v>31.5</v>
      </c>
      <c r="J1816" s="3">
        <v>5.3</v>
      </c>
      <c r="K1816" s="3">
        <v>0.4</v>
      </c>
      <c r="L1816" s="3">
        <v>12.7</v>
      </c>
      <c r="M1816" t="str">
        <f>IF(acs2015_county_data[[#This Row],[PublicWork]]&gt;='Описательные характеристики'!$F$5,"да","нет")</f>
        <v>да</v>
      </c>
      <c r="N1816" t="str">
        <f>IF(acs2015_county_data[[#This Row],[Unemployment]]&gt;='Описательные характеристики'!$I$5,"да","нет")</f>
        <v>да</v>
      </c>
    </row>
    <row r="1817" spans="1:14" x14ac:dyDescent="0.35">
      <c r="A1817">
        <v>35037</v>
      </c>
      <c r="B1817" t="s">
        <v>1163</v>
      </c>
      <c r="C1817" t="s">
        <v>1180</v>
      </c>
      <c r="D1817" s="2">
        <v>8698</v>
      </c>
      <c r="E1817" s="2">
        <v>17335</v>
      </c>
      <c r="F1817" s="3">
        <v>7.5</v>
      </c>
      <c r="G1817" s="3">
        <v>2937</v>
      </c>
      <c r="H1817" s="3">
        <v>67</v>
      </c>
      <c r="I1817" s="3">
        <v>23.8</v>
      </c>
      <c r="J1817" s="3">
        <v>7.4</v>
      </c>
      <c r="K1817" s="3">
        <v>1.8</v>
      </c>
      <c r="L1817" s="3">
        <v>5</v>
      </c>
      <c r="M1817" t="str">
        <f>IF(acs2015_county_data[[#This Row],[PublicWork]]&gt;='Описательные характеристики'!$F$5,"да","нет")</f>
        <v>да</v>
      </c>
      <c r="N1817" t="str">
        <f>IF(acs2015_county_data[[#This Row],[Unemployment]]&gt;='Описательные характеристики'!$I$5,"да","нет")</f>
        <v>нет</v>
      </c>
    </row>
    <row r="1818" spans="1:14" x14ac:dyDescent="0.35">
      <c r="A1818">
        <v>35039</v>
      </c>
      <c r="B1818" t="s">
        <v>1163</v>
      </c>
      <c r="C1818" t="s">
        <v>1181</v>
      </c>
      <c r="D1818" s="2">
        <v>39949</v>
      </c>
      <c r="E1818" s="2">
        <v>19678</v>
      </c>
      <c r="F1818" s="3">
        <v>3.3</v>
      </c>
      <c r="G1818" s="3">
        <v>15272</v>
      </c>
      <c r="H1818" s="3">
        <v>55.7</v>
      </c>
      <c r="I1818" s="3">
        <v>36.6</v>
      </c>
      <c r="J1818" s="3">
        <v>7.5</v>
      </c>
      <c r="K1818" s="3">
        <v>0.3</v>
      </c>
      <c r="L1818" s="3">
        <v>11.4</v>
      </c>
      <c r="M1818" t="str">
        <f>IF(acs2015_county_data[[#This Row],[PublicWork]]&gt;='Описательные характеристики'!$F$5,"да","нет")</f>
        <v>да</v>
      </c>
      <c r="N1818" t="str">
        <f>IF(acs2015_county_data[[#This Row],[Unemployment]]&gt;='Описательные характеристики'!$I$5,"да","нет")</f>
        <v>да</v>
      </c>
    </row>
    <row r="1819" spans="1:14" x14ac:dyDescent="0.35">
      <c r="A1819">
        <v>35041</v>
      </c>
      <c r="B1819" t="s">
        <v>1163</v>
      </c>
      <c r="C1819" t="s">
        <v>1080</v>
      </c>
      <c r="D1819" s="2">
        <v>19908</v>
      </c>
      <c r="E1819" s="2">
        <v>18187</v>
      </c>
      <c r="F1819" s="3">
        <v>2.2000000000000002</v>
      </c>
      <c r="G1819" s="3">
        <v>8131</v>
      </c>
      <c r="H1819" s="3">
        <v>67.3</v>
      </c>
      <c r="I1819" s="3">
        <v>26.4</v>
      </c>
      <c r="J1819" s="3">
        <v>6</v>
      </c>
      <c r="K1819" s="3">
        <v>0.4</v>
      </c>
      <c r="L1819" s="3">
        <v>9.6999999999999993</v>
      </c>
      <c r="M1819" t="str">
        <f>IF(acs2015_county_data[[#This Row],[PublicWork]]&gt;='Описательные характеристики'!$F$5,"да","нет")</f>
        <v>да</v>
      </c>
      <c r="N1819" t="str">
        <f>IF(acs2015_county_data[[#This Row],[Unemployment]]&gt;='Описательные характеристики'!$I$5,"да","нет")</f>
        <v>да</v>
      </c>
    </row>
    <row r="1820" spans="1:14" x14ac:dyDescent="0.35">
      <c r="A1820">
        <v>35043</v>
      </c>
      <c r="B1820" t="s">
        <v>1163</v>
      </c>
      <c r="C1820" t="s">
        <v>1182</v>
      </c>
      <c r="D1820" s="2">
        <v>136638</v>
      </c>
      <c r="E1820" s="2">
        <v>26742</v>
      </c>
      <c r="F1820" s="3">
        <v>5.7</v>
      </c>
      <c r="G1820" s="3">
        <v>58433</v>
      </c>
      <c r="H1820" s="3">
        <v>72.3</v>
      </c>
      <c r="I1820" s="3">
        <v>21.4</v>
      </c>
      <c r="J1820" s="3">
        <v>6.2</v>
      </c>
      <c r="K1820" s="3">
        <v>0.1</v>
      </c>
      <c r="L1820" s="3">
        <v>9.1999999999999993</v>
      </c>
      <c r="M1820" t="str">
        <f>IF(acs2015_county_data[[#This Row],[PublicWork]]&gt;='Описательные характеристики'!$F$5,"да","нет")</f>
        <v>да</v>
      </c>
      <c r="N1820" t="str">
        <f>IF(acs2015_county_data[[#This Row],[Unemployment]]&gt;='Описательные характеристики'!$I$5,"да","нет")</f>
        <v>да</v>
      </c>
    </row>
    <row r="1821" spans="1:14" x14ac:dyDescent="0.35">
      <c r="A1821">
        <v>35045</v>
      </c>
      <c r="B1821" t="s">
        <v>1163</v>
      </c>
      <c r="C1821" t="s">
        <v>285</v>
      </c>
      <c r="D1821" s="2">
        <v>125133</v>
      </c>
      <c r="E1821" s="2">
        <v>22460</v>
      </c>
      <c r="F1821" s="3">
        <v>2.9</v>
      </c>
      <c r="G1821" s="3">
        <v>51561</v>
      </c>
      <c r="H1821" s="3">
        <v>76.5</v>
      </c>
      <c r="I1821" s="3">
        <v>19.399999999999999</v>
      </c>
      <c r="J1821" s="3">
        <v>3.8</v>
      </c>
      <c r="K1821" s="3">
        <v>0.3</v>
      </c>
      <c r="L1821" s="3">
        <v>9.1999999999999993</v>
      </c>
      <c r="M1821" t="str">
        <f>IF(acs2015_county_data[[#This Row],[PublicWork]]&gt;='Описательные характеристики'!$F$5,"да","нет")</f>
        <v>да</v>
      </c>
      <c r="N1821" t="str">
        <f>IF(acs2015_county_data[[#This Row],[Unemployment]]&gt;='Описательные характеристики'!$I$5,"да","нет")</f>
        <v>да</v>
      </c>
    </row>
    <row r="1822" spans="1:14" x14ac:dyDescent="0.35">
      <c r="A1822">
        <v>35047</v>
      </c>
      <c r="B1822" t="s">
        <v>1163</v>
      </c>
      <c r="C1822" t="s">
        <v>286</v>
      </c>
      <c r="D1822" s="2">
        <v>28668</v>
      </c>
      <c r="E1822" s="2">
        <v>17849</v>
      </c>
      <c r="F1822" s="3">
        <v>7.6</v>
      </c>
      <c r="G1822" s="3">
        <v>9751</v>
      </c>
      <c r="H1822" s="3">
        <v>56.9</v>
      </c>
      <c r="I1822" s="3">
        <v>37.299999999999997</v>
      </c>
      <c r="J1822" s="3">
        <v>5.5</v>
      </c>
      <c r="K1822" s="3">
        <v>0.4</v>
      </c>
      <c r="L1822" s="3">
        <v>6.4</v>
      </c>
      <c r="M1822" t="str">
        <f>IF(acs2015_county_data[[#This Row],[PublicWork]]&gt;='Описательные характеристики'!$F$5,"да","нет")</f>
        <v>да</v>
      </c>
      <c r="N1822" t="str">
        <f>IF(acs2015_county_data[[#This Row],[Unemployment]]&gt;='Описательные характеристики'!$I$5,"да","нет")</f>
        <v>нет</v>
      </c>
    </row>
    <row r="1823" spans="1:14" x14ac:dyDescent="0.35">
      <c r="A1823">
        <v>35049</v>
      </c>
      <c r="B1823" t="s">
        <v>1163</v>
      </c>
      <c r="C1823" t="s">
        <v>1183</v>
      </c>
      <c r="D1823" s="2">
        <v>147108</v>
      </c>
      <c r="E1823" s="2">
        <v>33044</v>
      </c>
      <c r="F1823" s="3">
        <v>8.1</v>
      </c>
      <c r="G1823" s="3">
        <v>70423</v>
      </c>
      <c r="H1823" s="3">
        <v>66.599999999999994</v>
      </c>
      <c r="I1823" s="3">
        <v>20.7</v>
      </c>
      <c r="J1823" s="3">
        <v>12.4</v>
      </c>
      <c r="K1823" s="3">
        <v>0.2</v>
      </c>
      <c r="L1823" s="3">
        <v>7.9</v>
      </c>
      <c r="M1823" t="str">
        <f>IF(acs2015_county_data[[#This Row],[PublicWork]]&gt;='Описательные характеристики'!$F$5,"да","нет")</f>
        <v>да</v>
      </c>
      <c r="N1823" t="str">
        <f>IF(acs2015_county_data[[#This Row],[Unemployment]]&gt;='Описательные характеристики'!$I$5,"да","нет")</f>
        <v>да</v>
      </c>
    </row>
    <row r="1824" spans="1:14" x14ac:dyDescent="0.35">
      <c r="A1824">
        <v>35051</v>
      </c>
      <c r="B1824" t="s">
        <v>1163</v>
      </c>
      <c r="C1824" t="s">
        <v>223</v>
      </c>
      <c r="D1824" s="2">
        <v>11615</v>
      </c>
      <c r="E1824" s="2">
        <v>18982</v>
      </c>
      <c r="F1824" s="3">
        <v>5.2</v>
      </c>
      <c r="G1824" s="3">
        <v>3971</v>
      </c>
      <c r="H1824" s="3">
        <v>59.5</v>
      </c>
      <c r="I1824" s="3">
        <v>30</v>
      </c>
      <c r="J1824" s="3">
        <v>10.199999999999999</v>
      </c>
      <c r="K1824" s="3">
        <v>0.3</v>
      </c>
      <c r="L1824" s="3">
        <v>6.8</v>
      </c>
      <c r="M1824" t="str">
        <f>IF(acs2015_county_data[[#This Row],[PublicWork]]&gt;='Описательные характеристики'!$F$5,"да","нет")</f>
        <v>да</v>
      </c>
      <c r="N1824" t="str">
        <f>IF(acs2015_county_data[[#This Row],[Unemployment]]&gt;='Описательные характеристики'!$I$5,"да","нет")</f>
        <v>нет</v>
      </c>
    </row>
    <row r="1825" spans="1:14" x14ac:dyDescent="0.35">
      <c r="A1825">
        <v>35053</v>
      </c>
      <c r="B1825" t="s">
        <v>1163</v>
      </c>
      <c r="C1825" t="s">
        <v>1184</v>
      </c>
      <c r="D1825" s="2">
        <v>17494</v>
      </c>
      <c r="E1825" s="2">
        <v>18553</v>
      </c>
      <c r="F1825" s="3">
        <v>3.3</v>
      </c>
      <c r="G1825" s="3">
        <v>5706</v>
      </c>
      <c r="H1825" s="3">
        <v>59.7</v>
      </c>
      <c r="I1825" s="3">
        <v>32.9</v>
      </c>
      <c r="J1825" s="3">
        <v>7.4</v>
      </c>
      <c r="K1825" s="3">
        <v>0</v>
      </c>
      <c r="L1825" s="3">
        <v>7.3</v>
      </c>
      <c r="M1825" t="str">
        <f>IF(acs2015_county_data[[#This Row],[PublicWork]]&gt;='Описательные характеристики'!$F$5,"да","нет")</f>
        <v>да</v>
      </c>
      <c r="N1825" t="str">
        <f>IF(acs2015_county_data[[#This Row],[Unemployment]]&gt;='Описательные характеристики'!$I$5,"да","нет")</f>
        <v>нет</v>
      </c>
    </row>
    <row r="1826" spans="1:14" x14ac:dyDescent="0.35">
      <c r="A1826">
        <v>35055</v>
      </c>
      <c r="B1826" t="s">
        <v>1163</v>
      </c>
      <c r="C1826" t="s">
        <v>1185</v>
      </c>
      <c r="D1826" s="2">
        <v>32943</v>
      </c>
      <c r="E1826" s="2">
        <v>22358</v>
      </c>
      <c r="F1826" s="3">
        <v>11.5</v>
      </c>
      <c r="G1826" s="3">
        <v>14356</v>
      </c>
      <c r="H1826" s="3">
        <v>67.400000000000006</v>
      </c>
      <c r="I1826" s="3">
        <v>19.7</v>
      </c>
      <c r="J1826" s="3">
        <v>12.9</v>
      </c>
      <c r="K1826" s="3">
        <v>0</v>
      </c>
      <c r="L1826" s="3">
        <v>10.7</v>
      </c>
      <c r="M1826" t="str">
        <f>IF(acs2015_county_data[[#This Row],[PublicWork]]&gt;='Описательные характеристики'!$F$5,"да","нет")</f>
        <v>да</v>
      </c>
      <c r="N1826" t="str">
        <f>IF(acs2015_county_data[[#This Row],[Unemployment]]&gt;='Описательные характеристики'!$I$5,"да","нет")</f>
        <v>да</v>
      </c>
    </row>
    <row r="1827" spans="1:14" x14ac:dyDescent="0.35">
      <c r="A1827">
        <v>35057</v>
      </c>
      <c r="B1827" t="s">
        <v>1163</v>
      </c>
      <c r="C1827" t="s">
        <v>1186</v>
      </c>
      <c r="D1827" s="2">
        <v>15853</v>
      </c>
      <c r="E1827" s="2">
        <v>18300</v>
      </c>
      <c r="F1827" s="3">
        <v>11.6</v>
      </c>
      <c r="G1827" s="3">
        <v>5348</v>
      </c>
      <c r="H1827" s="3">
        <v>66.2</v>
      </c>
      <c r="I1827" s="3">
        <v>20</v>
      </c>
      <c r="J1827" s="3">
        <v>13.8</v>
      </c>
      <c r="K1827" s="3">
        <v>0</v>
      </c>
      <c r="L1827" s="3">
        <v>11.2</v>
      </c>
      <c r="M1827" t="str">
        <f>IF(acs2015_county_data[[#This Row],[PublicWork]]&gt;='Описательные характеристики'!$F$5,"да","нет")</f>
        <v>да</v>
      </c>
      <c r="N1827" t="str">
        <f>IF(acs2015_county_data[[#This Row],[Unemployment]]&gt;='Описательные характеристики'!$I$5,"да","нет")</f>
        <v>да</v>
      </c>
    </row>
    <row r="1828" spans="1:14" x14ac:dyDescent="0.35">
      <c r="A1828">
        <v>35059</v>
      </c>
      <c r="B1828" t="s">
        <v>1163</v>
      </c>
      <c r="C1828" t="s">
        <v>175</v>
      </c>
      <c r="D1828" s="2">
        <v>4339</v>
      </c>
      <c r="E1828" s="2">
        <v>21705</v>
      </c>
      <c r="F1828" s="3">
        <v>3.5</v>
      </c>
      <c r="G1828" s="3">
        <v>1692</v>
      </c>
      <c r="H1828" s="3">
        <v>67.3</v>
      </c>
      <c r="I1828" s="3">
        <v>25.7</v>
      </c>
      <c r="J1828" s="3">
        <v>6.6</v>
      </c>
      <c r="K1828" s="3">
        <v>0.4</v>
      </c>
      <c r="L1828" s="3">
        <v>2.1</v>
      </c>
      <c r="M1828" t="str">
        <f>IF(acs2015_county_data[[#This Row],[PublicWork]]&gt;='Описательные характеристики'!$F$5,"да","нет")</f>
        <v>да</v>
      </c>
      <c r="N1828" t="str">
        <f>IF(acs2015_county_data[[#This Row],[Unemployment]]&gt;='Описательные характеристики'!$I$5,"да","нет")</f>
        <v>нет</v>
      </c>
    </row>
    <row r="1829" spans="1:14" x14ac:dyDescent="0.35">
      <c r="A1829">
        <v>35061</v>
      </c>
      <c r="B1829" t="s">
        <v>1163</v>
      </c>
      <c r="C1829" t="s">
        <v>1187</v>
      </c>
      <c r="D1829" s="2">
        <v>76297</v>
      </c>
      <c r="E1829" s="2">
        <v>19412</v>
      </c>
      <c r="F1829" s="3">
        <v>4</v>
      </c>
      <c r="G1829" s="3">
        <v>28088</v>
      </c>
      <c r="H1829" s="3">
        <v>70.599999999999994</v>
      </c>
      <c r="I1829" s="3">
        <v>22.8</v>
      </c>
      <c r="J1829" s="3">
        <v>6.3</v>
      </c>
      <c r="K1829" s="3">
        <v>0.4</v>
      </c>
      <c r="L1829" s="3">
        <v>12.4</v>
      </c>
      <c r="M1829" t="str">
        <f>IF(acs2015_county_data[[#This Row],[PublicWork]]&gt;='Описательные характеристики'!$F$5,"да","нет")</f>
        <v>да</v>
      </c>
      <c r="N1829" t="str">
        <f>IF(acs2015_county_data[[#This Row],[Unemployment]]&gt;='Описательные характеристики'!$I$5,"да","нет")</f>
        <v>да</v>
      </c>
    </row>
    <row r="1830" spans="1:14" x14ac:dyDescent="0.35">
      <c r="A1830">
        <v>36001</v>
      </c>
      <c r="B1830" t="s">
        <v>1188</v>
      </c>
      <c r="C1830" t="s">
        <v>1189</v>
      </c>
      <c r="D1830" s="2">
        <v>307463</v>
      </c>
      <c r="E1830" s="2">
        <v>32779</v>
      </c>
      <c r="F1830" s="3">
        <v>2.9</v>
      </c>
      <c r="G1830" s="3">
        <v>155200</v>
      </c>
      <c r="H1830" s="3">
        <v>70.900000000000006</v>
      </c>
      <c r="I1830" s="3">
        <v>25</v>
      </c>
      <c r="J1830" s="3">
        <v>4</v>
      </c>
      <c r="K1830" s="3">
        <v>0.1</v>
      </c>
      <c r="L1830" s="3">
        <v>6.4</v>
      </c>
      <c r="M1830" t="str">
        <f>IF(acs2015_county_data[[#This Row],[PublicWork]]&gt;='Описательные характеристики'!$F$5,"да","нет")</f>
        <v>да</v>
      </c>
      <c r="N1830" t="str">
        <f>IF(acs2015_county_data[[#This Row],[Unemployment]]&gt;='Описательные характеристики'!$I$5,"да","нет")</f>
        <v>нет</v>
      </c>
    </row>
    <row r="1831" spans="1:14" x14ac:dyDescent="0.35">
      <c r="A1831">
        <v>36003</v>
      </c>
      <c r="B1831" t="s">
        <v>1188</v>
      </c>
      <c r="C1831" t="s">
        <v>826</v>
      </c>
      <c r="D1831" s="2">
        <v>48070</v>
      </c>
      <c r="E1831" s="2">
        <v>20940</v>
      </c>
      <c r="F1831" s="3">
        <v>3</v>
      </c>
      <c r="G1831" s="3">
        <v>20410</v>
      </c>
      <c r="H1831" s="3">
        <v>73.900000000000006</v>
      </c>
      <c r="I1831" s="3">
        <v>18.8</v>
      </c>
      <c r="J1831" s="3">
        <v>7.1</v>
      </c>
      <c r="K1831" s="3">
        <v>0.2</v>
      </c>
      <c r="L1831" s="3">
        <v>9.1999999999999993</v>
      </c>
      <c r="M1831" t="str">
        <f>IF(acs2015_county_data[[#This Row],[PublicWork]]&gt;='Описательные характеристики'!$F$5,"да","нет")</f>
        <v>да</v>
      </c>
      <c r="N1831" t="str">
        <f>IF(acs2015_county_data[[#This Row],[Unemployment]]&gt;='Описательные характеристики'!$I$5,"да","нет")</f>
        <v>да</v>
      </c>
    </row>
    <row r="1832" spans="1:14" x14ac:dyDescent="0.35">
      <c r="A1832">
        <v>36005</v>
      </c>
      <c r="B1832" t="s">
        <v>1188</v>
      </c>
      <c r="C1832" t="s">
        <v>1190</v>
      </c>
      <c r="D1832" s="2">
        <v>1428357</v>
      </c>
      <c r="E1832" s="2">
        <v>18456</v>
      </c>
      <c r="F1832" s="3">
        <v>3.3</v>
      </c>
      <c r="G1832" s="3">
        <v>563903</v>
      </c>
      <c r="H1832" s="3">
        <v>79.900000000000006</v>
      </c>
      <c r="I1832" s="3">
        <v>14.8</v>
      </c>
      <c r="J1832" s="3">
        <v>5.2</v>
      </c>
      <c r="K1832" s="3">
        <v>0.1</v>
      </c>
      <c r="L1832" s="3">
        <v>14</v>
      </c>
      <c r="M1832" t="str">
        <f>IF(acs2015_county_data[[#This Row],[PublicWork]]&gt;='Описательные характеристики'!$F$5,"да","нет")</f>
        <v>нет</v>
      </c>
      <c r="N1832" t="str">
        <f>IF(acs2015_county_data[[#This Row],[Unemployment]]&gt;='Описательные характеристики'!$I$5,"да","нет")</f>
        <v>да</v>
      </c>
    </row>
    <row r="1833" spans="1:14" x14ac:dyDescent="0.35">
      <c r="A1833">
        <v>36007</v>
      </c>
      <c r="B1833" t="s">
        <v>1188</v>
      </c>
      <c r="C1833" t="s">
        <v>1191</v>
      </c>
      <c r="D1833" s="2">
        <v>198093</v>
      </c>
      <c r="E1833" s="2">
        <v>25105</v>
      </c>
      <c r="F1833" s="3">
        <v>3.5</v>
      </c>
      <c r="G1833" s="3">
        <v>88758</v>
      </c>
      <c r="H1833" s="3">
        <v>75</v>
      </c>
      <c r="I1833" s="3">
        <v>19.5</v>
      </c>
      <c r="J1833" s="3">
        <v>5.4</v>
      </c>
      <c r="K1833" s="3">
        <v>0.1</v>
      </c>
      <c r="L1833" s="3">
        <v>7.8</v>
      </c>
      <c r="M1833" t="str">
        <f>IF(acs2015_county_data[[#This Row],[PublicWork]]&gt;='Описательные характеристики'!$F$5,"да","нет")</f>
        <v>да</v>
      </c>
      <c r="N1833" t="str">
        <f>IF(acs2015_county_data[[#This Row],[Unemployment]]&gt;='Описательные характеристики'!$I$5,"да","нет")</f>
        <v>да</v>
      </c>
    </row>
    <row r="1834" spans="1:14" x14ac:dyDescent="0.35">
      <c r="A1834">
        <v>36009</v>
      </c>
      <c r="B1834" t="s">
        <v>1188</v>
      </c>
      <c r="C1834" t="s">
        <v>1192</v>
      </c>
      <c r="D1834" s="2">
        <v>78962</v>
      </c>
      <c r="E1834" s="2">
        <v>22336</v>
      </c>
      <c r="F1834" s="3">
        <v>3</v>
      </c>
      <c r="G1834" s="3">
        <v>34265</v>
      </c>
      <c r="H1834" s="3">
        <v>73.900000000000006</v>
      </c>
      <c r="I1834" s="3">
        <v>19.8</v>
      </c>
      <c r="J1834" s="3">
        <v>6.1</v>
      </c>
      <c r="K1834" s="3">
        <v>0.3</v>
      </c>
      <c r="L1834" s="3">
        <v>8.1999999999999993</v>
      </c>
      <c r="M1834" t="str">
        <f>IF(acs2015_county_data[[#This Row],[PublicWork]]&gt;='Описательные характеристики'!$F$5,"да","нет")</f>
        <v>да</v>
      </c>
      <c r="N1834" t="str">
        <f>IF(acs2015_county_data[[#This Row],[Unemployment]]&gt;='Описательные характеристики'!$I$5,"да","нет")</f>
        <v>да</v>
      </c>
    </row>
    <row r="1835" spans="1:14" x14ac:dyDescent="0.35">
      <c r="A1835">
        <v>36011</v>
      </c>
      <c r="B1835" t="s">
        <v>1188</v>
      </c>
      <c r="C1835" t="s">
        <v>1193</v>
      </c>
      <c r="D1835" s="2">
        <v>79173</v>
      </c>
      <c r="E1835" s="2">
        <v>25786</v>
      </c>
      <c r="F1835" s="3">
        <v>4.0999999999999996</v>
      </c>
      <c r="G1835" s="3">
        <v>37023</v>
      </c>
      <c r="H1835" s="3">
        <v>76.099999999999994</v>
      </c>
      <c r="I1835" s="3">
        <v>17.5</v>
      </c>
      <c r="J1835" s="3">
        <v>6.1</v>
      </c>
      <c r="K1835" s="3">
        <v>0.3</v>
      </c>
      <c r="L1835" s="3">
        <v>7.3</v>
      </c>
      <c r="M1835" t="str">
        <f>IF(acs2015_county_data[[#This Row],[PublicWork]]&gt;='Описательные характеристики'!$F$5,"да","нет")</f>
        <v>да</v>
      </c>
      <c r="N1835" t="str">
        <f>IF(acs2015_county_data[[#This Row],[Unemployment]]&gt;='Описательные характеристики'!$I$5,"да","нет")</f>
        <v>нет</v>
      </c>
    </row>
    <row r="1836" spans="1:14" x14ac:dyDescent="0.35">
      <c r="A1836">
        <v>36013</v>
      </c>
      <c r="B1836" t="s">
        <v>1188</v>
      </c>
      <c r="C1836" t="s">
        <v>650</v>
      </c>
      <c r="D1836" s="2">
        <v>132646</v>
      </c>
      <c r="E1836" s="2">
        <v>22903</v>
      </c>
      <c r="F1836" s="3">
        <v>3.5</v>
      </c>
      <c r="G1836" s="3">
        <v>58012</v>
      </c>
      <c r="H1836" s="3">
        <v>74.400000000000006</v>
      </c>
      <c r="I1836" s="3">
        <v>17.899999999999999</v>
      </c>
      <c r="J1836" s="3">
        <v>7.5</v>
      </c>
      <c r="K1836" s="3">
        <v>0.2</v>
      </c>
      <c r="L1836" s="3">
        <v>7.8</v>
      </c>
      <c r="M1836" t="str">
        <f>IF(acs2015_county_data[[#This Row],[PublicWork]]&gt;='Описательные характеристики'!$F$5,"да","нет")</f>
        <v>да</v>
      </c>
      <c r="N1836" t="str">
        <f>IF(acs2015_county_data[[#This Row],[Unemployment]]&gt;='Описательные характеристики'!$I$5,"да","нет")</f>
        <v>да</v>
      </c>
    </row>
    <row r="1837" spans="1:14" x14ac:dyDescent="0.35">
      <c r="A1837">
        <v>36015</v>
      </c>
      <c r="B1837" t="s">
        <v>1188</v>
      </c>
      <c r="C1837" t="s">
        <v>1194</v>
      </c>
      <c r="D1837" s="2">
        <v>88267</v>
      </c>
      <c r="E1837" s="2">
        <v>26262</v>
      </c>
      <c r="F1837" s="3">
        <v>2.2999999999999998</v>
      </c>
      <c r="G1837" s="3">
        <v>38219</v>
      </c>
      <c r="H1837" s="3">
        <v>78.3</v>
      </c>
      <c r="I1837" s="3">
        <v>16.7</v>
      </c>
      <c r="J1837" s="3">
        <v>4.8</v>
      </c>
      <c r="K1837" s="3">
        <v>0.2</v>
      </c>
      <c r="L1837" s="3">
        <v>5.4</v>
      </c>
      <c r="M1837" t="str">
        <f>IF(acs2015_county_data[[#This Row],[PublicWork]]&gt;='Описательные характеристики'!$F$5,"да","нет")</f>
        <v>да</v>
      </c>
      <c r="N1837" t="str">
        <f>IF(acs2015_county_data[[#This Row],[Unemployment]]&gt;='Описательные характеристики'!$I$5,"да","нет")</f>
        <v>нет</v>
      </c>
    </row>
    <row r="1838" spans="1:14" x14ac:dyDescent="0.35">
      <c r="A1838">
        <v>36017</v>
      </c>
      <c r="B1838" t="s">
        <v>1188</v>
      </c>
      <c r="C1838" t="s">
        <v>1195</v>
      </c>
      <c r="D1838" s="2">
        <v>49549</v>
      </c>
      <c r="E1838" s="2">
        <v>23036</v>
      </c>
      <c r="F1838" s="3">
        <v>5.2</v>
      </c>
      <c r="G1838" s="3">
        <v>21652</v>
      </c>
      <c r="H1838" s="3">
        <v>70.2</v>
      </c>
      <c r="I1838" s="3">
        <v>21.4</v>
      </c>
      <c r="J1838" s="3">
        <v>8</v>
      </c>
      <c r="K1838" s="3">
        <v>0.5</v>
      </c>
      <c r="L1838" s="3">
        <v>7.1</v>
      </c>
      <c r="M1838" t="str">
        <f>IF(acs2015_county_data[[#This Row],[PublicWork]]&gt;='Описательные характеристики'!$F$5,"да","нет")</f>
        <v>да</v>
      </c>
      <c r="N1838" t="str">
        <f>IF(acs2015_county_data[[#This Row],[Unemployment]]&gt;='Описательные характеристики'!$I$5,"да","нет")</f>
        <v>нет</v>
      </c>
    </row>
    <row r="1839" spans="1:14" x14ac:dyDescent="0.35">
      <c r="A1839">
        <v>36019</v>
      </c>
      <c r="B1839" t="s">
        <v>1188</v>
      </c>
      <c r="C1839" t="s">
        <v>511</v>
      </c>
      <c r="D1839" s="2">
        <v>81685</v>
      </c>
      <c r="E1839" s="2">
        <v>24941</v>
      </c>
      <c r="F1839" s="3">
        <v>2.8</v>
      </c>
      <c r="G1839" s="3">
        <v>35522</v>
      </c>
      <c r="H1839" s="3">
        <v>70.599999999999994</v>
      </c>
      <c r="I1839" s="3">
        <v>23.9</v>
      </c>
      <c r="J1839" s="3">
        <v>5.4</v>
      </c>
      <c r="K1839" s="3">
        <v>0.1</v>
      </c>
      <c r="L1839" s="3">
        <v>6.9</v>
      </c>
      <c r="M1839" t="str">
        <f>IF(acs2015_county_data[[#This Row],[PublicWork]]&gt;='Описательные характеристики'!$F$5,"да","нет")</f>
        <v>да</v>
      </c>
      <c r="N1839" t="str">
        <f>IF(acs2015_county_data[[#This Row],[Unemployment]]&gt;='Описательные характеристики'!$I$5,"да","нет")</f>
        <v>нет</v>
      </c>
    </row>
    <row r="1840" spans="1:14" x14ac:dyDescent="0.35">
      <c r="A1840">
        <v>36021</v>
      </c>
      <c r="B1840" t="s">
        <v>1188</v>
      </c>
      <c r="C1840" t="s">
        <v>133</v>
      </c>
      <c r="D1840" s="2">
        <v>62195</v>
      </c>
      <c r="E1840" s="2">
        <v>32851</v>
      </c>
      <c r="F1840" s="3">
        <v>6.7</v>
      </c>
      <c r="G1840" s="3">
        <v>29962</v>
      </c>
      <c r="H1840" s="3">
        <v>71</v>
      </c>
      <c r="I1840" s="3">
        <v>19.8</v>
      </c>
      <c r="J1840" s="3">
        <v>8.9</v>
      </c>
      <c r="K1840" s="3">
        <v>0.3</v>
      </c>
      <c r="L1840" s="3">
        <v>6.7</v>
      </c>
      <c r="M1840" t="str">
        <f>IF(acs2015_county_data[[#This Row],[PublicWork]]&gt;='Описательные характеристики'!$F$5,"да","нет")</f>
        <v>да</v>
      </c>
      <c r="N1840" t="str">
        <f>IF(acs2015_county_data[[#This Row],[Unemployment]]&gt;='Описательные характеристики'!$I$5,"да","нет")</f>
        <v>нет</v>
      </c>
    </row>
    <row r="1841" spans="1:14" x14ac:dyDescent="0.35">
      <c r="A1841">
        <v>36023</v>
      </c>
      <c r="B1841" t="s">
        <v>1188</v>
      </c>
      <c r="C1841" t="s">
        <v>1196</v>
      </c>
      <c r="D1841" s="2">
        <v>49043</v>
      </c>
      <c r="E1841" s="2">
        <v>24228</v>
      </c>
      <c r="F1841" s="3">
        <v>4.8</v>
      </c>
      <c r="G1841" s="3">
        <v>24080</v>
      </c>
      <c r="H1841" s="3">
        <v>72.7</v>
      </c>
      <c r="I1841" s="3">
        <v>20.6</v>
      </c>
      <c r="J1841" s="3">
        <v>6.5</v>
      </c>
      <c r="K1841" s="3">
        <v>0.2</v>
      </c>
      <c r="L1841" s="3">
        <v>6.1</v>
      </c>
      <c r="M1841" t="str">
        <f>IF(acs2015_county_data[[#This Row],[PublicWork]]&gt;='Описательные характеристики'!$F$5,"да","нет")</f>
        <v>да</v>
      </c>
      <c r="N1841" t="str">
        <f>IF(acs2015_county_data[[#This Row],[Unemployment]]&gt;='Описательные характеристики'!$I$5,"да","нет")</f>
        <v>нет</v>
      </c>
    </row>
    <row r="1842" spans="1:14" x14ac:dyDescent="0.35">
      <c r="A1842">
        <v>36025</v>
      </c>
      <c r="B1842" t="s">
        <v>1188</v>
      </c>
      <c r="C1842" t="s">
        <v>300</v>
      </c>
      <c r="D1842" s="2">
        <v>46901</v>
      </c>
      <c r="E1842" s="2">
        <v>23835</v>
      </c>
      <c r="F1842" s="3">
        <v>6.3</v>
      </c>
      <c r="G1842" s="3">
        <v>19850</v>
      </c>
      <c r="H1842" s="3">
        <v>65.7</v>
      </c>
      <c r="I1842" s="3">
        <v>22.8</v>
      </c>
      <c r="J1842" s="3">
        <v>11</v>
      </c>
      <c r="K1842" s="3">
        <v>0.5</v>
      </c>
      <c r="L1842" s="3">
        <v>9.5</v>
      </c>
      <c r="M1842" t="str">
        <f>IF(acs2015_county_data[[#This Row],[PublicWork]]&gt;='Описательные характеристики'!$F$5,"да","нет")</f>
        <v>да</v>
      </c>
      <c r="N1842" t="str">
        <f>IF(acs2015_county_data[[#This Row],[Unemployment]]&gt;='Описательные характеристики'!$I$5,"да","нет")</f>
        <v>да</v>
      </c>
    </row>
    <row r="1843" spans="1:14" x14ac:dyDescent="0.35">
      <c r="A1843">
        <v>36027</v>
      </c>
      <c r="B1843" t="s">
        <v>1188</v>
      </c>
      <c r="C1843" t="s">
        <v>1197</v>
      </c>
      <c r="D1843" s="2">
        <v>296928</v>
      </c>
      <c r="E1843" s="2">
        <v>33923</v>
      </c>
      <c r="F1843" s="3">
        <v>5.5</v>
      </c>
      <c r="G1843" s="3">
        <v>143829</v>
      </c>
      <c r="H1843" s="3">
        <v>77.2</v>
      </c>
      <c r="I1843" s="3">
        <v>16.8</v>
      </c>
      <c r="J1843" s="3">
        <v>5.7</v>
      </c>
      <c r="K1843" s="3">
        <v>0.2</v>
      </c>
      <c r="L1843" s="3">
        <v>8.6999999999999993</v>
      </c>
      <c r="M1843" t="str">
        <f>IF(acs2015_county_data[[#This Row],[PublicWork]]&gt;='Описательные характеристики'!$F$5,"да","нет")</f>
        <v>да</v>
      </c>
      <c r="N1843" t="str">
        <f>IF(acs2015_county_data[[#This Row],[Unemployment]]&gt;='Описательные характеристики'!$I$5,"да","нет")</f>
        <v>да</v>
      </c>
    </row>
    <row r="1844" spans="1:14" x14ac:dyDescent="0.35">
      <c r="A1844">
        <v>36029</v>
      </c>
      <c r="B1844" t="s">
        <v>1188</v>
      </c>
      <c r="C1844" t="s">
        <v>1198</v>
      </c>
      <c r="D1844" s="2">
        <v>921584</v>
      </c>
      <c r="E1844" s="2">
        <v>28879</v>
      </c>
      <c r="F1844" s="3">
        <v>2.6</v>
      </c>
      <c r="G1844" s="3">
        <v>441369</v>
      </c>
      <c r="H1844" s="3">
        <v>79.2</v>
      </c>
      <c r="I1844" s="3">
        <v>16.8</v>
      </c>
      <c r="J1844" s="3">
        <v>4</v>
      </c>
      <c r="K1844" s="3">
        <v>0.1</v>
      </c>
      <c r="L1844" s="3">
        <v>7</v>
      </c>
      <c r="M1844" t="str">
        <f>IF(acs2015_county_data[[#This Row],[PublicWork]]&gt;='Описательные характеристики'!$F$5,"да","нет")</f>
        <v>да</v>
      </c>
      <c r="N1844" t="str">
        <f>IF(acs2015_county_data[[#This Row],[Unemployment]]&gt;='Описательные характеристики'!$I$5,"да","нет")</f>
        <v>нет</v>
      </c>
    </row>
    <row r="1845" spans="1:14" x14ac:dyDescent="0.35">
      <c r="A1845">
        <v>36031</v>
      </c>
      <c r="B1845" t="s">
        <v>1188</v>
      </c>
      <c r="C1845" t="s">
        <v>848</v>
      </c>
      <c r="D1845" s="2">
        <v>38912</v>
      </c>
      <c r="E1845" s="2">
        <v>26805</v>
      </c>
      <c r="F1845" s="3">
        <v>5.3</v>
      </c>
      <c r="G1845" s="3">
        <v>17769</v>
      </c>
      <c r="H1845" s="3">
        <v>70.2</v>
      </c>
      <c r="I1845" s="3">
        <v>20.399999999999999</v>
      </c>
      <c r="J1845" s="3">
        <v>9.1999999999999993</v>
      </c>
      <c r="K1845" s="3">
        <v>0.3</v>
      </c>
      <c r="L1845" s="3">
        <v>7.9</v>
      </c>
      <c r="M1845" t="str">
        <f>IF(acs2015_county_data[[#This Row],[PublicWork]]&gt;='Описательные характеристики'!$F$5,"да","нет")</f>
        <v>да</v>
      </c>
      <c r="N1845" t="str">
        <f>IF(acs2015_county_data[[#This Row],[Unemployment]]&gt;='Описательные характеристики'!$I$5,"да","нет")</f>
        <v>да</v>
      </c>
    </row>
    <row r="1846" spans="1:14" x14ac:dyDescent="0.35">
      <c r="A1846">
        <v>36033</v>
      </c>
      <c r="B1846" t="s">
        <v>1188</v>
      </c>
      <c r="C1846" t="s">
        <v>43</v>
      </c>
      <c r="D1846" s="2">
        <v>51280</v>
      </c>
      <c r="E1846" s="2">
        <v>22488</v>
      </c>
      <c r="F1846" s="3">
        <v>5.8</v>
      </c>
      <c r="G1846" s="3">
        <v>20094</v>
      </c>
      <c r="H1846" s="3">
        <v>62.5</v>
      </c>
      <c r="I1846" s="3">
        <v>28.9</v>
      </c>
      <c r="J1846" s="3">
        <v>8.3000000000000007</v>
      </c>
      <c r="K1846" s="3">
        <v>0.2</v>
      </c>
      <c r="L1846" s="3">
        <v>8.8000000000000007</v>
      </c>
      <c r="M1846" t="str">
        <f>IF(acs2015_county_data[[#This Row],[PublicWork]]&gt;='Описательные характеристики'!$F$5,"да","нет")</f>
        <v>да</v>
      </c>
      <c r="N1846" t="str">
        <f>IF(acs2015_county_data[[#This Row],[Unemployment]]&gt;='Описательные характеристики'!$I$5,"да","нет")</f>
        <v>да</v>
      </c>
    </row>
    <row r="1847" spans="1:14" x14ac:dyDescent="0.35">
      <c r="A1847">
        <v>36035</v>
      </c>
      <c r="B1847" t="s">
        <v>1188</v>
      </c>
      <c r="C1847" t="s">
        <v>142</v>
      </c>
      <c r="D1847" s="2">
        <v>54606</v>
      </c>
      <c r="E1847" s="2">
        <v>24339</v>
      </c>
      <c r="F1847" s="3">
        <v>3.2</v>
      </c>
      <c r="G1847" s="3">
        <v>24116</v>
      </c>
      <c r="H1847" s="3">
        <v>79</v>
      </c>
      <c r="I1847" s="3">
        <v>16.2</v>
      </c>
      <c r="J1847" s="3">
        <v>4.4000000000000004</v>
      </c>
      <c r="K1847" s="3">
        <v>0.3</v>
      </c>
      <c r="L1847" s="3">
        <v>9.3000000000000007</v>
      </c>
      <c r="M1847" t="str">
        <f>IF(acs2015_county_data[[#This Row],[PublicWork]]&gt;='Описательные характеристики'!$F$5,"да","нет")</f>
        <v>да</v>
      </c>
      <c r="N1847" t="str">
        <f>IF(acs2015_county_data[[#This Row],[Unemployment]]&gt;='Описательные характеристики'!$I$5,"да","нет")</f>
        <v>да</v>
      </c>
    </row>
    <row r="1848" spans="1:14" x14ac:dyDescent="0.35">
      <c r="A1848">
        <v>36037</v>
      </c>
      <c r="B1848" t="s">
        <v>1188</v>
      </c>
      <c r="C1848" t="s">
        <v>870</v>
      </c>
      <c r="D1848" s="2">
        <v>59458</v>
      </c>
      <c r="E1848" s="2">
        <v>25240</v>
      </c>
      <c r="F1848" s="3">
        <v>2.9</v>
      </c>
      <c r="G1848" s="3">
        <v>29675</v>
      </c>
      <c r="H1848" s="3">
        <v>76.599999999999994</v>
      </c>
      <c r="I1848" s="3">
        <v>18</v>
      </c>
      <c r="J1848" s="3">
        <v>5.2</v>
      </c>
      <c r="K1848" s="3">
        <v>0.2</v>
      </c>
      <c r="L1848" s="3">
        <v>6.7</v>
      </c>
      <c r="M1848" t="str">
        <f>IF(acs2015_county_data[[#This Row],[PublicWork]]&gt;='Описательные характеристики'!$F$5,"да","нет")</f>
        <v>да</v>
      </c>
      <c r="N1848" t="str">
        <f>IF(acs2015_county_data[[#This Row],[Unemployment]]&gt;='Описательные характеристики'!$I$5,"да","нет")</f>
        <v>нет</v>
      </c>
    </row>
    <row r="1849" spans="1:14" x14ac:dyDescent="0.35">
      <c r="A1849">
        <v>36039</v>
      </c>
      <c r="B1849" t="s">
        <v>1188</v>
      </c>
      <c r="C1849" t="s">
        <v>45</v>
      </c>
      <c r="D1849" s="2">
        <v>48312</v>
      </c>
      <c r="E1849" s="2">
        <v>26261</v>
      </c>
      <c r="F1849" s="3">
        <v>4.5</v>
      </c>
      <c r="G1849" s="3">
        <v>19731</v>
      </c>
      <c r="H1849" s="3">
        <v>68.099999999999994</v>
      </c>
      <c r="I1849" s="3">
        <v>23.3</v>
      </c>
      <c r="J1849" s="3">
        <v>7.8</v>
      </c>
      <c r="K1849" s="3">
        <v>0.8</v>
      </c>
      <c r="L1849" s="3">
        <v>9.1</v>
      </c>
      <c r="M1849" t="str">
        <f>IF(acs2015_county_data[[#This Row],[PublicWork]]&gt;='Описательные характеристики'!$F$5,"да","нет")</f>
        <v>да</v>
      </c>
      <c r="N1849" t="str">
        <f>IF(acs2015_county_data[[#This Row],[Unemployment]]&gt;='Описательные характеристики'!$I$5,"да","нет")</f>
        <v>да</v>
      </c>
    </row>
    <row r="1850" spans="1:14" x14ac:dyDescent="0.35">
      <c r="A1850">
        <v>36041</v>
      </c>
      <c r="B1850" t="s">
        <v>1188</v>
      </c>
      <c r="C1850" t="s">
        <v>323</v>
      </c>
      <c r="D1850" s="2">
        <v>4760</v>
      </c>
      <c r="E1850" s="2">
        <v>26968</v>
      </c>
      <c r="F1850" s="3">
        <v>5.8</v>
      </c>
      <c r="G1850" s="3">
        <v>1887</v>
      </c>
      <c r="H1850" s="3">
        <v>63.2</v>
      </c>
      <c r="I1850" s="3">
        <v>30.6</v>
      </c>
      <c r="J1850" s="3">
        <v>6</v>
      </c>
      <c r="K1850" s="3">
        <v>0.2</v>
      </c>
      <c r="L1850" s="3">
        <v>9.6999999999999993</v>
      </c>
      <c r="M1850" t="str">
        <f>IF(acs2015_county_data[[#This Row],[PublicWork]]&gt;='Описательные характеристики'!$F$5,"да","нет")</f>
        <v>да</v>
      </c>
      <c r="N1850" t="str">
        <f>IF(acs2015_county_data[[#This Row],[Unemployment]]&gt;='Описательные характеристики'!$I$5,"да","нет")</f>
        <v>да</v>
      </c>
    </row>
    <row r="1851" spans="1:14" x14ac:dyDescent="0.35">
      <c r="A1851">
        <v>36043</v>
      </c>
      <c r="B1851" t="s">
        <v>1188</v>
      </c>
      <c r="C1851" t="s">
        <v>1199</v>
      </c>
      <c r="D1851" s="2">
        <v>64034</v>
      </c>
      <c r="E1851" s="2">
        <v>23753</v>
      </c>
      <c r="F1851" s="3">
        <v>4.5999999999999996</v>
      </c>
      <c r="G1851" s="3">
        <v>29074</v>
      </c>
      <c r="H1851" s="3">
        <v>76.3</v>
      </c>
      <c r="I1851" s="3">
        <v>16.7</v>
      </c>
      <c r="J1851" s="3">
        <v>6.9</v>
      </c>
      <c r="K1851" s="3">
        <v>0.2</v>
      </c>
      <c r="L1851" s="3">
        <v>8.6999999999999993</v>
      </c>
      <c r="M1851" t="str">
        <f>IF(acs2015_county_data[[#This Row],[PublicWork]]&gt;='Описательные характеристики'!$F$5,"да","нет")</f>
        <v>да</v>
      </c>
      <c r="N1851" t="str">
        <f>IF(acs2015_county_data[[#This Row],[Unemployment]]&gt;='Описательные характеристики'!$I$5,"да","нет")</f>
        <v>да</v>
      </c>
    </row>
    <row r="1852" spans="1:14" x14ac:dyDescent="0.35">
      <c r="A1852">
        <v>36045</v>
      </c>
      <c r="B1852" t="s">
        <v>1188</v>
      </c>
      <c r="C1852" t="s">
        <v>50</v>
      </c>
      <c r="D1852" s="2">
        <v>118947</v>
      </c>
      <c r="E1852" s="2">
        <v>23659</v>
      </c>
      <c r="F1852" s="3">
        <v>4</v>
      </c>
      <c r="G1852" s="3">
        <v>44732</v>
      </c>
      <c r="H1852" s="3">
        <v>67</v>
      </c>
      <c r="I1852" s="3">
        <v>26.2</v>
      </c>
      <c r="J1852" s="3">
        <v>6.7</v>
      </c>
      <c r="K1852" s="3">
        <v>0.1</v>
      </c>
      <c r="L1852" s="3">
        <v>10.6</v>
      </c>
      <c r="M1852" t="str">
        <f>IF(acs2015_county_data[[#This Row],[PublicWork]]&gt;='Описательные характеристики'!$F$5,"да","нет")</f>
        <v>да</v>
      </c>
      <c r="N1852" t="str">
        <f>IF(acs2015_county_data[[#This Row],[Unemployment]]&gt;='Описательные характеристики'!$I$5,"да","нет")</f>
        <v>да</v>
      </c>
    </row>
    <row r="1853" spans="1:14" x14ac:dyDescent="0.35">
      <c r="A1853">
        <v>36047</v>
      </c>
      <c r="B1853" t="s">
        <v>1188</v>
      </c>
      <c r="C1853" t="s">
        <v>195</v>
      </c>
      <c r="D1853" s="2">
        <v>2595259</v>
      </c>
      <c r="E1853" s="2">
        <v>26774</v>
      </c>
      <c r="F1853" s="3">
        <v>3.9</v>
      </c>
      <c r="G1853" s="3">
        <v>1167448</v>
      </c>
      <c r="H1853" s="3">
        <v>79.099999999999994</v>
      </c>
      <c r="I1853" s="3">
        <v>14.4</v>
      </c>
      <c r="J1853" s="3">
        <v>6.5</v>
      </c>
      <c r="K1853" s="3">
        <v>0.1</v>
      </c>
      <c r="L1853" s="3">
        <v>10</v>
      </c>
      <c r="M1853" t="str">
        <f>IF(acs2015_county_data[[#This Row],[PublicWork]]&gt;='Описательные характеристики'!$F$5,"да","нет")</f>
        <v>нет</v>
      </c>
      <c r="N1853" t="str">
        <f>IF(acs2015_county_data[[#This Row],[Unemployment]]&gt;='Описательные характеристики'!$I$5,"да","нет")</f>
        <v>да</v>
      </c>
    </row>
    <row r="1854" spans="1:14" x14ac:dyDescent="0.35">
      <c r="A1854">
        <v>36049</v>
      </c>
      <c r="B1854" t="s">
        <v>1188</v>
      </c>
      <c r="C1854" t="s">
        <v>492</v>
      </c>
      <c r="D1854" s="2">
        <v>27124</v>
      </c>
      <c r="E1854" s="2">
        <v>24772</v>
      </c>
      <c r="F1854" s="3">
        <v>4.2</v>
      </c>
      <c r="G1854" s="3">
        <v>11966</v>
      </c>
      <c r="H1854" s="3">
        <v>64.3</v>
      </c>
      <c r="I1854" s="3">
        <v>25.9</v>
      </c>
      <c r="J1854" s="3">
        <v>9.1</v>
      </c>
      <c r="K1854" s="3">
        <v>0.7</v>
      </c>
      <c r="L1854" s="3">
        <v>8.3000000000000007</v>
      </c>
      <c r="M1854" t="str">
        <f>IF(acs2015_county_data[[#This Row],[PublicWork]]&gt;='Описательные характеристики'!$F$5,"да","нет")</f>
        <v>да</v>
      </c>
      <c r="N1854" t="str">
        <f>IF(acs2015_county_data[[#This Row],[Unemployment]]&gt;='Описательные характеристики'!$I$5,"да","нет")</f>
        <v>да</v>
      </c>
    </row>
    <row r="1855" spans="1:14" x14ac:dyDescent="0.35">
      <c r="A1855">
        <v>36051</v>
      </c>
      <c r="B1855" t="s">
        <v>1188</v>
      </c>
      <c r="C1855" t="s">
        <v>531</v>
      </c>
      <c r="D1855" s="2">
        <v>64801</v>
      </c>
      <c r="E1855" s="2">
        <v>24142</v>
      </c>
      <c r="F1855" s="3">
        <v>3.3</v>
      </c>
      <c r="G1855" s="3">
        <v>30099</v>
      </c>
      <c r="H1855" s="3">
        <v>73.900000000000006</v>
      </c>
      <c r="I1855" s="3">
        <v>19.7</v>
      </c>
      <c r="J1855" s="3">
        <v>5.8</v>
      </c>
      <c r="K1855" s="3">
        <v>0.6</v>
      </c>
      <c r="L1855" s="3">
        <v>5.4</v>
      </c>
      <c r="M1855" t="str">
        <f>IF(acs2015_county_data[[#This Row],[PublicWork]]&gt;='Описательные характеристики'!$F$5,"да","нет")</f>
        <v>да</v>
      </c>
      <c r="N1855" t="str">
        <f>IF(acs2015_county_data[[#This Row],[Unemployment]]&gt;='Описательные характеристики'!$I$5,"да","нет")</f>
        <v>нет</v>
      </c>
    </row>
    <row r="1856" spans="1:14" x14ac:dyDescent="0.35">
      <c r="A1856">
        <v>36053</v>
      </c>
      <c r="B1856" t="s">
        <v>1188</v>
      </c>
      <c r="C1856" t="s">
        <v>57</v>
      </c>
      <c r="D1856" s="2">
        <v>72427</v>
      </c>
      <c r="E1856" s="2">
        <v>25984</v>
      </c>
      <c r="F1856" s="3">
        <v>3.9</v>
      </c>
      <c r="G1856" s="3">
        <v>33023</v>
      </c>
      <c r="H1856" s="3">
        <v>76.599999999999994</v>
      </c>
      <c r="I1856" s="3">
        <v>16.2</v>
      </c>
      <c r="J1856" s="3">
        <v>7.1</v>
      </c>
      <c r="K1856" s="3">
        <v>0.1</v>
      </c>
      <c r="L1856" s="3">
        <v>5.0999999999999996</v>
      </c>
      <c r="M1856" t="str">
        <f>IF(acs2015_county_data[[#This Row],[PublicWork]]&gt;='Описательные характеристики'!$F$5,"да","нет")</f>
        <v>да</v>
      </c>
      <c r="N1856" t="str">
        <f>IF(acs2015_county_data[[#This Row],[Unemployment]]&gt;='Описательные характеристики'!$I$5,"да","нет")</f>
        <v>нет</v>
      </c>
    </row>
    <row r="1857" spans="1:14" x14ac:dyDescent="0.35">
      <c r="A1857">
        <v>36055</v>
      </c>
      <c r="B1857" t="s">
        <v>1188</v>
      </c>
      <c r="C1857" t="s">
        <v>62</v>
      </c>
      <c r="D1857" s="2">
        <v>749356</v>
      </c>
      <c r="E1857" s="2">
        <v>29424</v>
      </c>
      <c r="F1857" s="3">
        <v>3.5</v>
      </c>
      <c r="G1857" s="3">
        <v>361948</v>
      </c>
      <c r="H1857" s="3">
        <v>82.6</v>
      </c>
      <c r="I1857" s="3">
        <v>12.4</v>
      </c>
      <c r="J1857" s="3">
        <v>4.9000000000000004</v>
      </c>
      <c r="K1857" s="3">
        <v>0.1</v>
      </c>
      <c r="L1857" s="3">
        <v>7.7</v>
      </c>
      <c r="M1857" t="str">
        <f>IF(acs2015_county_data[[#This Row],[PublicWork]]&gt;='Описательные характеристики'!$F$5,"да","нет")</f>
        <v>нет</v>
      </c>
      <c r="N1857" t="str">
        <f>IF(acs2015_county_data[[#This Row],[Unemployment]]&gt;='Описательные характеристики'!$I$5,"да","нет")</f>
        <v>да</v>
      </c>
    </row>
    <row r="1858" spans="1:14" x14ac:dyDescent="0.35">
      <c r="A1858">
        <v>36057</v>
      </c>
      <c r="B1858" t="s">
        <v>1188</v>
      </c>
      <c r="C1858" t="s">
        <v>158</v>
      </c>
      <c r="D1858" s="2">
        <v>49779</v>
      </c>
      <c r="E1858" s="2">
        <v>23554</v>
      </c>
      <c r="F1858" s="3">
        <v>3.3</v>
      </c>
      <c r="G1858" s="3">
        <v>21683</v>
      </c>
      <c r="H1858" s="3">
        <v>76.400000000000006</v>
      </c>
      <c r="I1858" s="3">
        <v>17.399999999999999</v>
      </c>
      <c r="J1858" s="3">
        <v>6</v>
      </c>
      <c r="K1858" s="3">
        <v>0.1</v>
      </c>
      <c r="L1858" s="3">
        <v>8.9</v>
      </c>
      <c r="M1858" t="str">
        <f>IF(acs2015_county_data[[#This Row],[PublicWork]]&gt;='Описательные характеристики'!$F$5,"да","нет")</f>
        <v>да</v>
      </c>
      <c r="N1858" t="str">
        <f>IF(acs2015_county_data[[#This Row],[Unemployment]]&gt;='Описательные характеристики'!$I$5,"да","нет")</f>
        <v>да</v>
      </c>
    </row>
    <row r="1859" spans="1:14" x14ac:dyDescent="0.35">
      <c r="A1859">
        <v>36059</v>
      </c>
      <c r="B1859" t="s">
        <v>1188</v>
      </c>
      <c r="C1859" t="s">
        <v>1995</v>
      </c>
      <c r="D1859" s="2">
        <v>1354612</v>
      </c>
      <c r="E1859" s="2">
        <v>43206</v>
      </c>
      <c r="F1859" s="3">
        <v>3.6</v>
      </c>
      <c r="G1859" s="3">
        <v>666184</v>
      </c>
      <c r="H1859" s="3">
        <v>78</v>
      </c>
      <c r="I1859" s="3">
        <v>16.399999999999999</v>
      </c>
      <c r="J1859" s="3">
        <v>5.5</v>
      </c>
      <c r="K1859" s="3">
        <v>0.1</v>
      </c>
      <c r="L1859" s="3">
        <v>6.4</v>
      </c>
      <c r="M1859" t="str">
        <f>IF(acs2015_county_data[[#This Row],[PublicWork]]&gt;='Описательные характеристики'!$F$5,"да","нет")</f>
        <v>да</v>
      </c>
      <c r="N1859" t="str">
        <f>IF(acs2015_county_data[[#This Row],[Unemployment]]&gt;='Описательные характеристики'!$I$5,"да","нет")</f>
        <v>нет</v>
      </c>
    </row>
    <row r="1860" spans="1:14" x14ac:dyDescent="0.35">
      <c r="A1860">
        <v>36061</v>
      </c>
      <c r="B1860" t="s">
        <v>1188</v>
      </c>
      <c r="C1860" t="s">
        <v>1188</v>
      </c>
      <c r="D1860" s="2">
        <v>1629507</v>
      </c>
      <c r="E1860" s="2">
        <v>64993</v>
      </c>
      <c r="F1860" s="3">
        <v>6.8</v>
      </c>
      <c r="G1860" s="3">
        <v>884457</v>
      </c>
      <c r="H1860" s="3">
        <v>83.6</v>
      </c>
      <c r="I1860" s="3">
        <v>8.5</v>
      </c>
      <c r="J1860" s="3">
        <v>7.8</v>
      </c>
      <c r="K1860" s="3">
        <v>0.1</v>
      </c>
      <c r="L1860" s="3">
        <v>7.5</v>
      </c>
      <c r="M1860" t="str">
        <f>IF(acs2015_county_data[[#This Row],[PublicWork]]&gt;='Описательные характеристики'!$F$5,"да","нет")</f>
        <v>нет</v>
      </c>
      <c r="N1860" t="str">
        <f>IF(acs2015_county_data[[#This Row],[Unemployment]]&gt;='Описательные характеристики'!$I$5,"да","нет")</f>
        <v>нет</v>
      </c>
    </row>
    <row r="1861" spans="1:14" x14ac:dyDescent="0.35">
      <c r="A1861">
        <v>36063</v>
      </c>
      <c r="B1861" t="s">
        <v>1188</v>
      </c>
      <c r="C1861" t="s">
        <v>1200</v>
      </c>
      <c r="D1861" s="2">
        <v>214150</v>
      </c>
      <c r="E1861" s="2">
        <v>26891</v>
      </c>
      <c r="F1861" s="3">
        <v>2.4</v>
      </c>
      <c r="G1861" s="3">
        <v>100718</v>
      </c>
      <c r="H1861" s="3">
        <v>81.900000000000006</v>
      </c>
      <c r="I1861" s="3">
        <v>13.9</v>
      </c>
      <c r="J1861" s="3">
        <v>4</v>
      </c>
      <c r="K1861" s="3">
        <v>0.1</v>
      </c>
      <c r="L1861" s="3">
        <v>7.6</v>
      </c>
      <c r="M1861" t="str">
        <f>IF(acs2015_county_data[[#This Row],[PublicWork]]&gt;='Описательные характеристики'!$F$5,"да","нет")</f>
        <v>нет</v>
      </c>
      <c r="N1861" t="str">
        <f>IF(acs2015_county_data[[#This Row],[Unemployment]]&gt;='Описательные характеристики'!$I$5,"да","нет")</f>
        <v>да</v>
      </c>
    </row>
    <row r="1862" spans="1:14" x14ac:dyDescent="0.35">
      <c r="A1862">
        <v>36065</v>
      </c>
      <c r="B1862" t="s">
        <v>1188</v>
      </c>
      <c r="C1862" t="s">
        <v>495</v>
      </c>
      <c r="D1862" s="2">
        <v>233558</v>
      </c>
      <c r="E1862" s="2">
        <v>25982</v>
      </c>
      <c r="F1862" s="3">
        <v>3.7</v>
      </c>
      <c r="G1862" s="3">
        <v>103944</v>
      </c>
      <c r="H1862" s="3">
        <v>74.599999999999994</v>
      </c>
      <c r="I1862" s="3">
        <v>19.899999999999999</v>
      </c>
      <c r="J1862" s="3">
        <v>5.3</v>
      </c>
      <c r="K1862" s="3">
        <v>0.2</v>
      </c>
      <c r="L1862" s="3">
        <v>7.4</v>
      </c>
      <c r="M1862" t="str">
        <f>IF(acs2015_county_data[[#This Row],[PublicWork]]&gt;='Описательные характеристики'!$F$5,"да","нет")</f>
        <v>да</v>
      </c>
      <c r="N1862" t="str">
        <f>IF(acs2015_county_data[[#This Row],[Unemployment]]&gt;='Описательные характеристики'!$I$5,"да","нет")</f>
        <v>нет</v>
      </c>
    </row>
    <row r="1863" spans="1:14" x14ac:dyDescent="0.35">
      <c r="A1863">
        <v>36067</v>
      </c>
      <c r="B1863" t="s">
        <v>1188</v>
      </c>
      <c r="C1863" t="s">
        <v>1201</v>
      </c>
      <c r="D1863" s="2">
        <v>468304</v>
      </c>
      <c r="E1863" s="2">
        <v>29444</v>
      </c>
      <c r="F1863" s="3">
        <v>3.6</v>
      </c>
      <c r="G1863" s="3">
        <v>220774</v>
      </c>
      <c r="H1863" s="3">
        <v>78.3</v>
      </c>
      <c r="I1863" s="3">
        <v>16.8</v>
      </c>
      <c r="J1863" s="3">
        <v>4.8</v>
      </c>
      <c r="K1863" s="3">
        <v>0.1</v>
      </c>
      <c r="L1863" s="3">
        <v>7.2</v>
      </c>
      <c r="M1863" t="str">
        <f>IF(acs2015_county_data[[#This Row],[PublicWork]]&gt;='Описательные характеристики'!$F$5,"да","нет")</f>
        <v>да</v>
      </c>
      <c r="N1863" t="str">
        <f>IF(acs2015_county_data[[#This Row],[Unemployment]]&gt;='Описательные характеристики'!$I$5,"да","нет")</f>
        <v>нет</v>
      </c>
    </row>
    <row r="1864" spans="1:14" x14ac:dyDescent="0.35">
      <c r="A1864">
        <v>36069</v>
      </c>
      <c r="B1864" t="s">
        <v>1188</v>
      </c>
      <c r="C1864" t="s">
        <v>1202</v>
      </c>
      <c r="D1864" s="2">
        <v>109192</v>
      </c>
      <c r="E1864" s="2">
        <v>30934</v>
      </c>
      <c r="F1864" s="3">
        <v>3.7</v>
      </c>
      <c r="G1864" s="3">
        <v>53394</v>
      </c>
      <c r="H1864" s="3">
        <v>79.099999999999994</v>
      </c>
      <c r="I1864" s="3">
        <v>15.1</v>
      </c>
      <c r="J1864" s="3">
        <v>5.7</v>
      </c>
      <c r="K1864" s="3">
        <v>0.1</v>
      </c>
      <c r="L1864" s="3">
        <v>6.4</v>
      </c>
      <c r="M1864" t="str">
        <f>IF(acs2015_county_data[[#This Row],[PublicWork]]&gt;='Описательные характеристики'!$F$5,"да","нет")</f>
        <v>нет</v>
      </c>
      <c r="N1864" t="str">
        <f>IF(acs2015_county_data[[#This Row],[Unemployment]]&gt;='Описательные характеристики'!$I$5,"да","нет")</f>
        <v>нет</v>
      </c>
    </row>
    <row r="1865" spans="1:14" x14ac:dyDescent="0.35">
      <c r="A1865">
        <v>36071</v>
      </c>
      <c r="B1865" t="s">
        <v>1188</v>
      </c>
      <c r="C1865" t="s">
        <v>208</v>
      </c>
      <c r="D1865" s="2">
        <v>375384</v>
      </c>
      <c r="E1865" s="2">
        <v>31023</v>
      </c>
      <c r="F1865" s="3">
        <v>4.9000000000000004</v>
      </c>
      <c r="G1865" s="3">
        <v>171651</v>
      </c>
      <c r="H1865" s="3">
        <v>75.7</v>
      </c>
      <c r="I1865" s="3">
        <v>19.8</v>
      </c>
      <c r="J1865" s="3">
        <v>4.3</v>
      </c>
      <c r="K1865" s="3">
        <v>0.1</v>
      </c>
      <c r="L1865" s="3">
        <v>7.3</v>
      </c>
      <c r="M1865" t="str">
        <f>IF(acs2015_county_data[[#This Row],[PublicWork]]&gt;='Описательные характеристики'!$F$5,"да","нет")</f>
        <v>да</v>
      </c>
      <c r="N1865" t="str">
        <f>IF(acs2015_county_data[[#This Row],[Unemployment]]&gt;='Описательные характеристики'!$I$5,"да","нет")</f>
        <v>нет</v>
      </c>
    </row>
    <row r="1866" spans="1:14" x14ac:dyDescent="0.35">
      <c r="A1866">
        <v>36073</v>
      </c>
      <c r="B1866" t="s">
        <v>1188</v>
      </c>
      <c r="C1866" t="s">
        <v>791</v>
      </c>
      <c r="D1866" s="2">
        <v>42204</v>
      </c>
      <c r="E1866" s="2">
        <v>22070</v>
      </c>
      <c r="F1866" s="3">
        <v>2.8</v>
      </c>
      <c r="G1866" s="3">
        <v>17285</v>
      </c>
      <c r="H1866" s="3">
        <v>77.8</v>
      </c>
      <c r="I1866" s="3">
        <v>17</v>
      </c>
      <c r="J1866" s="3">
        <v>5.0999999999999996</v>
      </c>
      <c r="K1866" s="3">
        <v>0.1</v>
      </c>
      <c r="L1866" s="3">
        <v>9</v>
      </c>
      <c r="M1866" t="str">
        <f>IF(acs2015_county_data[[#This Row],[PublicWork]]&gt;='Описательные характеристики'!$F$5,"да","нет")</f>
        <v>да</v>
      </c>
      <c r="N1866" t="str">
        <f>IF(acs2015_county_data[[#This Row],[Unemployment]]&gt;='Описательные характеристики'!$I$5,"да","нет")</f>
        <v>да</v>
      </c>
    </row>
    <row r="1867" spans="1:14" x14ac:dyDescent="0.35">
      <c r="A1867">
        <v>36075</v>
      </c>
      <c r="B1867" t="s">
        <v>1188</v>
      </c>
      <c r="C1867" t="s">
        <v>1203</v>
      </c>
      <c r="D1867" s="2">
        <v>121183</v>
      </c>
      <c r="E1867" s="2">
        <v>23466</v>
      </c>
      <c r="F1867" s="3">
        <v>3.7</v>
      </c>
      <c r="G1867" s="3">
        <v>52204</v>
      </c>
      <c r="H1867" s="3">
        <v>76.5</v>
      </c>
      <c r="I1867" s="3">
        <v>17.8</v>
      </c>
      <c r="J1867" s="3">
        <v>5.6</v>
      </c>
      <c r="K1867" s="3">
        <v>0.2</v>
      </c>
      <c r="L1867" s="3">
        <v>9.6999999999999993</v>
      </c>
      <c r="M1867" t="str">
        <f>IF(acs2015_county_data[[#This Row],[PublicWork]]&gt;='Описательные характеристики'!$F$5,"да","нет")</f>
        <v>да</v>
      </c>
      <c r="N1867" t="str">
        <f>IF(acs2015_county_data[[#This Row],[Unemployment]]&gt;='Описательные характеристики'!$I$5,"да","нет")</f>
        <v>да</v>
      </c>
    </row>
    <row r="1868" spans="1:14" x14ac:dyDescent="0.35">
      <c r="A1868">
        <v>36077</v>
      </c>
      <c r="B1868" t="s">
        <v>1188</v>
      </c>
      <c r="C1868" t="s">
        <v>906</v>
      </c>
      <c r="D1868" s="2">
        <v>61399</v>
      </c>
      <c r="E1868" s="2">
        <v>24625</v>
      </c>
      <c r="F1868" s="3">
        <v>6.2</v>
      </c>
      <c r="G1868" s="3">
        <v>28464</v>
      </c>
      <c r="H1868" s="3">
        <v>72.2</v>
      </c>
      <c r="I1868" s="3">
        <v>17.600000000000001</v>
      </c>
      <c r="J1868" s="3">
        <v>9.5</v>
      </c>
      <c r="K1868" s="3">
        <v>0.6</v>
      </c>
      <c r="L1868" s="3">
        <v>7.1</v>
      </c>
      <c r="M1868" t="str">
        <f>IF(acs2015_county_data[[#This Row],[PublicWork]]&gt;='Описательные характеристики'!$F$5,"да","нет")</f>
        <v>да</v>
      </c>
      <c r="N1868" t="str">
        <f>IF(acs2015_county_data[[#This Row],[Unemployment]]&gt;='Описательные характеристики'!$I$5,"да","нет")</f>
        <v>нет</v>
      </c>
    </row>
    <row r="1869" spans="1:14" x14ac:dyDescent="0.35">
      <c r="A1869">
        <v>36079</v>
      </c>
      <c r="B1869" t="s">
        <v>1188</v>
      </c>
      <c r="C1869" t="s">
        <v>343</v>
      </c>
      <c r="D1869" s="2">
        <v>99488</v>
      </c>
      <c r="E1869" s="2">
        <v>41173</v>
      </c>
      <c r="F1869" s="3">
        <v>4.5</v>
      </c>
      <c r="G1869" s="3">
        <v>51412</v>
      </c>
      <c r="H1869" s="3">
        <v>76</v>
      </c>
      <c r="I1869" s="3">
        <v>17.600000000000001</v>
      </c>
      <c r="J1869" s="3">
        <v>6.1</v>
      </c>
      <c r="K1869" s="3">
        <v>0.3</v>
      </c>
      <c r="L1869" s="3">
        <v>6.8</v>
      </c>
      <c r="M1869" t="str">
        <f>IF(acs2015_county_data[[#This Row],[PublicWork]]&gt;='Описательные характеристики'!$F$5,"да","нет")</f>
        <v>да</v>
      </c>
      <c r="N1869" t="str">
        <f>IF(acs2015_county_data[[#This Row],[Unemployment]]&gt;='Описательные характеристики'!$I$5,"да","нет")</f>
        <v>нет</v>
      </c>
    </row>
    <row r="1870" spans="1:14" x14ac:dyDescent="0.35">
      <c r="A1870">
        <v>36081</v>
      </c>
      <c r="B1870" t="s">
        <v>1188</v>
      </c>
      <c r="C1870" t="s">
        <v>1204</v>
      </c>
      <c r="D1870" s="2">
        <v>2301139</v>
      </c>
      <c r="E1870" s="2">
        <v>26876</v>
      </c>
      <c r="F1870" s="3">
        <v>2.4</v>
      </c>
      <c r="G1870" s="3">
        <v>1104930</v>
      </c>
      <c r="H1870" s="3">
        <v>79.900000000000006</v>
      </c>
      <c r="I1870" s="3">
        <v>13.6</v>
      </c>
      <c r="J1870" s="3">
        <v>6.4</v>
      </c>
      <c r="K1870" s="3">
        <v>0.1</v>
      </c>
      <c r="L1870" s="3">
        <v>8.6</v>
      </c>
      <c r="M1870" t="str">
        <f>IF(acs2015_county_data[[#This Row],[PublicWork]]&gt;='Описательные характеристики'!$F$5,"да","нет")</f>
        <v>нет</v>
      </c>
      <c r="N1870" t="str">
        <f>IF(acs2015_county_data[[#This Row],[Unemployment]]&gt;='Описательные характеристики'!$I$5,"да","нет")</f>
        <v>да</v>
      </c>
    </row>
    <row r="1871" spans="1:14" x14ac:dyDescent="0.35">
      <c r="A1871">
        <v>36083</v>
      </c>
      <c r="B1871" t="s">
        <v>1188</v>
      </c>
      <c r="C1871" t="s">
        <v>1205</v>
      </c>
      <c r="D1871" s="2">
        <v>159900</v>
      </c>
      <c r="E1871" s="2">
        <v>30803</v>
      </c>
      <c r="F1871" s="3">
        <v>3.2</v>
      </c>
      <c r="G1871" s="3">
        <v>80144</v>
      </c>
      <c r="H1871" s="3">
        <v>74.3</v>
      </c>
      <c r="I1871" s="3">
        <v>20.8</v>
      </c>
      <c r="J1871" s="3">
        <v>4.8</v>
      </c>
      <c r="K1871" s="3">
        <v>0.1</v>
      </c>
      <c r="L1871" s="3">
        <v>7.6</v>
      </c>
      <c r="M1871" t="str">
        <f>IF(acs2015_county_data[[#This Row],[PublicWork]]&gt;='Описательные характеристики'!$F$5,"да","нет")</f>
        <v>да</v>
      </c>
      <c r="N1871" t="str">
        <f>IF(acs2015_county_data[[#This Row],[Unemployment]]&gt;='Описательные характеристики'!$I$5,"да","нет")</f>
        <v>да</v>
      </c>
    </row>
    <row r="1872" spans="1:14" x14ac:dyDescent="0.35">
      <c r="A1872">
        <v>36085</v>
      </c>
      <c r="B1872" t="s">
        <v>1188</v>
      </c>
      <c r="C1872" t="s">
        <v>433</v>
      </c>
      <c r="D1872" s="2">
        <v>472481</v>
      </c>
      <c r="E1872" s="2">
        <v>32041</v>
      </c>
      <c r="F1872" s="3">
        <v>2.2999999999999998</v>
      </c>
      <c r="G1872" s="3">
        <v>209113</v>
      </c>
      <c r="H1872" s="3">
        <v>74.099999999999994</v>
      </c>
      <c r="I1872" s="3">
        <v>21.4</v>
      </c>
      <c r="J1872" s="3">
        <v>4.4000000000000004</v>
      </c>
      <c r="K1872" s="3">
        <v>0.1</v>
      </c>
      <c r="L1872" s="3">
        <v>6.9</v>
      </c>
      <c r="M1872" t="str">
        <f>IF(acs2015_county_data[[#This Row],[PublicWork]]&gt;='Описательные характеристики'!$F$5,"да","нет")</f>
        <v>да</v>
      </c>
      <c r="N1872" t="str">
        <f>IF(acs2015_county_data[[#This Row],[Unemployment]]&gt;='Описательные характеристики'!$I$5,"да","нет")</f>
        <v>нет</v>
      </c>
    </row>
    <row r="1873" spans="1:14" x14ac:dyDescent="0.35">
      <c r="A1873">
        <v>36087</v>
      </c>
      <c r="B1873" t="s">
        <v>1188</v>
      </c>
      <c r="C1873" t="s">
        <v>1206</v>
      </c>
      <c r="D1873" s="2">
        <v>320688</v>
      </c>
      <c r="E1873" s="2">
        <v>34647</v>
      </c>
      <c r="F1873" s="3">
        <v>4.7</v>
      </c>
      <c r="G1873" s="3">
        <v>146049</v>
      </c>
      <c r="H1873" s="3">
        <v>78.2</v>
      </c>
      <c r="I1873" s="3">
        <v>15.9</v>
      </c>
      <c r="J1873" s="3">
        <v>5.7</v>
      </c>
      <c r="K1873" s="3">
        <v>0.1</v>
      </c>
      <c r="L1873" s="3">
        <v>7.9</v>
      </c>
      <c r="M1873" t="str">
        <f>IF(acs2015_county_data[[#This Row],[PublicWork]]&gt;='Описательные характеристики'!$F$5,"да","нет")</f>
        <v>нет</v>
      </c>
      <c r="N1873" t="str">
        <f>IF(acs2015_county_data[[#This Row],[Unemployment]]&gt;='Описательные характеристики'!$I$5,"да","нет")</f>
        <v>да</v>
      </c>
    </row>
    <row r="1874" spans="1:14" x14ac:dyDescent="0.35">
      <c r="A1874">
        <v>36089</v>
      </c>
      <c r="B1874" t="s">
        <v>1188</v>
      </c>
      <c r="C1874" t="s">
        <v>1207</v>
      </c>
      <c r="D1874" s="2">
        <v>112011</v>
      </c>
      <c r="E1874" s="2">
        <v>22562</v>
      </c>
      <c r="F1874" s="3">
        <v>4.7</v>
      </c>
      <c r="G1874" s="3">
        <v>44714</v>
      </c>
      <c r="H1874" s="3">
        <v>68.8</v>
      </c>
      <c r="I1874" s="3">
        <v>24.3</v>
      </c>
      <c r="J1874" s="3">
        <v>6.8</v>
      </c>
      <c r="K1874" s="3">
        <v>0.1</v>
      </c>
      <c r="L1874" s="3">
        <v>10</v>
      </c>
      <c r="M1874" t="str">
        <f>IF(acs2015_county_data[[#This Row],[PublicWork]]&gt;='Описательные характеристики'!$F$5,"да","нет")</f>
        <v>да</v>
      </c>
      <c r="N1874" t="str">
        <f>IF(acs2015_county_data[[#This Row],[Unemployment]]&gt;='Описательные характеристики'!$I$5,"да","нет")</f>
        <v>да</v>
      </c>
    </row>
    <row r="1875" spans="1:14" x14ac:dyDescent="0.35">
      <c r="A1875">
        <v>36091</v>
      </c>
      <c r="B1875" t="s">
        <v>1188</v>
      </c>
      <c r="C1875" t="s">
        <v>1208</v>
      </c>
      <c r="D1875" s="2">
        <v>223774</v>
      </c>
      <c r="E1875" s="2">
        <v>35922</v>
      </c>
      <c r="F1875" s="3">
        <v>5.4</v>
      </c>
      <c r="G1875" s="3">
        <v>113884</v>
      </c>
      <c r="H1875" s="3">
        <v>76.2</v>
      </c>
      <c r="I1875" s="3">
        <v>18.100000000000001</v>
      </c>
      <c r="J1875" s="3">
        <v>5.6</v>
      </c>
      <c r="K1875" s="3">
        <v>0.1</v>
      </c>
      <c r="L1875" s="3">
        <v>6</v>
      </c>
      <c r="M1875" t="str">
        <f>IF(acs2015_county_data[[#This Row],[PublicWork]]&gt;='Описательные характеристики'!$F$5,"да","нет")</f>
        <v>да</v>
      </c>
      <c r="N1875" t="str">
        <f>IF(acs2015_county_data[[#This Row],[Unemployment]]&gt;='Описательные характеристики'!$I$5,"да","нет")</f>
        <v>нет</v>
      </c>
    </row>
    <row r="1876" spans="1:14" x14ac:dyDescent="0.35">
      <c r="A1876">
        <v>36093</v>
      </c>
      <c r="B1876" t="s">
        <v>1188</v>
      </c>
      <c r="C1876" t="s">
        <v>1209</v>
      </c>
      <c r="D1876" s="2">
        <v>154796</v>
      </c>
      <c r="E1876" s="2">
        <v>28902</v>
      </c>
      <c r="F1876" s="3">
        <v>3.4</v>
      </c>
      <c r="G1876" s="3">
        <v>74134</v>
      </c>
      <c r="H1876" s="3">
        <v>75.7</v>
      </c>
      <c r="I1876" s="3">
        <v>19.600000000000001</v>
      </c>
      <c r="J1876" s="3">
        <v>4.7</v>
      </c>
      <c r="K1876" s="3">
        <v>0</v>
      </c>
      <c r="L1876" s="3">
        <v>7.4</v>
      </c>
      <c r="M1876" t="str">
        <f>IF(acs2015_county_data[[#This Row],[PublicWork]]&gt;='Описательные характеристики'!$F$5,"да","нет")</f>
        <v>да</v>
      </c>
      <c r="N1876" t="str">
        <f>IF(acs2015_county_data[[#This Row],[Unemployment]]&gt;='Описательные характеристики'!$I$5,"да","нет")</f>
        <v>нет</v>
      </c>
    </row>
    <row r="1877" spans="1:14" x14ac:dyDescent="0.35">
      <c r="A1877">
        <v>36095</v>
      </c>
      <c r="B1877" t="s">
        <v>1188</v>
      </c>
      <c r="C1877" t="s">
        <v>1210</v>
      </c>
      <c r="D1877" s="2">
        <v>31913</v>
      </c>
      <c r="E1877" s="2">
        <v>25498</v>
      </c>
      <c r="F1877" s="3">
        <v>4.2</v>
      </c>
      <c r="G1877" s="3">
        <v>14179</v>
      </c>
      <c r="H1877" s="3">
        <v>67.3</v>
      </c>
      <c r="I1877" s="3">
        <v>23.8</v>
      </c>
      <c r="J1877" s="3">
        <v>8.4</v>
      </c>
      <c r="K1877" s="3">
        <v>0.5</v>
      </c>
      <c r="L1877" s="3">
        <v>10.5</v>
      </c>
      <c r="M1877" t="str">
        <f>IF(acs2015_county_data[[#This Row],[PublicWork]]&gt;='Описательные характеристики'!$F$5,"да","нет")</f>
        <v>да</v>
      </c>
      <c r="N1877" t="str">
        <f>IF(acs2015_county_data[[#This Row],[Unemployment]]&gt;='Описательные характеристики'!$I$5,"да","нет")</f>
        <v>да</v>
      </c>
    </row>
    <row r="1878" spans="1:14" x14ac:dyDescent="0.35">
      <c r="A1878">
        <v>36097</v>
      </c>
      <c r="B1878" t="s">
        <v>1188</v>
      </c>
      <c r="C1878" t="s">
        <v>547</v>
      </c>
      <c r="D1878" s="2">
        <v>18410</v>
      </c>
      <c r="E1878" s="2">
        <v>25189</v>
      </c>
      <c r="F1878" s="3">
        <v>3.5</v>
      </c>
      <c r="G1878" s="3">
        <v>8125</v>
      </c>
      <c r="H1878" s="3">
        <v>74.7</v>
      </c>
      <c r="I1878" s="3">
        <v>15.3</v>
      </c>
      <c r="J1878" s="3">
        <v>9.9</v>
      </c>
      <c r="K1878" s="3">
        <v>0.1</v>
      </c>
      <c r="L1878" s="3">
        <v>6.4</v>
      </c>
      <c r="M1878" t="str">
        <f>IF(acs2015_county_data[[#This Row],[PublicWork]]&gt;='Описательные характеристики'!$F$5,"да","нет")</f>
        <v>нет</v>
      </c>
      <c r="N1878" t="str">
        <f>IF(acs2015_county_data[[#This Row],[Unemployment]]&gt;='Описательные характеристики'!$I$5,"да","нет")</f>
        <v>нет</v>
      </c>
    </row>
    <row r="1879" spans="1:14" x14ac:dyDescent="0.35">
      <c r="A1879">
        <v>36099</v>
      </c>
      <c r="B1879" t="s">
        <v>1188</v>
      </c>
      <c r="C1879" t="s">
        <v>1211</v>
      </c>
      <c r="D1879" s="2">
        <v>35144</v>
      </c>
      <c r="E1879" s="2">
        <v>24666</v>
      </c>
      <c r="F1879" s="3">
        <v>3.9</v>
      </c>
      <c r="G1879" s="3">
        <v>15385</v>
      </c>
      <c r="H1879" s="3">
        <v>74.5</v>
      </c>
      <c r="I1879" s="3">
        <v>18.399999999999999</v>
      </c>
      <c r="J1879" s="3">
        <v>6.9</v>
      </c>
      <c r="K1879" s="3">
        <v>0.2</v>
      </c>
      <c r="L1879" s="3">
        <v>5.5</v>
      </c>
      <c r="M1879" t="str">
        <f>IF(acs2015_county_data[[#This Row],[PublicWork]]&gt;='Описательные характеристики'!$F$5,"да","нет")</f>
        <v>да</v>
      </c>
      <c r="N1879" t="str">
        <f>IF(acs2015_county_data[[#This Row],[Unemployment]]&gt;='Описательные характеристики'!$I$5,"да","нет")</f>
        <v>нет</v>
      </c>
    </row>
    <row r="1880" spans="1:14" x14ac:dyDescent="0.35">
      <c r="A1880">
        <v>36101</v>
      </c>
      <c r="B1880" t="s">
        <v>1188</v>
      </c>
      <c r="C1880" t="s">
        <v>588</v>
      </c>
      <c r="D1880" s="2">
        <v>98665</v>
      </c>
      <c r="E1880" s="2">
        <v>25800</v>
      </c>
      <c r="F1880" s="3">
        <v>3.1</v>
      </c>
      <c r="G1880" s="3">
        <v>43199</v>
      </c>
      <c r="H1880" s="3">
        <v>76.400000000000006</v>
      </c>
      <c r="I1880" s="3">
        <v>16.7</v>
      </c>
      <c r="J1880" s="3">
        <v>6.7</v>
      </c>
      <c r="K1880" s="3">
        <v>0.3</v>
      </c>
      <c r="L1880" s="3">
        <v>8.1999999999999993</v>
      </c>
      <c r="M1880" t="str">
        <f>IF(acs2015_county_data[[#This Row],[PublicWork]]&gt;='Описательные характеристики'!$F$5,"да","нет")</f>
        <v>да</v>
      </c>
      <c r="N1880" t="str">
        <f>IF(acs2015_county_data[[#This Row],[Unemployment]]&gt;='Описательные характеристики'!$I$5,"да","нет")</f>
        <v>да</v>
      </c>
    </row>
    <row r="1881" spans="1:14" x14ac:dyDescent="0.35">
      <c r="A1881">
        <v>36103</v>
      </c>
      <c r="B1881" t="s">
        <v>1188</v>
      </c>
      <c r="C1881" t="s">
        <v>853</v>
      </c>
      <c r="D1881" s="2">
        <v>1501373</v>
      </c>
      <c r="E1881" s="2">
        <v>37634</v>
      </c>
      <c r="F1881" s="3">
        <v>3.5</v>
      </c>
      <c r="G1881" s="3">
        <v>735010</v>
      </c>
      <c r="H1881" s="3">
        <v>77.099999999999994</v>
      </c>
      <c r="I1881" s="3">
        <v>18.100000000000001</v>
      </c>
      <c r="J1881" s="3">
        <v>4.7</v>
      </c>
      <c r="K1881" s="3">
        <v>0.1</v>
      </c>
      <c r="L1881" s="3">
        <v>6.4</v>
      </c>
      <c r="M1881" t="str">
        <f>IF(acs2015_county_data[[#This Row],[PublicWork]]&gt;='Описательные характеристики'!$F$5,"да","нет")</f>
        <v>да</v>
      </c>
      <c r="N1881" t="str">
        <f>IF(acs2015_county_data[[#This Row],[Unemployment]]&gt;='Описательные характеристики'!$I$5,"да","нет")</f>
        <v>нет</v>
      </c>
    </row>
    <row r="1882" spans="1:14" x14ac:dyDescent="0.35">
      <c r="A1882">
        <v>36105</v>
      </c>
      <c r="B1882" t="s">
        <v>1188</v>
      </c>
      <c r="C1882" t="s">
        <v>589</v>
      </c>
      <c r="D1882" s="2">
        <v>76330</v>
      </c>
      <c r="E1882" s="2">
        <v>25742</v>
      </c>
      <c r="F1882" s="3">
        <v>5.0999999999999996</v>
      </c>
      <c r="G1882" s="3">
        <v>32243</v>
      </c>
      <c r="H1882" s="3">
        <v>72.2</v>
      </c>
      <c r="I1882" s="3">
        <v>21</v>
      </c>
      <c r="J1882" s="3">
        <v>6.6</v>
      </c>
      <c r="K1882" s="3">
        <v>0.2</v>
      </c>
      <c r="L1882" s="3">
        <v>11.5</v>
      </c>
      <c r="M1882" t="str">
        <f>IF(acs2015_county_data[[#This Row],[PublicWork]]&gt;='Описательные характеристики'!$F$5,"да","нет")</f>
        <v>да</v>
      </c>
      <c r="N1882" t="str">
        <f>IF(acs2015_county_data[[#This Row],[Unemployment]]&gt;='Описательные характеристики'!$I$5,"да","нет")</f>
        <v>да</v>
      </c>
    </row>
    <row r="1883" spans="1:14" x14ac:dyDescent="0.35">
      <c r="A1883">
        <v>36107</v>
      </c>
      <c r="B1883" t="s">
        <v>1188</v>
      </c>
      <c r="C1883" t="s">
        <v>1212</v>
      </c>
      <c r="D1883" s="2">
        <v>50199</v>
      </c>
      <c r="E1883" s="2">
        <v>29427</v>
      </c>
      <c r="F1883" s="3">
        <v>3.3</v>
      </c>
      <c r="G1883" s="3">
        <v>23960</v>
      </c>
      <c r="H1883" s="3">
        <v>80.099999999999994</v>
      </c>
      <c r="I1883" s="3">
        <v>14.9</v>
      </c>
      <c r="J1883" s="3">
        <v>4.9000000000000004</v>
      </c>
      <c r="K1883" s="3">
        <v>0.2</v>
      </c>
      <c r="L1883" s="3">
        <v>6.9</v>
      </c>
      <c r="M1883" t="str">
        <f>IF(acs2015_county_data[[#This Row],[PublicWork]]&gt;='Описательные характеристики'!$F$5,"да","нет")</f>
        <v>нет</v>
      </c>
      <c r="N1883" t="str">
        <f>IF(acs2015_county_data[[#This Row],[Unemployment]]&gt;='Описательные характеристики'!$I$5,"да","нет")</f>
        <v>нет</v>
      </c>
    </row>
    <row r="1884" spans="1:14" x14ac:dyDescent="0.35">
      <c r="A1884">
        <v>36109</v>
      </c>
      <c r="B1884" t="s">
        <v>1188</v>
      </c>
      <c r="C1884" t="s">
        <v>1213</v>
      </c>
      <c r="D1884" s="2">
        <v>103855</v>
      </c>
      <c r="E1884" s="2">
        <v>28460</v>
      </c>
      <c r="F1884" s="3">
        <v>5.7</v>
      </c>
      <c r="G1884" s="3">
        <v>49291</v>
      </c>
      <c r="H1884" s="3">
        <v>78.400000000000006</v>
      </c>
      <c r="I1884" s="3">
        <v>13.6</v>
      </c>
      <c r="J1884" s="3">
        <v>7.8</v>
      </c>
      <c r="K1884" s="3">
        <v>0.2</v>
      </c>
      <c r="L1884" s="3">
        <v>5.9</v>
      </c>
      <c r="M1884" t="str">
        <f>IF(acs2015_county_data[[#This Row],[PublicWork]]&gt;='Описательные характеристики'!$F$5,"да","нет")</f>
        <v>нет</v>
      </c>
      <c r="N1884" t="str">
        <f>IF(acs2015_county_data[[#This Row],[Unemployment]]&gt;='Описательные характеристики'!$I$5,"да","нет")</f>
        <v>нет</v>
      </c>
    </row>
    <row r="1885" spans="1:14" x14ac:dyDescent="0.35">
      <c r="A1885">
        <v>36111</v>
      </c>
      <c r="B1885" t="s">
        <v>1188</v>
      </c>
      <c r="C1885" t="s">
        <v>1214</v>
      </c>
      <c r="D1885" s="2">
        <v>181300</v>
      </c>
      <c r="E1885" s="2">
        <v>30732</v>
      </c>
      <c r="F1885" s="3">
        <v>6.2</v>
      </c>
      <c r="G1885" s="3">
        <v>85617</v>
      </c>
      <c r="H1885" s="3">
        <v>73.8</v>
      </c>
      <c r="I1885" s="3">
        <v>18.3</v>
      </c>
      <c r="J1885" s="3">
        <v>7.5</v>
      </c>
      <c r="K1885" s="3">
        <v>0.4</v>
      </c>
      <c r="L1885" s="3">
        <v>9.3000000000000007</v>
      </c>
      <c r="M1885" t="str">
        <f>IF(acs2015_county_data[[#This Row],[PublicWork]]&gt;='Описательные характеристики'!$F$5,"да","нет")</f>
        <v>да</v>
      </c>
      <c r="N1885" t="str">
        <f>IF(acs2015_county_data[[#This Row],[Unemployment]]&gt;='Описательные характеристики'!$I$5,"да","нет")</f>
        <v>да</v>
      </c>
    </row>
    <row r="1886" spans="1:14" x14ac:dyDescent="0.35">
      <c r="A1886">
        <v>36113</v>
      </c>
      <c r="B1886" t="s">
        <v>1188</v>
      </c>
      <c r="C1886" t="s">
        <v>456</v>
      </c>
      <c r="D1886" s="2">
        <v>65180</v>
      </c>
      <c r="E1886" s="2">
        <v>30611</v>
      </c>
      <c r="F1886" s="3">
        <v>3.8</v>
      </c>
      <c r="G1886" s="3">
        <v>31866</v>
      </c>
      <c r="H1886" s="3">
        <v>76</v>
      </c>
      <c r="I1886" s="3">
        <v>16.5</v>
      </c>
      <c r="J1886" s="3">
        <v>7.3</v>
      </c>
      <c r="K1886" s="3">
        <v>0.1</v>
      </c>
      <c r="L1886" s="3">
        <v>6.6</v>
      </c>
      <c r="M1886" t="str">
        <f>IF(acs2015_county_data[[#This Row],[PublicWork]]&gt;='Описательные характеристики'!$F$5,"да","нет")</f>
        <v>да</v>
      </c>
      <c r="N1886" t="str">
        <f>IF(acs2015_county_data[[#This Row],[Unemployment]]&gt;='Описательные характеристики'!$I$5,"да","нет")</f>
        <v>нет</v>
      </c>
    </row>
    <row r="1887" spans="1:14" x14ac:dyDescent="0.35">
      <c r="A1887">
        <v>36115</v>
      </c>
      <c r="B1887" t="s">
        <v>1188</v>
      </c>
      <c r="C1887" t="s">
        <v>75</v>
      </c>
      <c r="D1887" s="2">
        <v>62700</v>
      </c>
      <c r="E1887" s="2">
        <v>24345</v>
      </c>
      <c r="F1887" s="3">
        <v>5.3</v>
      </c>
      <c r="G1887" s="3">
        <v>28744</v>
      </c>
      <c r="H1887" s="3">
        <v>74</v>
      </c>
      <c r="I1887" s="3">
        <v>16.899999999999999</v>
      </c>
      <c r="J1887" s="3">
        <v>8.9</v>
      </c>
      <c r="K1887" s="3">
        <v>0.2</v>
      </c>
      <c r="L1887" s="3">
        <v>9.5</v>
      </c>
      <c r="M1887" t="str">
        <f>IF(acs2015_county_data[[#This Row],[PublicWork]]&gt;='Описательные характеристики'!$F$5,"да","нет")</f>
        <v>да</v>
      </c>
      <c r="N1887" t="str">
        <f>IF(acs2015_county_data[[#This Row],[Unemployment]]&gt;='Описательные характеристики'!$I$5,"да","нет")</f>
        <v>да</v>
      </c>
    </row>
    <row r="1888" spans="1:14" x14ac:dyDescent="0.35">
      <c r="A1888">
        <v>36117</v>
      </c>
      <c r="B1888" t="s">
        <v>1188</v>
      </c>
      <c r="C1888" t="s">
        <v>457</v>
      </c>
      <c r="D1888" s="2">
        <v>92416</v>
      </c>
      <c r="E1888" s="2">
        <v>25609</v>
      </c>
      <c r="F1888" s="3">
        <v>3.4</v>
      </c>
      <c r="G1888" s="3">
        <v>43117</v>
      </c>
      <c r="H1888" s="3">
        <v>78.7</v>
      </c>
      <c r="I1888" s="3">
        <v>16.2</v>
      </c>
      <c r="J1888" s="3">
        <v>4.9000000000000004</v>
      </c>
      <c r="K1888" s="3">
        <v>0.2</v>
      </c>
      <c r="L1888" s="3">
        <v>7.5</v>
      </c>
      <c r="M1888" t="str">
        <f>IF(acs2015_county_data[[#This Row],[PublicWork]]&gt;='Описательные характеристики'!$F$5,"да","нет")</f>
        <v>да</v>
      </c>
      <c r="N1888" t="str">
        <f>IF(acs2015_county_data[[#This Row],[Unemployment]]&gt;='Описательные характеристики'!$I$5,"да","нет")</f>
        <v>нет</v>
      </c>
    </row>
    <row r="1889" spans="1:14" x14ac:dyDescent="0.35">
      <c r="A1889">
        <v>36119</v>
      </c>
      <c r="B1889" t="s">
        <v>1188</v>
      </c>
      <c r="C1889" t="s">
        <v>1215</v>
      </c>
      <c r="D1889" s="2">
        <v>967315</v>
      </c>
      <c r="E1889" s="2">
        <v>48885</v>
      </c>
      <c r="F1889" s="3">
        <v>5</v>
      </c>
      <c r="G1889" s="3">
        <v>465097</v>
      </c>
      <c r="H1889" s="3">
        <v>79.400000000000006</v>
      </c>
      <c r="I1889" s="3">
        <v>13.9</v>
      </c>
      <c r="J1889" s="3">
        <v>6.6</v>
      </c>
      <c r="K1889" s="3">
        <v>0.1</v>
      </c>
      <c r="L1889" s="3">
        <v>7.6</v>
      </c>
      <c r="M1889" t="str">
        <f>IF(acs2015_county_data[[#This Row],[PublicWork]]&gt;='Описательные характеристики'!$F$5,"да","нет")</f>
        <v>нет</v>
      </c>
      <c r="N1889" t="str">
        <f>IF(acs2015_county_data[[#This Row],[Unemployment]]&gt;='Описательные характеристики'!$I$5,"да","нет")</f>
        <v>да</v>
      </c>
    </row>
    <row r="1890" spans="1:14" x14ac:dyDescent="0.35">
      <c r="A1890">
        <v>36121</v>
      </c>
      <c r="B1890" t="s">
        <v>1188</v>
      </c>
      <c r="C1890" t="s">
        <v>1216</v>
      </c>
      <c r="D1890" s="2">
        <v>41446</v>
      </c>
      <c r="E1890" s="2">
        <v>23960</v>
      </c>
      <c r="F1890" s="3">
        <v>2.5</v>
      </c>
      <c r="G1890" s="3">
        <v>18495</v>
      </c>
      <c r="H1890" s="3">
        <v>73.5</v>
      </c>
      <c r="I1890" s="3">
        <v>20.100000000000001</v>
      </c>
      <c r="J1890" s="3">
        <v>6.2</v>
      </c>
      <c r="K1890" s="3">
        <v>0.2</v>
      </c>
      <c r="L1890" s="3">
        <v>7.4</v>
      </c>
      <c r="M1890" t="str">
        <f>IF(acs2015_county_data[[#This Row],[PublicWork]]&gt;='Описательные характеристики'!$F$5,"да","нет")</f>
        <v>да</v>
      </c>
      <c r="N1890" t="str">
        <f>IF(acs2015_county_data[[#This Row],[Unemployment]]&gt;='Описательные характеристики'!$I$5,"да","нет")</f>
        <v>нет</v>
      </c>
    </row>
    <row r="1891" spans="1:14" x14ac:dyDescent="0.35">
      <c r="A1891">
        <v>36123</v>
      </c>
      <c r="B1891" t="s">
        <v>1188</v>
      </c>
      <c r="C1891" t="s">
        <v>1217</v>
      </c>
      <c r="D1891" s="2">
        <v>25187</v>
      </c>
      <c r="E1891" s="2">
        <v>25224</v>
      </c>
      <c r="F1891" s="3">
        <v>7.8</v>
      </c>
      <c r="G1891" s="3">
        <v>11496</v>
      </c>
      <c r="H1891" s="3">
        <v>72</v>
      </c>
      <c r="I1891" s="3">
        <v>13.9</v>
      </c>
      <c r="J1891" s="3">
        <v>13.2</v>
      </c>
      <c r="K1891" s="3">
        <v>0.9</v>
      </c>
      <c r="L1891" s="3">
        <v>6.9</v>
      </c>
      <c r="M1891" t="str">
        <f>IF(acs2015_county_data[[#This Row],[PublicWork]]&gt;='Описательные характеристики'!$F$5,"да","нет")</f>
        <v>нет</v>
      </c>
      <c r="N1891" t="str">
        <f>IF(acs2015_county_data[[#This Row],[Unemployment]]&gt;='Описательные характеристики'!$I$5,"да","нет")</f>
        <v>нет</v>
      </c>
    </row>
    <row r="1892" spans="1:14" x14ac:dyDescent="0.35">
      <c r="A1892">
        <v>37001</v>
      </c>
      <c r="B1892" t="s">
        <v>1218</v>
      </c>
      <c r="C1892" t="s">
        <v>1219</v>
      </c>
      <c r="D1892" s="2">
        <v>155258</v>
      </c>
      <c r="E1892" s="2">
        <v>23434</v>
      </c>
      <c r="F1892" s="3">
        <v>3.4</v>
      </c>
      <c r="G1892" s="3">
        <v>71156</v>
      </c>
      <c r="H1892" s="3">
        <v>81.2</v>
      </c>
      <c r="I1892" s="3">
        <v>12.7</v>
      </c>
      <c r="J1892" s="3">
        <v>5.8</v>
      </c>
      <c r="K1892" s="3">
        <v>0.3</v>
      </c>
      <c r="L1892" s="3">
        <v>7.9</v>
      </c>
      <c r="M1892" t="str">
        <f>IF(acs2015_county_data[[#This Row],[PublicWork]]&gt;='Описательные характеристики'!$F$5,"да","нет")</f>
        <v>нет</v>
      </c>
      <c r="N1892" t="str">
        <f>IF(acs2015_county_data[[#This Row],[Unemployment]]&gt;='Описательные характеристики'!$I$5,"да","нет")</f>
        <v>да</v>
      </c>
    </row>
    <row r="1893" spans="1:14" x14ac:dyDescent="0.35">
      <c r="A1893">
        <v>37003</v>
      </c>
      <c r="B1893" t="s">
        <v>1218</v>
      </c>
      <c r="C1893" t="s">
        <v>504</v>
      </c>
      <c r="D1893" s="2">
        <v>37158</v>
      </c>
      <c r="E1893" s="2">
        <v>20043</v>
      </c>
      <c r="F1893" s="3">
        <v>2.2999999999999998</v>
      </c>
      <c r="G1893" s="3">
        <v>16182</v>
      </c>
      <c r="H1893" s="3">
        <v>83</v>
      </c>
      <c r="I1893" s="3">
        <v>12.1</v>
      </c>
      <c r="J1893" s="3">
        <v>4.8</v>
      </c>
      <c r="K1893" s="3">
        <v>0.1</v>
      </c>
      <c r="L1893" s="3">
        <v>9</v>
      </c>
      <c r="M1893" t="str">
        <f>IF(acs2015_county_data[[#This Row],[PublicWork]]&gt;='Описательные характеристики'!$F$5,"да","нет")</f>
        <v>нет</v>
      </c>
      <c r="N1893" t="str">
        <f>IF(acs2015_county_data[[#This Row],[Unemployment]]&gt;='Описательные характеристики'!$I$5,"да","нет")</f>
        <v>да</v>
      </c>
    </row>
    <row r="1894" spans="1:14" x14ac:dyDescent="0.35">
      <c r="A1894">
        <v>37005</v>
      </c>
      <c r="B1894" t="s">
        <v>1218</v>
      </c>
      <c r="C1894" t="s">
        <v>1220</v>
      </c>
      <c r="D1894" s="2">
        <v>10911</v>
      </c>
      <c r="E1894" s="2">
        <v>20366</v>
      </c>
      <c r="F1894" s="3">
        <v>4.5999999999999996</v>
      </c>
      <c r="G1894" s="3">
        <v>4365</v>
      </c>
      <c r="H1894" s="3">
        <v>68.8</v>
      </c>
      <c r="I1894" s="3">
        <v>18.399999999999999</v>
      </c>
      <c r="J1894" s="3">
        <v>12.3</v>
      </c>
      <c r="K1894" s="3">
        <v>0.4</v>
      </c>
      <c r="L1894" s="3">
        <v>10.5</v>
      </c>
      <c r="M1894" t="str">
        <f>IF(acs2015_county_data[[#This Row],[PublicWork]]&gt;='Описательные характеристики'!$F$5,"да","нет")</f>
        <v>да</v>
      </c>
      <c r="N1894" t="str">
        <f>IF(acs2015_county_data[[#This Row],[Unemployment]]&gt;='Описательные характеристики'!$I$5,"да","нет")</f>
        <v>да</v>
      </c>
    </row>
    <row r="1895" spans="1:14" x14ac:dyDescent="0.35">
      <c r="A1895">
        <v>37007</v>
      </c>
      <c r="B1895" t="s">
        <v>1218</v>
      </c>
      <c r="C1895" t="s">
        <v>1221</v>
      </c>
      <c r="D1895" s="2">
        <v>26135</v>
      </c>
      <c r="E1895" s="2">
        <v>17025</v>
      </c>
      <c r="F1895" s="3">
        <v>1.2</v>
      </c>
      <c r="G1895" s="3">
        <v>9875</v>
      </c>
      <c r="H1895" s="3">
        <v>75.7</v>
      </c>
      <c r="I1895" s="3">
        <v>19.7</v>
      </c>
      <c r="J1895" s="3">
        <v>4.3</v>
      </c>
      <c r="K1895" s="3">
        <v>0.4</v>
      </c>
      <c r="L1895" s="3">
        <v>17.600000000000001</v>
      </c>
      <c r="M1895" t="str">
        <f>IF(acs2015_county_data[[#This Row],[PublicWork]]&gt;='Описательные характеристики'!$F$5,"да","нет")</f>
        <v>да</v>
      </c>
      <c r="N1895" t="str">
        <f>IF(acs2015_county_data[[#This Row],[Unemployment]]&gt;='Описательные характеристики'!$I$5,"да","нет")</f>
        <v>да</v>
      </c>
    </row>
    <row r="1896" spans="1:14" x14ac:dyDescent="0.35">
      <c r="A1896">
        <v>37009</v>
      </c>
      <c r="B1896" t="s">
        <v>1218</v>
      </c>
      <c r="C1896" t="s">
        <v>1222</v>
      </c>
      <c r="D1896" s="2">
        <v>27114</v>
      </c>
      <c r="E1896" s="2">
        <v>21269</v>
      </c>
      <c r="F1896" s="3">
        <v>3.7</v>
      </c>
      <c r="G1896" s="3">
        <v>11790</v>
      </c>
      <c r="H1896" s="3">
        <v>72.5</v>
      </c>
      <c r="I1896" s="3">
        <v>14.9</v>
      </c>
      <c r="J1896" s="3">
        <v>12.4</v>
      </c>
      <c r="K1896" s="3">
        <v>0.2</v>
      </c>
      <c r="L1896" s="3">
        <v>8.5</v>
      </c>
      <c r="M1896" t="str">
        <f>IF(acs2015_county_data[[#This Row],[PublicWork]]&gt;='Описательные характеристики'!$F$5,"да","нет")</f>
        <v>нет</v>
      </c>
      <c r="N1896" t="str">
        <f>IF(acs2015_county_data[[#This Row],[Unemployment]]&gt;='Описательные характеристики'!$I$5,"да","нет")</f>
        <v>да</v>
      </c>
    </row>
    <row r="1897" spans="1:14" x14ac:dyDescent="0.35">
      <c r="A1897">
        <v>37011</v>
      </c>
      <c r="B1897" t="s">
        <v>1218</v>
      </c>
      <c r="C1897" t="s">
        <v>1223</v>
      </c>
      <c r="D1897" s="2">
        <v>17695</v>
      </c>
      <c r="E1897" s="2">
        <v>21298</v>
      </c>
      <c r="F1897" s="3">
        <v>5</v>
      </c>
      <c r="G1897" s="3">
        <v>6873</v>
      </c>
      <c r="H1897" s="3">
        <v>75.3</v>
      </c>
      <c r="I1897" s="3">
        <v>14.9</v>
      </c>
      <c r="J1897" s="3">
        <v>9.5</v>
      </c>
      <c r="K1897" s="3">
        <v>0.3</v>
      </c>
      <c r="L1897" s="3">
        <v>6.9</v>
      </c>
      <c r="M1897" t="str">
        <f>IF(acs2015_county_data[[#This Row],[PublicWork]]&gt;='Описательные характеристики'!$F$5,"да","нет")</f>
        <v>нет</v>
      </c>
      <c r="N1897" t="str">
        <f>IF(acs2015_county_data[[#This Row],[Unemployment]]&gt;='Описательные характеристики'!$I$5,"да","нет")</f>
        <v>нет</v>
      </c>
    </row>
    <row r="1898" spans="1:14" x14ac:dyDescent="0.35">
      <c r="A1898">
        <v>37013</v>
      </c>
      <c r="B1898" t="s">
        <v>1218</v>
      </c>
      <c r="C1898" t="s">
        <v>1224</v>
      </c>
      <c r="D1898" s="2">
        <v>47561</v>
      </c>
      <c r="E1898" s="2">
        <v>22356</v>
      </c>
      <c r="F1898" s="3">
        <v>3.2</v>
      </c>
      <c r="G1898" s="3">
        <v>18786</v>
      </c>
      <c r="H1898" s="3">
        <v>76.7</v>
      </c>
      <c r="I1898" s="3">
        <v>16</v>
      </c>
      <c r="J1898" s="3">
        <v>7.2</v>
      </c>
      <c r="K1898" s="3">
        <v>0.1</v>
      </c>
      <c r="L1898" s="3">
        <v>11.5</v>
      </c>
      <c r="M1898" t="str">
        <f>IF(acs2015_county_data[[#This Row],[PublicWork]]&gt;='Описательные характеристики'!$F$5,"да","нет")</f>
        <v>нет</v>
      </c>
      <c r="N1898" t="str">
        <f>IF(acs2015_county_data[[#This Row],[Unemployment]]&gt;='Описательные характеристики'!$I$5,"да","нет")</f>
        <v>да</v>
      </c>
    </row>
    <row r="1899" spans="1:14" x14ac:dyDescent="0.35">
      <c r="A1899">
        <v>37015</v>
      </c>
      <c r="B1899" t="s">
        <v>1218</v>
      </c>
      <c r="C1899" t="s">
        <v>1225</v>
      </c>
      <c r="D1899" s="2">
        <v>20518</v>
      </c>
      <c r="E1899" s="2">
        <v>16629</v>
      </c>
      <c r="F1899" s="3">
        <v>2.5</v>
      </c>
      <c r="G1899" s="3">
        <v>7158</v>
      </c>
      <c r="H1899" s="3">
        <v>77</v>
      </c>
      <c r="I1899" s="3">
        <v>17.899999999999999</v>
      </c>
      <c r="J1899" s="3">
        <v>4.8</v>
      </c>
      <c r="K1899" s="3">
        <v>0.3</v>
      </c>
      <c r="L1899" s="3">
        <v>13.5</v>
      </c>
      <c r="M1899" t="str">
        <f>IF(acs2015_county_data[[#This Row],[PublicWork]]&gt;='Описательные характеристики'!$F$5,"да","нет")</f>
        <v>да</v>
      </c>
      <c r="N1899" t="str">
        <f>IF(acs2015_county_data[[#This Row],[Unemployment]]&gt;='Описательные характеристики'!$I$5,"да","нет")</f>
        <v>да</v>
      </c>
    </row>
    <row r="1900" spans="1:14" x14ac:dyDescent="0.35">
      <c r="A1900">
        <v>37017</v>
      </c>
      <c r="B1900" t="s">
        <v>1218</v>
      </c>
      <c r="C1900" t="s">
        <v>1226</v>
      </c>
      <c r="D1900" s="2">
        <v>34720</v>
      </c>
      <c r="E1900" s="2">
        <v>18903</v>
      </c>
      <c r="F1900" s="3">
        <v>1.8</v>
      </c>
      <c r="G1900" s="3">
        <v>13040</v>
      </c>
      <c r="H1900" s="3">
        <v>72</v>
      </c>
      <c r="I1900" s="3">
        <v>23.4</v>
      </c>
      <c r="J1900" s="3">
        <v>4.5999999999999996</v>
      </c>
      <c r="K1900" s="3">
        <v>0</v>
      </c>
      <c r="L1900" s="3">
        <v>12.1</v>
      </c>
      <c r="M1900" t="str">
        <f>IF(acs2015_county_data[[#This Row],[PublicWork]]&gt;='Описательные характеристики'!$F$5,"да","нет")</f>
        <v>да</v>
      </c>
      <c r="N1900" t="str">
        <f>IF(acs2015_county_data[[#This Row],[Unemployment]]&gt;='Описательные характеристики'!$I$5,"да","нет")</f>
        <v>да</v>
      </c>
    </row>
    <row r="1901" spans="1:14" x14ac:dyDescent="0.35">
      <c r="A1901">
        <v>37019</v>
      </c>
      <c r="B1901" t="s">
        <v>1218</v>
      </c>
      <c r="C1901" t="s">
        <v>1227</v>
      </c>
      <c r="D1901" s="2">
        <v>115926</v>
      </c>
      <c r="E1901" s="2">
        <v>27586</v>
      </c>
      <c r="F1901" s="3">
        <v>4.8</v>
      </c>
      <c r="G1901" s="3">
        <v>45213</v>
      </c>
      <c r="H1901" s="3">
        <v>78</v>
      </c>
      <c r="I1901" s="3">
        <v>13.6</v>
      </c>
      <c r="J1901" s="3">
        <v>8.1</v>
      </c>
      <c r="K1901" s="3">
        <v>0.2</v>
      </c>
      <c r="L1901" s="3">
        <v>11.4</v>
      </c>
      <c r="M1901" t="str">
        <f>IF(acs2015_county_data[[#This Row],[PublicWork]]&gt;='Описательные характеристики'!$F$5,"да","нет")</f>
        <v>нет</v>
      </c>
      <c r="N1901" t="str">
        <f>IF(acs2015_county_data[[#This Row],[Unemployment]]&gt;='Описательные характеристики'!$I$5,"да","нет")</f>
        <v>да</v>
      </c>
    </row>
    <row r="1902" spans="1:14" x14ac:dyDescent="0.35">
      <c r="A1902">
        <v>37021</v>
      </c>
      <c r="B1902" t="s">
        <v>1218</v>
      </c>
      <c r="C1902" t="s">
        <v>1228</v>
      </c>
      <c r="D1902" s="2">
        <v>247336</v>
      </c>
      <c r="E1902" s="2">
        <v>27066</v>
      </c>
      <c r="F1902" s="3">
        <v>7.1</v>
      </c>
      <c r="G1902" s="3">
        <v>117252</v>
      </c>
      <c r="H1902" s="3">
        <v>79</v>
      </c>
      <c r="I1902" s="3">
        <v>12.4</v>
      </c>
      <c r="J1902" s="3">
        <v>8.4</v>
      </c>
      <c r="K1902" s="3">
        <v>0.3</v>
      </c>
      <c r="L1902" s="3">
        <v>7</v>
      </c>
      <c r="M1902" t="str">
        <f>IF(acs2015_county_data[[#This Row],[PublicWork]]&gt;='Описательные характеристики'!$F$5,"да","нет")</f>
        <v>нет</v>
      </c>
      <c r="N1902" t="str">
        <f>IF(acs2015_county_data[[#This Row],[Unemployment]]&gt;='Описательные характеристики'!$I$5,"да","нет")</f>
        <v>нет</v>
      </c>
    </row>
    <row r="1903" spans="1:14" x14ac:dyDescent="0.35">
      <c r="A1903">
        <v>37023</v>
      </c>
      <c r="B1903" t="s">
        <v>1218</v>
      </c>
      <c r="C1903" t="s">
        <v>368</v>
      </c>
      <c r="D1903" s="2">
        <v>89548</v>
      </c>
      <c r="E1903" s="2">
        <v>20263</v>
      </c>
      <c r="F1903" s="3">
        <v>2.4</v>
      </c>
      <c r="G1903" s="3">
        <v>36632</v>
      </c>
      <c r="H1903" s="3">
        <v>75.2</v>
      </c>
      <c r="I1903" s="3">
        <v>18.8</v>
      </c>
      <c r="J1903" s="3">
        <v>5.7</v>
      </c>
      <c r="K1903" s="3">
        <v>0.3</v>
      </c>
      <c r="L1903" s="3">
        <v>11.6</v>
      </c>
      <c r="M1903" t="str">
        <f>IF(acs2015_county_data[[#This Row],[PublicWork]]&gt;='Описательные характеристики'!$F$5,"да","нет")</f>
        <v>да</v>
      </c>
      <c r="N1903" t="str">
        <f>IF(acs2015_county_data[[#This Row],[Unemployment]]&gt;='Описательные характеристики'!$I$5,"да","нет")</f>
        <v>да</v>
      </c>
    </row>
    <row r="1904" spans="1:14" x14ac:dyDescent="0.35">
      <c r="A1904">
        <v>37025</v>
      </c>
      <c r="B1904" t="s">
        <v>1218</v>
      </c>
      <c r="C1904" t="s">
        <v>1229</v>
      </c>
      <c r="D1904" s="2">
        <v>188375</v>
      </c>
      <c r="E1904" s="2">
        <v>26183</v>
      </c>
      <c r="F1904" s="3">
        <v>4.2</v>
      </c>
      <c r="G1904" s="3">
        <v>87960</v>
      </c>
      <c r="H1904" s="3">
        <v>81.5</v>
      </c>
      <c r="I1904" s="3">
        <v>13.7</v>
      </c>
      <c r="J1904" s="3">
        <v>4.7</v>
      </c>
      <c r="K1904" s="3">
        <v>0.1</v>
      </c>
      <c r="L1904" s="3">
        <v>9.1999999999999993</v>
      </c>
      <c r="M1904" t="str">
        <f>IF(acs2015_county_data[[#This Row],[PublicWork]]&gt;='Описательные характеристики'!$F$5,"да","нет")</f>
        <v>нет</v>
      </c>
      <c r="N1904" t="str">
        <f>IF(acs2015_county_data[[#This Row],[Unemployment]]&gt;='Описательные характеристики'!$I$5,"да","нет")</f>
        <v>да</v>
      </c>
    </row>
    <row r="1905" spans="1:14" x14ac:dyDescent="0.35">
      <c r="A1905">
        <v>37027</v>
      </c>
      <c r="B1905" t="s">
        <v>1218</v>
      </c>
      <c r="C1905" t="s">
        <v>721</v>
      </c>
      <c r="D1905" s="2">
        <v>81758</v>
      </c>
      <c r="E1905" s="2">
        <v>19601</v>
      </c>
      <c r="F1905" s="3">
        <v>3.6</v>
      </c>
      <c r="G1905" s="3">
        <v>33837</v>
      </c>
      <c r="H1905" s="3">
        <v>80.3</v>
      </c>
      <c r="I1905" s="3">
        <v>13.6</v>
      </c>
      <c r="J1905" s="3">
        <v>5.9</v>
      </c>
      <c r="K1905" s="3">
        <v>0.1</v>
      </c>
      <c r="L1905" s="3">
        <v>12.2</v>
      </c>
      <c r="M1905" t="str">
        <f>IF(acs2015_county_data[[#This Row],[PublicWork]]&gt;='Описательные характеристики'!$F$5,"да","нет")</f>
        <v>нет</v>
      </c>
      <c r="N1905" t="str">
        <f>IF(acs2015_county_data[[#This Row],[Unemployment]]&gt;='Описательные характеристики'!$I$5,"да","нет")</f>
        <v>да</v>
      </c>
    </row>
    <row r="1906" spans="1:14" x14ac:dyDescent="0.35">
      <c r="A1906">
        <v>37029</v>
      </c>
      <c r="B1906" t="s">
        <v>1218</v>
      </c>
      <c r="C1906" t="s">
        <v>370</v>
      </c>
      <c r="D1906" s="2">
        <v>10161</v>
      </c>
      <c r="E1906" s="2">
        <v>26585</v>
      </c>
      <c r="F1906" s="3">
        <v>2</v>
      </c>
      <c r="G1906" s="3">
        <v>4429</v>
      </c>
      <c r="H1906" s="3">
        <v>57.4</v>
      </c>
      <c r="I1906" s="3">
        <v>37.200000000000003</v>
      </c>
      <c r="J1906" s="3">
        <v>5.4</v>
      </c>
      <c r="K1906" s="3">
        <v>0</v>
      </c>
      <c r="L1906" s="3">
        <v>9.3000000000000007</v>
      </c>
      <c r="M1906" t="str">
        <f>IF(acs2015_county_data[[#This Row],[PublicWork]]&gt;='Описательные характеристики'!$F$5,"да","нет")</f>
        <v>да</v>
      </c>
      <c r="N1906" t="str">
        <f>IF(acs2015_county_data[[#This Row],[Unemployment]]&gt;='Описательные характеристики'!$I$5,"да","нет")</f>
        <v>да</v>
      </c>
    </row>
    <row r="1907" spans="1:14" x14ac:dyDescent="0.35">
      <c r="A1907">
        <v>37031</v>
      </c>
      <c r="B1907" t="s">
        <v>1218</v>
      </c>
      <c r="C1907" t="s">
        <v>1230</v>
      </c>
      <c r="D1907" s="2">
        <v>68228</v>
      </c>
      <c r="E1907" s="2">
        <v>28991</v>
      </c>
      <c r="F1907" s="3">
        <v>4.4000000000000004</v>
      </c>
      <c r="G1907" s="3">
        <v>29496</v>
      </c>
      <c r="H1907" s="3">
        <v>66.8</v>
      </c>
      <c r="I1907" s="3">
        <v>22.2</v>
      </c>
      <c r="J1907" s="3">
        <v>10.8</v>
      </c>
      <c r="K1907" s="3">
        <v>0.1</v>
      </c>
      <c r="L1907" s="3">
        <v>10.199999999999999</v>
      </c>
      <c r="M1907" t="str">
        <f>IF(acs2015_county_data[[#This Row],[PublicWork]]&gt;='Описательные характеристики'!$F$5,"да","нет")</f>
        <v>да</v>
      </c>
      <c r="N1907" t="str">
        <f>IF(acs2015_county_data[[#This Row],[Unemployment]]&gt;='Описательные характеристики'!$I$5,"да","нет")</f>
        <v>да</v>
      </c>
    </row>
    <row r="1908" spans="1:14" x14ac:dyDescent="0.35">
      <c r="A1908">
        <v>37033</v>
      </c>
      <c r="B1908" t="s">
        <v>1218</v>
      </c>
      <c r="C1908" t="s">
        <v>1231</v>
      </c>
      <c r="D1908" s="2">
        <v>23174</v>
      </c>
      <c r="E1908" s="2">
        <v>19698</v>
      </c>
      <c r="F1908" s="3">
        <v>2.2000000000000002</v>
      </c>
      <c r="G1908" s="3">
        <v>9276</v>
      </c>
      <c r="H1908" s="3">
        <v>77.7</v>
      </c>
      <c r="I1908" s="3">
        <v>16.100000000000001</v>
      </c>
      <c r="J1908" s="3">
        <v>5.8</v>
      </c>
      <c r="K1908" s="3">
        <v>0.4</v>
      </c>
      <c r="L1908" s="3">
        <v>10.9</v>
      </c>
      <c r="M1908" t="str">
        <f>IF(acs2015_county_data[[#This Row],[PublicWork]]&gt;='Описательные характеристики'!$F$5,"да","нет")</f>
        <v>нет</v>
      </c>
      <c r="N1908" t="str">
        <f>IF(acs2015_county_data[[#This Row],[Unemployment]]&gt;='Описательные характеристики'!$I$5,"да","нет")</f>
        <v>да</v>
      </c>
    </row>
    <row r="1909" spans="1:14" x14ac:dyDescent="0.35">
      <c r="A1909">
        <v>37035</v>
      </c>
      <c r="B1909" t="s">
        <v>1218</v>
      </c>
      <c r="C1909" t="s">
        <v>1232</v>
      </c>
      <c r="D1909" s="2">
        <v>154610</v>
      </c>
      <c r="E1909" s="2">
        <v>23657</v>
      </c>
      <c r="F1909" s="3">
        <v>3.6</v>
      </c>
      <c r="G1909" s="3">
        <v>69954</v>
      </c>
      <c r="H1909" s="3">
        <v>83.8</v>
      </c>
      <c r="I1909" s="3">
        <v>10.9</v>
      </c>
      <c r="J1909" s="3">
        <v>5.2</v>
      </c>
      <c r="K1909" s="3">
        <v>0.1</v>
      </c>
      <c r="L1909" s="3">
        <v>8.1999999999999993</v>
      </c>
      <c r="M1909" t="str">
        <f>IF(acs2015_county_data[[#This Row],[PublicWork]]&gt;='Описательные характеристики'!$F$5,"да","нет")</f>
        <v>нет</v>
      </c>
      <c r="N1909" t="str">
        <f>IF(acs2015_county_data[[#This Row],[Unemployment]]&gt;='Описательные характеристики'!$I$5,"да","нет")</f>
        <v>да</v>
      </c>
    </row>
    <row r="1910" spans="1:14" x14ac:dyDescent="0.35">
      <c r="A1910">
        <v>37037</v>
      </c>
      <c r="B1910" t="s">
        <v>1218</v>
      </c>
      <c r="C1910" t="s">
        <v>374</v>
      </c>
      <c r="D1910" s="2">
        <v>67431</v>
      </c>
      <c r="E1910" s="2">
        <v>32845</v>
      </c>
      <c r="F1910" s="3">
        <v>7.8</v>
      </c>
      <c r="G1910" s="3">
        <v>29621</v>
      </c>
      <c r="H1910" s="3">
        <v>73</v>
      </c>
      <c r="I1910" s="3">
        <v>17.8</v>
      </c>
      <c r="J1910" s="3">
        <v>9.1</v>
      </c>
      <c r="K1910" s="3">
        <v>0.2</v>
      </c>
      <c r="L1910" s="3">
        <v>9</v>
      </c>
      <c r="M1910" t="str">
        <f>IF(acs2015_county_data[[#This Row],[PublicWork]]&gt;='Описательные характеристики'!$F$5,"да","нет")</f>
        <v>да</v>
      </c>
      <c r="N1910" t="str">
        <f>IF(acs2015_county_data[[#This Row],[Unemployment]]&gt;='Описательные характеристики'!$I$5,"да","нет")</f>
        <v>да</v>
      </c>
    </row>
    <row r="1911" spans="1:14" x14ac:dyDescent="0.35">
      <c r="A1911">
        <v>37039</v>
      </c>
      <c r="B1911" t="s">
        <v>1218</v>
      </c>
      <c r="C1911" t="s">
        <v>24</v>
      </c>
      <c r="D1911" s="2">
        <v>27092</v>
      </c>
      <c r="E1911" s="2">
        <v>18787</v>
      </c>
      <c r="F1911" s="3">
        <v>4.2</v>
      </c>
      <c r="G1911" s="3">
        <v>9362</v>
      </c>
      <c r="H1911" s="3">
        <v>75.7</v>
      </c>
      <c r="I1911" s="3">
        <v>13.2</v>
      </c>
      <c r="J1911" s="3">
        <v>11</v>
      </c>
      <c r="K1911" s="3">
        <v>0.1</v>
      </c>
      <c r="L1911" s="3">
        <v>8.4</v>
      </c>
      <c r="M1911" t="str">
        <f>IF(acs2015_county_data[[#This Row],[PublicWork]]&gt;='Описательные характеристики'!$F$5,"да","нет")</f>
        <v>нет</v>
      </c>
      <c r="N1911" t="str">
        <f>IF(acs2015_county_data[[#This Row],[Unemployment]]&gt;='Описательные характеристики'!$I$5,"да","нет")</f>
        <v>да</v>
      </c>
    </row>
    <row r="1912" spans="1:14" x14ac:dyDescent="0.35">
      <c r="A1912">
        <v>37041</v>
      </c>
      <c r="B1912" t="s">
        <v>1218</v>
      </c>
      <c r="C1912" t="s">
        <v>1233</v>
      </c>
      <c r="D1912" s="2">
        <v>14656</v>
      </c>
      <c r="E1912" s="2">
        <v>21451</v>
      </c>
      <c r="F1912" s="3">
        <v>2.7</v>
      </c>
      <c r="G1912" s="3">
        <v>5711</v>
      </c>
      <c r="H1912" s="3">
        <v>69.400000000000006</v>
      </c>
      <c r="I1912" s="3">
        <v>25.9</v>
      </c>
      <c r="J1912" s="3">
        <v>4.5</v>
      </c>
      <c r="K1912" s="3">
        <v>0.2</v>
      </c>
      <c r="L1912" s="3">
        <v>12.7</v>
      </c>
      <c r="M1912" t="str">
        <f>IF(acs2015_county_data[[#This Row],[PublicWork]]&gt;='Описательные характеристики'!$F$5,"да","нет")</f>
        <v>да</v>
      </c>
      <c r="N1912" t="str">
        <f>IF(acs2015_county_data[[#This Row],[Unemployment]]&gt;='Описательные характеристики'!$I$5,"да","нет")</f>
        <v>да</v>
      </c>
    </row>
    <row r="1913" spans="1:14" x14ac:dyDescent="0.35">
      <c r="A1913">
        <v>37043</v>
      </c>
      <c r="B1913" t="s">
        <v>1218</v>
      </c>
      <c r="C1913" t="s">
        <v>28</v>
      </c>
      <c r="D1913" s="2">
        <v>10656</v>
      </c>
      <c r="E1913" s="2">
        <v>22106</v>
      </c>
      <c r="F1913" s="3">
        <v>2.4</v>
      </c>
      <c r="G1913" s="3">
        <v>3920</v>
      </c>
      <c r="H1913" s="3">
        <v>77.900000000000006</v>
      </c>
      <c r="I1913" s="3">
        <v>13.5</v>
      </c>
      <c r="J1913" s="3">
        <v>8.1999999999999993</v>
      </c>
      <c r="K1913" s="3">
        <v>0.4</v>
      </c>
      <c r="L1913" s="3">
        <v>12.3</v>
      </c>
      <c r="M1913" t="str">
        <f>IF(acs2015_county_data[[#This Row],[PublicWork]]&gt;='Описательные характеристики'!$F$5,"да","нет")</f>
        <v>нет</v>
      </c>
      <c r="N1913" t="str">
        <f>IF(acs2015_county_data[[#This Row],[Unemployment]]&gt;='Описательные характеристики'!$I$5,"да","нет")</f>
        <v>да</v>
      </c>
    </row>
    <row r="1914" spans="1:14" x14ac:dyDescent="0.35">
      <c r="A1914">
        <v>37045</v>
      </c>
      <c r="B1914" t="s">
        <v>1218</v>
      </c>
      <c r="C1914" t="s">
        <v>132</v>
      </c>
      <c r="D1914" s="2">
        <v>97178</v>
      </c>
      <c r="E1914" s="2">
        <v>20825</v>
      </c>
      <c r="F1914" s="3">
        <v>2.2999999999999998</v>
      </c>
      <c r="G1914" s="3">
        <v>40571</v>
      </c>
      <c r="H1914" s="3">
        <v>80.400000000000006</v>
      </c>
      <c r="I1914" s="3">
        <v>13.7</v>
      </c>
      <c r="J1914" s="3">
        <v>5.7</v>
      </c>
      <c r="K1914" s="3">
        <v>0.2</v>
      </c>
      <c r="L1914" s="3">
        <v>12.6</v>
      </c>
      <c r="M1914" t="str">
        <f>IF(acs2015_county_data[[#This Row],[PublicWork]]&gt;='Описательные характеристики'!$F$5,"да","нет")</f>
        <v>нет</v>
      </c>
      <c r="N1914" t="str">
        <f>IF(acs2015_county_data[[#This Row],[Unemployment]]&gt;='Описательные характеристики'!$I$5,"да","нет")</f>
        <v>да</v>
      </c>
    </row>
    <row r="1915" spans="1:14" x14ac:dyDescent="0.35">
      <c r="A1915">
        <v>37047</v>
      </c>
      <c r="B1915" t="s">
        <v>1218</v>
      </c>
      <c r="C1915" t="s">
        <v>1234</v>
      </c>
      <c r="D1915" s="2">
        <v>57230</v>
      </c>
      <c r="E1915" s="2">
        <v>19814</v>
      </c>
      <c r="F1915" s="3">
        <v>1.9</v>
      </c>
      <c r="G1915" s="3">
        <v>20746</v>
      </c>
      <c r="H1915" s="3">
        <v>75</v>
      </c>
      <c r="I1915" s="3">
        <v>18.600000000000001</v>
      </c>
      <c r="J1915" s="3">
        <v>6.2</v>
      </c>
      <c r="K1915" s="3">
        <v>0.2</v>
      </c>
      <c r="L1915" s="3">
        <v>9</v>
      </c>
      <c r="M1915" t="str">
        <f>IF(acs2015_county_data[[#This Row],[PublicWork]]&gt;='Описательные характеристики'!$F$5,"да","нет")</f>
        <v>да</v>
      </c>
      <c r="N1915" t="str">
        <f>IF(acs2015_county_data[[#This Row],[Unemployment]]&gt;='Описательные характеристики'!$I$5,"да","нет")</f>
        <v>да</v>
      </c>
    </row>
    <row r="1916" spans="1:14" x14ac:dyDescent="0.35">
      <c r="A1916">
        <v>37049</v>
      </c>
      <c r="B1916" t="s">
        <v>1218</v>
      </c>
      <c r="C1916" t="s">
        <v>1235</v>
      </c>
      <c r="D1916" s="2">
        <v>104450</v>
      </c>
      <c r="E1916" s="2">
        <v>24553</v>
      </c>
      <c r="F1916" s="3">
        <v>3</v>
      </c>
      <c r="G1916" s="3">
        <v>40530</v>
      </c>
      <c r="H1916" s="3">
        <v>72.099999999999994</v>
      </c>
      <c r="I1916" s="3">
        <v>22.1</v>
      </c>
      <c r="J1916" s="3">
        <v>5.5</v>
      </c>
      <c r="K1916" s="3">
        <v>0.3</v>
      </c>
      <c r="L1916" s="3">
        <v>11.4</v>
      </c>
      <c r="M1916" t="str">
        <f>IF(acs2015_county_data[[#This Row],[PublicWork]]&gt;='Описательные характеристики'!$F$5,"да","нет")</f>
        <v>да</v>
      </c>
      <c r="N1916" t="str">
        <f>IF(acs2015_county_data[[#This Row],[Unemployment]]&gt;='Описательные характеристики'!$I$5,"да","нет")</f>
        <v>да</v>
      </c>
    </row>
    <row r="1917" spans="1:14" x14ac:dyDescent="0.35">
      <c r="A1917">
        <v>37051</v>
      </c>
      <c r="B1917" t="s">
        <v>1218</v>
      </c>
      <c r="C1917" t="s">
        <v>513</v>
      </c>
      <c r="D1917" s="2">
        <v>324603</v>
      </c>
      <c r="E1917" s="2">
        <v>22931</v>
      </c>
      <c r="F1917" s="3">
        <v>2.2999999999999998</v>
      </c>
      <c r="G1917" s="3">
        <v>118750</v>
      </c>
      <c r="H1917" s="3">
        <v>69.3</v>
      </c>
      <c r="I1917" s="3">
        <v>26.3</v>
      </c>
      <c r="J1917" s="3">
        <v>4.3</v>
      </c>
      <c r="K1917" s="3">
        <v>0.2</v>
      </c>
      <c r="L1917" s="3">
        <v>12.6</v>
      </c>
      <c r="M1917" t="str">
        <f>IF(acs2015_county_data[[#This Row],[PublicWork]]&gt;='Описательные характеристики'!$F$5,"да","нет")</f>
        <v>да</v>
      </c>
      <c r="N1917" t="str">
        <f>IF(acs2015_county_data[[#This Row],[Unemployment]]&gt;='Описательные характеристики'!$I$5,"да","нет")</f>
        <v>да</v>
      </c>
    </row>
    <row r="1918" spans="1:14" x14ac:dyDescent="0.35">
      <c r="A1918">
        <v>37053</v>
      </c>
      <c r="B1918" t="s">
        <v>1218</v>
      </c>
      <c r="C1918" t="s">
        <v>1236</v>
      </c>
      <c r="D1918" s="2">
        <v>24492</v>
      </c>
      <c r="E1918" s="2">
        <v>27521</v>
      </c>
      <c r="F1918" s="3">
        <v>3.3</v>
      </c>
      <c r="G1918" s="3">
        <v>11913</v>
      </c>
      <c r="H1918" s="3">
        <v>76.400000000000006</v>
      </c>
      <c r="I1918" s="3">
        <v>18.5</v>
      </c>
      <c r="J1918" s="3">
        <v>5</v>
      </c>
      <c r="K1918" s="3">
        <v>0.1</v>
      </c>
      <c r="L1918" s="3">
        <v>6.6</v>
      </c>
      <c r="M1918" t="str">
        <f>IF(acs2015_county_data[[#This Row],[PublicWork]]&gt;='Описательные характеристики'!$F$5,"да","нет")</f>
        <v>да</v>
      </c>
      <c r="N1918" t="str">
        <f>IF(acs2015_county_data[[#This Row],[Unemployment]]&gt;='Описательные характеристики'!$I$5,"да","нет")</f>
        <v>нет</v>
      </c>
    </row>
    <row r="1919" spans="1:14" x14ac:dyDescent="0.35">
      <c r="A1919">
        <v>37055</v>
      </c>
      <c r="B1919" t="s">
        <v>1218</v>
      </c>
      <c r="C1919" t="s">
        <v>1237</v>
      </c>
      <c r="D1919" s="2">
        <v>34863</v>
      </c>
      <c r="E1919" s="2">
        <v>30682</v>
      </c>
      <c r="F1919" s="3">
        <v>5.6</v>
      </c>
      <c r="G1919" s="3">
        <v>18579</v>
      </c>
      <c r="H1919" s="3">
        <v>74.599999999999994</v>
      </c>
      <c r="I1919" s="3">
        <v>14.3</v>
      </c>
      <c r="J1919" s="3">
        <v>10.9</v>
      </c>
      <c r="K1919" s="3">
        <v>0.2</v>
      </c>
      <c r="L1919" s="3">
        <v>6.4</v>
      </c>
      <c r="M1919" t="str">
        <f>IF(acs2015_county_data[[#This Row],[PublicWork]]&gt;='Описательные характеристики'!$F$5,"да","нет")</f>
        <v>нет</v>
      </c>
      <c r="N1919" t="str">
        <f>IF(acs2015_county_data[[#This Row],[Unemployment]]&gt;='Описательные характеристики'!$I$5,"да","нет")</f>
        <v>нет</v>
      </c>
    </row>
    <row r="1920" spans="1:14" x14ac:dyDescent="0.35">
      <c r="A1920">
        <v>37057</v>
      </c>
      <c r="B1920" t="s">
        <v>1218</v>
      </c>
      <c r="C1920" t="s">
        <v>1238</v>
      </c>
      <c r="D1920" s="2">
        <v>163867</v>
      </c>
      <c r="E1920" s="2">
        <v>23060</v>
      </c>
      <c r="F1920" s="3">
        <v>3</v>
      </c>
      <c r="G1920" s="3">
        <v>71620</v>
      </c>
      <c r="H1920" s="3">
        <v>81.8</v>
      </c>
      <c r="I1920" s="3">
        <v>11.9</v>
      </c>
      <c r="J1920" s="3">
        <v>6.2</v>
      </c>
      <c r="K1920" s="3">
        <v>0.1</v>
      </c>
      <c r="L1920" s="3">
        <v>11</v>
      </c>
      <c r="M1920" t="str">
        <f>IF(acs2015_county_data[[#This Row],[PublicWork]]&gt;='Описательные характеристики'!$F$5,"да","нет")</f>
        <v>нет</v>
      </c>
      <c r="N1920" t="str">
        <f>IF(acs2015_county_data[[#This Row],[Unemployment]]&gt;='Описательные характеристики'!$I$5,"да","нет")</f>
        <v>да</v>
      </c>
    </row>
    <row r="1921" spans="1:14" x14ac:dyDescent="0.35">
      <c r="A1921">
        <v>37059</v>
      </c>
      <c r="B1921" t="s">
        <v>1218</v>
      </c>
      <c r="C1921" t="s">
        <v>1239</v>
      </c>
      <c r="D1921" s="2">
        <v>41447</v>
      </c>
      <c r="E1921" s="2">
        <v>28141</v>
      </c>
      <c r="F1921" s="3">
        <v>4.2</v>
      </c>
      <c r="G1921" s="3">
        <v>18364</v>
      </c>
      <c r="H1921" s="3">
        <v>81</v>
      </c>
      <c r="I1921" s="3">
        <v>12.3</v>
      </c>
      <c r="J1921" s="3">
        <v>6.5</v>
      </c>
      <c r="K1921" s="3">
        <v>0.2</v>
      </c>
      <c r="L1921" s="3">
        <v>7.2</v>
      </c>
      <c r="M1921" t="str">
        <f>IF(acs2015_county_data[[#This Row],[PublicWork]]&gt;='Описательные характеристики'!$F$5,"да","нет")</f>
        <v>нет</v>
      </c>
      <c r="N1921" t="str">
        <f>IF(acs2015_county_data[[#This Row],[Unemployment]]&gt;='Описательные характеристики'!$I$5,"да","нет")</f>
        <v>нет</v>
      </c>
    </row>
    <row r="1922" spans="1:14" x14ac:dyDescent="0.35">
      <c r="A1922">
        <v>37061</v>
      </c>
      <c r="B1922" t="s">
        <v>1218</v>
      </c>
      <c r="C1922" t="s">
        <v>1240</v>
      </c>
      <c r="D1922" s="2">
        <v>59453</v>
      </c>
      <c r="E1922" s="2">
        <v>17593</v>
      </c>
      <c r="F1922" s="3">
        <v>2.5</v>
      </c>
      <c r="G1922" s="3">
        <v>24654</v>
      </c>
      <c r="H1922" s="3">
        <v>76.5</v>
      </c>
      <c r="I1922" s="3">
        <v>15</v>
      </c>
      <c r="J1922" s="3">
        <v>8.1</v>
      </c>
      <c r="K1922" s="3">
        <v>0.4</v>
      </c>
      <c r="L1922" s="3">
        <v>11.3</v>
      </c>
      <c r="M1922" t="str">
        <f>IF(acs2015_county_data[[#This Row],[PublicWork]]&gt;='Описательные характеристики'!$F$5,"да","нет")</f>
        <v>нет</v>
      </c>
      <c r="N1922" t="str">
        <f>IF(acs2015_county_data[[#This Row],[Unemployment]]&gt;='Описательные характеристики'!$I$5,"да","нет")</f>
        <v>да</v>
      </c>
    </row>
    <row r="1923" spans="1:14" x14ac:dyDescent="0.35">
      <c r="A1923">
        <v>37063</v>
      </c>
      <c r="B1923" t="s">
        <v>1218</v>
      </c>
      <c r="C1923" t="s">
        <v>1241</v>
      </c>
      <c r="D1923" s="2">
        <v>288817</v>
      </c>
      <c r="E1923" s="2">
        <v>30268</v>
      </c>
      <c r="F1923" s="3">
        <v>4.8</v>
      </c>
      <c r="G1923" s="3">
        <v>145135</v>
      </c>
      <c r="H1923" s="3">
        <v>78.2</v>
      </c>
      <c r="I1923" s="3">
        <v>16.8</v>
      </c>
      <c r="J1923" s="3">
        <v>4.9000000000000004</v>
      </c>
      <c r="K1923" s="3">
        <v>0.1</v>
      </c>
      <c r="L1923" s="3">
        <v>6.8</v>
      </c>
      <c r="M1923" t="str">
        <f>IF(acs2015_county_data[[#This Row],[PublicWork]]&gt;='Описательные характеристики'!$F$5,"да","нет")</f>
        <v>да</v>
      </c>
      <c r="N1923" t="str">
        <f>IF(acs2015_county_data[[#This Row],[Unemployment]]&gt;='Описательные характеристики'!$I$5,"да","нет")</f>
        <v>нет</v>
      </c>
    </row>
    <row r="1924" spans="1:14" x14ac:dyDescent="0.35">
      <c r="A1924">
        <v>37065</v>
      </c>
      <c r="B1924" t="s">
        <v>1218</v>
      </c>
      <c r="C1924" t="s">
        <v>1242</v>
      </c>
      <c r="D1924" s="2">
        <v>55280</v>
      </c>
      <c r="E1924" s="2">
        <v>17956</v>
      </c>
      <c r="F1924" s="3">
        <v>2.7</v>
      </c>
      <c r="G1924" s="3">
        <v>21446</v>
      </c>
      <c r="H1924" s="3">
        <v>80.2</v>
      </c>
      <c r="I1924" s="3">
        <v>14.8</v>
      </c>
      <c r="J1924" s="3">
        <v>4.7</v>
      </c>
      <c r="K1924" s="3">
        <v>0.3</v>
      </c>
      <c r="L1924" s="3">
        <v>15.4</v>
      </c>
      <c r="M1924" t="str">
        <f>IF(acs2015_county_data[[#This Row],[PublicWork]]&gt;='Описательные характеристики'!$F$5,"да","нет")</f>
        <v>нет</v>
      </c>
      <c r="N1924" t="str">
        <f>IF(acs2015_county_data[[#This Row],[Unemployment]]&gt;='Описательные характеристики'!$I$5,"да","нет")</f>
        <v>да</v>
      </c>
    </row>
    <row r="1925" spans="1:14" x14ac:dyDescent="0.35">
      <c r="A1925">
        <v>37067</v>
      </c>
      <c r="B1925" t="s">
        <v>1218</v>
      </c>
      <c r="C1925" t="s">
        <v>397</v>
      </c>
      <c r="D1925" s="2">
        <v>361684</v>
      </c>
      <c r="E1925" s="2">
        <v>26674</v>
      </c>
      <c r="F1925" s="3">
        <v>4.7</v>
      </c>
      <c r="G1925" s="3">
        <v>162790</v>
      </c>
      <c r="H1925" s="3">
        <v>83.5</v>
      </c>
      <c r="I1925" s="3">
        <v>11.4</v>
      </c>
      <c r="J1925" s="3">
        <v>5.0999999999999996</v>
      </c>
      <c r="K1925" s="3">
        <v>0.1</v>
      </c>
      <c r="L1925" s="3">
        <v>9.5</v>
      </c>
      <c r="M1925" t="str">
        <f>IF(acs2015_county_data[[#This Row],[PublicWork]]&gt;='Описательные характеристики'!$F$5,"да","нет")</f>
        <v>нет</v>
      </c>
      <c r="N1925" t="str">
        <f>IF(acs2015_county_data[[#This Row],[Unemployment]]&gt;='Описательные характеристики'!$I$5,"да","нет")</f>
        <v>да</v>
      </c>
    </row>
    <row r="1926" spans="1:14" x14ac:dyDescent="0.35">
      <c r="A1926">
        <v>37069</v>
      </c>
      <c r="B1926" t="s">
        <v>1218</v>
      </c>
      <c r="C1926" t="s">
        <v>43</v>
      </c>
      <c r="D1926" s="2">
        <v>62296</v>
      </c>
      <c r="E1926" s="2">
        <v>21526</v>
      </c>
      <c r="F1926" s="3">
        <v>4.9000000000000004</v>
      </c>
      <c r="G1926" s="3">
        <v>26738</v>
      </c>
      <c r="H1926" s="3">
        <v>77</v>
      </c>
      <c r="I1926" s="3">
        <v>16.5</v>
      </c>
      <c r="J1926" s="3">
        <v>6.4</v>
      </c>
      <c r="K1926" s="3">
        <v>0.1</v>
      </c>
      <c r="L1926" s="3">
        <v>9.9</v>
      </c>
      <c r="M1926" t="str">
        <f>IF(acs2015_county_data[[#This Row],[PublicWork]]&gt;='Описательные характеристики'!$F$5,"да","нет")</f>
        <v>да</v>
      </c>
      <c r="N1926" t="str">
        <f>IF(acs2015_county_data[[#This Row],[Unemployment]]&gt;='Описательные характеристики'!$I$5,"да","нет")</f>
        <v>да</v>
      </c>
    </row>
    <row r="1927" spans="1:14" x14ac:dyDescent="0.35">
      <c r="A1927">
        <v>37071</v>
      </c>
      <c r="B1927" t="s">
        <v>1218</v>
      </c>
      <c r="C1927" t="s">
        <v>1243</v>
      </c>
      <c r="D1927" s="2">
        <v>209807</v>
      </c>
      <c r="E1927" s="2">
        <v>22828</v>
      </c>
      <c r="F1927" s="3">
        <v>3</v>
      </c>
      <c r="G1927" s="3">
        <v>91563</v>
      </c>
      <c r="H1927" s="3">
        <v>83.8</v>
      </c>
      <c r="I1927" s="3">
        <v>11.2</v>
      </c>
      <c r="J1927" s="3">
        <v>4.9000000000000004</v>
      </c>
      <c r="K1927" s="3">
        <v>0.2</v>
      </c>
      <c r="L1927" s="3">
        <v>11.2</v>
      </c>
      <c r="M1927" t="str">
        <f>IF(acs2015_county_data[[#This Row],[PublicWork]]&gt;='Описательные характеристики'!$F$5,"да","нет")</f>
        <v>нет</v>
      </c>
      <c r="N1927" t="str">
        <f>IF(acs2015_county_data[[#This Row],[Unemployment]]&gt;='Описательные характеристики'!$I$5,"да","нет")</f>
        <v>да</v>
      </c>
    </row>
    <row r="1928" spans="1:14" x14ac:dyDescent="0.35">
      <c r="A1928">
        <v>37073</v>
      </c>
      <c r="B1928" t="s">
        <v>1218</v>
      </c>
      <c r="C1928" t="s">
        <v>1244</v>
      </c>
      <c r="D1928" s="2">
        <v>11724</v>
      </c>
      <c r="E1928" s="2">
        <v>22035</v>
      </c>
      <c r="F1928" s="3">
        <v>1.2</v>
      </c>
      <c r="G1928" s="3">
        <v>4865</v>
      </c>
      <c r="H1928" s="3">
        <v>74.599999999999994</v>
      </c>
      <c r="I1928" s="3">
        <v>21.9</v>
      </c>
      <c r="J1928" s="3">
        <v>3.5</v>
      </c>
      <c r="K1928" s="3">
        <v>0</v>
      </c>
      <c r="L1928" s="3">
        <v>12.2</v>
      </c>
      <c r="M1928" t="str">
        <f>IF(acs2015_county_data[[#This Row],[PublicWork]]&gt;='Описательные характеристики'!$F$5,"да","нет")</f>
        <v>да</v>
      </c>
      <c r="N1928" t="str">
        <f>IF(acs2015_county_data[[#This Row],[Unemployment]]&gt;='Описательные характеристики'!$I$5,"да","нет")</f>
        <v>да</v>
      </c>
    </row>
    <row r="1929" spans="1:14" x14ac:dyDescent="0.35">
      <c r="A1929">
        <v>37075</v>
      </c>
      <c r="B1929" t="s">
        <v>1218</v>
      </c>
      <c r="C1929" t="s">
        <v>113</v>
      </c>
      <c r="D1929" s="2">
        <v>8700</v>
      </c>
      <c r="E1929" s="2">
        <v>19372</v>
      </c>
      <c r="F1929" s="3">
        <v>4.5</v>
      </c>
      <c r="G1929" s="3">
        <v>2947</v>
      </c>
      <c r="H1929" s="3">
        <v>69.7</v>
      </c>
      <c r="I1929" s="3">
        <v>22.8</v>
      </c>
      <c r="J1929" s="3">
        <v>5.9</v>
      </c>
      <c r="K1929" s="3">
        <v>1.5</v>
      </c>
      <c r="L1929" s="3">
        <v>11.1</v>
      </c>
      <c r="M1929" t="str">
        <f>IF(acs2015_county_data[[#This Row],[PublicWork]]&gt;='Описательные характеристики'!$F$5,"да","нет")</f>
        <v>да</v>
      </c>
      <c r="N1929" t="str">
        <f>IF(acs2015_county_data[[#This Row],[Unemployment]]&gt;='Описательные характеристики'!$I$5,"да","нет")</f>
        <v>да</v>
      </c>
    </row>
    <row r="1930" spans="1:14" x14ac:dyDescent="0.35">
      <c r="A1930">
        <v>37077</v>
      </c>
      <c r="B1930" t="s">
        <v>1218</v>
      </c>
      <c r="C1930" t="s">
        <v>1245</v>
      </c>
      <c r="D1930" s="2">
        <v>58109</v>
      </c>
      <c r="E1930" s="2">
        <v>23127</v>
      </c>
      <c r="F1930" s="3">
        <v>4</v>
      </c>
      <c r="G1930" s="3">
        <v>24163</v>
      </c>
      <c r="H1930" s="3">
        <v>75.7</v>
      </c>
      <c r="I1930" s="3">
        <v>20.5</v>
      </c>
      <c r="J1930" s="3">
        <v>3.4</v>
      </c>
      <c r="K1930" s="3">
        <v>0.3</v>
      </c>
      <c r="L1930" s="3">
        <v>8.3000000000000007</v>
      </c>
      <c r="M1930" t="str">
        <f>IF(acs2015_county_data[[#This Row],[PublicWork]]&gt;='Описательные характеристики'!$F$5,"да","нет")</f>
        <v>да</v>
      </c>
      <c r="N1930" t="str">
        <f>IF(acs2015_county_data[[#This Row],[Unemployment]]&gt;='Описательные характеристики'!$I$5,"да","нет")</f>
        <v>да</v>
      </c>
    </row>
    <row r="1931" spans="1:14" x14ac:dyDescent="0.35">
      <c r="A1931">
        <v>37079</v>
      </c>
      <c r="B1931" t="s">
        <v>1218</v>
      </c>
      <c r="C1931" t="s">
        <v>45</v>
      </c>
      <c r="D1931" s="2">
        <v>21328</v>
      </c>
      <c r="E1931" s="2">
        <v>18107</v>
      </c>
      <c r="F1931" s="3">
        <v>1.5</v>
      </c>
      <c r="G1931" s="3">
        <v>8070</v>
      </c>
      <c r="H1931" s="3">
        <v>76.2</v>
      </c>
      <c r="I1931" s="3">
        <v>18.399999999999999</v>
      </c>
      <c r="J1931" s="3">
        <v>5.3</v>
      </c>
      <c r="K1931" s="3">
        <v>0.1</v>
      </c>
      <c r="L1931" s="3">
        <v>11.9</v>
      </c>
      <c r="M1931" t="str">
        <f>IF(acs2015_county_data[[#This Row],[PublicWork]]&gt;='Описательные характеристики'!$F$5,"да","нет")</f>
        <v>да</v>
      </c>
      <c r="N1931" t="str">
        <f>IF(acs2015_county_data[[#This Row],[Unemployment]]&gt;='Описательные характеристики'!$I$5,"да","нет")</f>
        <v>да</v>
      </c>
    </row>
    <row r="1932" spans="1:14" x14ac:dyDescent="0.35">
      <c r="A1932">
        <v>37081</v>
      </c>
      <c r="B1932" t="s">
        <v>1218</v>
      </c>
      <c r="C1932" t="s">
        <v>1246</v>
      </c>
      <c r="D1932" s="2">
        <v>506763</v>
      </c>
      <c r="E1932" s="2">
        <v>26762</v>
      </c>
      <c r="F1932" s="3">
        <v>5</v>
      </c>
      <c r="G1932" s="3">
        <v>236140</v>
      </c>
      <c r="H1932" s="3">
        <v>82.4</v>
      </c>
      <c r="I1932" s="3">
        <v>12.2</v>
      </c>
      <c r="J1932" s="3">
        <v>5.3</v>
      </c>
      <c r="K1932" s="3">
        <v>0.2</v>
      </c>
      <c r="L1932" s="3">
        <v>8.8000000000000007</v>
      </c>
      <c r="M1932" t="str">
        <f>IF(acs2015_county_data[[#This Row],[PublicWork]]&gt;='Описательные характеристики'!$F$5,"да","нет")</f>
        <v>нет</v>
      </c>
      <c r="N1932" t="str">
        <f>IF(acs2015_county_data[[#This Row],[Unemployment]]&gt;='Описательные характеристики'!$I$5,"да","нет")</f>
        <v>да</v>
      </c>
    </row>
    <row r="1933" spans="1:14" x14ac:dyDescent="0.35">
      <c r="A1933">
        <v>37083</v>
      </c>
      <c r="B1933" t="s">
        <v>1218</v>
      </c>
      <c r="C1933" t="s">
        <v>1247</v>
      </c>
      <c r="D1933" s="2">
        <v>53407</v>
      </c>
      <c r="E1933" s="2">
        <v>19709</v>
      </c>
      <c r="F1933" s="3">
        <v>1.7</v>
      </c>
      <c r="G1933" s="3">
        <v>19726</v>
      </c>
      <c r="H1933" s="3">
        <v>76.7</v>
      </c>
      <c r="I1933" s="3">
        <v>17.600000000000001</v>
      </c>
      <c r="J1933" s="3">
        <v>5.6</v>
      </c>
      <c r="K1933" s="3">
        <v>0.1</v>
      </c>
      <c r="L1933" s="3">
        <v>14.1</v>
      </c>
      <c r="M1933" t="str">
        <f>IF(acs2015_county_data[[#This Row],[PublicWork]]&gt;='Описательные характеристики'!$F$5,"да","нет")</f>
        <v>да</v>
      </c>
      <c r="N1933" t="str">
        <f>IF(acs2015_county_data[[#This Row],[Unemployment]]&gt;='Описательные характеристики'!$I$5,"да","нет")</f>
        <v>да</v>
      </c>
    </row>
    <row r="1934" spans="1:14" x14ac:dyDescent="0.35">
      <c r="A1934">
        <v>37085</v>
      </c>
      <c r="B1934" t="s">
        <v>1218</v>
      </c>
      <c r="C1934" t="s">
        <v>1248</v>
      </c>
      <c r="D1934" s="2">
        <v>124320</v>
      </c>
      <c r="E1934" s="2">
        <v>20864</v>
      </c>
      <c r="F1934" s="3">
        <v>3</v>
      </c>
      <c r="G1934" s="3">
        <v>46375</v>
      </c>
      <c r="H1934" s="3">
        <v>72.2</v>
      </c>
      <c r="I1934" s="3">
        <v>21.5</v>
      </c>
      <c r="J1934" s="3">
        <v>6.1</v>
      </c>
      <c r="K1934" s="3">
        <v>0.2</v>
      </c>
      <c r="L1934" s="3">
        <v>11.3</v>
      </c>
      <c r="M1934" t="str">
        <f>IF(acs2015_county_data[[#This Row],[PublicWork]]&gt;='Описательные характеристики'!$F$5,"да","нет")</f>
        <v>да</v>
      </c>
      <c r="N1934" t="str">
        <f>IF(acs2015_county_data[[#This Row],[Unemployment]]&gt;='Описательные характеристики'!$I$5,"да","нет")</f>
        <v>да</v>
      </c>
    </row>
    <row r="1935" spans="1:14" x14ac:dyDescent="0.35">
      <c r="A1935">
        <v>37087</v>
      </c>
      <c r="B1935" t="s">
        <v>1218</v>
      </c>
      <c r="C1935" t="s">
        <v>1249</v>
      </c>
      <c r="D1935" s="2">
        <v>59170</v>
      </c>
      <c r="E1935" s="2">
        <v>25562</v>
      </c>
      <c r="F1935" s="3">
        <v>3.8</v>
      </c>
      <c r="G1935" s="3">
        <v>24728</v>
      </c>
      <c r="H1935" s="3">
        <v>75.599999999999994</v>
      </c>
      <c r="I1935" s="3">
        <v>16.2</v>
      </c>
      <c r="J1935" s="3">
        <v>7.8</v>
      </c>
      <c r="K1935" s="3">
        <v>0.4</v>
      </c>
      <c r="L1935" s="3">
        <v>7.3</v>
      </c>
      <c r="M1935" t="str">
        <f>IF(acs2015_county_data[[#This Row],[PublicWork]]&gt;='Описательные характеристики'!$F$5,"да","нет")</f>
        <v>да</v>
      </c>
      <c r="N1935" t="str">
        <f>IF(acs2015_county_data[[#This Row],[Unemployment]]&gt;='Описательные характеристики'!$I$5,"да","нет")</f>
        <v>нет</v>
      </c>
    </row>
    <row r="1936" spans="1:14" x14ac:dyDescent="0.35">
      <c r="A1936">
        <v>37089</v>
      </c>
      <c r="B1936" t="s">
        <v>1218</v>
      </c>
      <c r="C1936" t="s">
        <v>522</v>
      </c>
      <c r="D1936" s="2">
        <v>109719</v>
      </c>
      <c r="E1936" s="2">
        <v>26059</v>
      </c>
      <c r="F1936" s="3">
        <v>5.3</v>
      </c>
      <c r="G1936" s="3">
        <v>46387</v>
      </c>
      <c r="H1936" s="3">
        <v>79.8</v>
      </c>
      <c r="I1936" s="3">
        <v>11.8</v>
      </c>
      <c r="J1936" s="3">
        <v>8.1999999999999993</v>
      </c>
      <c r="K1936" s="3">
        <v>0.1</v>
      </c>
      <c r="L1936" s="3">
        <v>6</v>
      </c>
      <c r="M1936" t="str">
        <f>IF(acs2015_county_data[[#This Row],[PublicWork]]&gt;='Описательные характеристики'!$F$5,"да","нет")</f>
        <v>нет</v>
      </c>
      <c r="N1936" t="str">
        <f>IF(acs2015_county_data[[#This Row],[Unemployment]]&gt;='Описательные характеристики'!$I$5,"да","нет")</f>
        <v>нет</v>
      </c>
    </row>
    <row r="1937" spans="1:14" x14ac:dyDescent="0.35">
      <c r="A1937">
        <v>37091</v>
      </c>
      <c r="B1937" t="s">
        <v>1218</v>
      </c>
      <c r="C1937" t="s">
        <v>1250</v>
      </c>
      <c r="D1937" s="2">
        <v>24368</v>
      </c>
      <c r="E1937" s="2">
        <v>17280</v>
      </c>
      <c r="F1937" s="3">
        <v>1.4</v>
      </c>
      <c r="G1937" s="3">
        <v>8679</v>
      </c>
      <c r="H1937" s="3">
        <v>73.3</v>
      </c>
      <c r="I1937" s="3">
        <v>21.3</v>
      </c>
      <c r="J1937" s="3">
        <v>5.4</v>
      </c>
      <c r="K1937" s="3">
        <v>0</v>
      </c>
      <c r="L1937" s="3">
        <v>13.7</v>
      </c>
      <c r="M1937" t="str">
        <f>IF(acs2015_county_data[[#This Row],[PublicWork]]&gt;='Описательные характеристики'!$F$5,"да","нет")</f>
        <v>да</v>
      </c>
      <c r="N1937" t="str">
        <f>IF(acs2015_county_data[[#This Row],[Unemployment]]&gt;='Описательные характеристики'!$I$5,"да","нет")</f>
        <v>да</v>
      </c>
    </row>
    <row r="1938" spans="1:14" x14ac:dyDescent="0.35">
      <c r="A1938">
        <v>37093</v>
      </c>
      <c r="B1938" t="s">
        <v>1218</v>
      </c>
      <c r="C1938" t="s">
        <v>1251</v>
      </c>
      <c r="D1938" s="2">
        <v>51075</v>
      </c>
      <c r="E1938" s="2">
        <v>18421</v>
      </c>
      <c r="F1938" s="3">
        <v>2.6</v>
      </c>
      <c r="G1938" s="3">
        <v>17168</v>
      </c>
      <c r="H1938" s="3">
        <v>71.099999999999994</v>
      </c>
      <c r="I1938" s="3">
        <v>24.1</v>
      </c>
      <c r="J1938" s="3">
        <v>4.7</v>
      </c>
      <c r="K1938" s="3">
        <v>0</v>
      </c>
      <c r="L1938" s="3">
        <v>13.1</v>
      </c>
      <c r="M1938" t="str">
        <f>IF(acs2015_county_data[[#This Row],[PublicWork]]&gt;='Описательные характеристики'!$F$5,"да","нет")</f>
        <v>да</v>
      </c>
      <c r="N1938" t="str">
        <f>IF(acs2015_county_data[[#This Row],[Unemployment]]&gt;='Описательные характеристики'!$I$5,"да","нет")</f>
        <v>да</v>
      </c>
    </row>
    <row r="1939" spans="1:14" x14ac:dyDescent="0.35">
      <c r="A1939">
        <v>37095</v>
      </c>
      <c r="B1939" t="s">
        <v>1218</v>
      </c>
      <c r="C1939" t="s">
        <v>1252</v>
      </c>
      <c r="D1939" s="2">
        <v>5693</v>
      </c>
      <c r="E1939" s="2">
        <v>19333</v>
      </c>
      <c r="F1939" s="3">
        <v>5.6</v>
      </c>
      <c r="G1939" s="3">
        <v>2326</v>
      </c>
      <c r="H1939" s="3">
        <v>55</v>
      </c>
      <c r="I1939" s="3">
        <v>27</v>
      </c>
      <c r="J1939" s="3">
        <v>18.100000000000001</v>
      </c>
      <c r="K1939" s="3">
        <v>0</v>
      </c>
      <c r="L1939" s="3">
        <v>12.7</v>
      </c>
      <c r="M1939" t="str">
        <f>IF(acs2015_county_data[[#This Row],[PublicWork]]&gt;='Описательные характеристики'!$F$5,"да","нет")</f>
        <v>да</v>
      </c>
      <c r="N1939" t="str">
        <f>IF(acs2015_county_data[[#This Row],[Unemployment]]&gt;='Описательные характеристики'!$I$5,"да","нет")</f>
        <v>да</v>
      </c>
    </row>
    <row r="1940" spans="1:14" x14ac:dyDescent="0.35">
      <c r="A1940">
        <v>37097</v>
      </c>
      <c r="B1940" t="s">
        <v>1218</v>
      </c>
      <c r="C1940" t="s">
        <v>1253</v>
      </c>
      <c r="D1940" s="2">
        <v>165066</v>
      </c>
      <c r="E1940" s="2">
        <v>27558</v>
      </c>
      <c r="F1940" s="3">
        <v>4.3</v>
      </c>
      <c r="G1940" s="3">
        <v>76079</v>
      </c>
      <c r="H1940" s="3">
        <v>84.4</v>
      </c>
      <c r="I1940" s="3">
        <v>10.4</v>
      </c>
      <c r="J1940" s="3">
        <v>5</v>
      </c>
      <c r="K1940" s="3">
        <v>0.2</v>
      </c>
      <c r="L1940" s="3">
        <v>9.8000000000000007</v>
      </c>
      <c r="M1940" t="str">
        <f>IF(acs2015_county_data[[#This Row],[PublicWork]]&gt;='Описательные характеристики'!$F$5,"да","нет")</f>
        <v>нет</v>
      </c>
      <c r="N1940" t="str">
        <f>IF(acs2015_county_data[[#This Row],[Unemployment]]&gt;='Описательные характеристики'!$I$5,"да","нет")</f>
        <v>да</v>
      </c>
    </row>
    <row r="1941" spans="1:14" x14ac:dyDescent="0.35">
      <c r="A1941">
        <v>37099</v>
      </c>
      <c r="B1941" t="s">
        <v>1218</v>
      </c>
      <c r="C1941" t="s">
        <v>49</v>
      </c>
      <c r="D1941" s="2">
        <v>40812</v>
      </c>
      <c r="E1941" s="2">
        <v>21517</v>
      </c>
      <c r="F1941" s="3">
        <v>3.4</v>
      </c>
      <c r="G1941" s="3">
        <v>17567</v>
      </c>
      <c r="H1941" s="3">
        <v>67.400000000000006</v>
      </c>
      <c r="I1941" s="3">
        <v>24.6</v>
      </c>
      <c r="J1941" s="3">
        <v>7.9</v>
      </c>
      <c r="K1941" s="3">
        <v>0.1</v>
      </c>
      <c r="L1941" s="3">
        <v>6.2</v>
      </c>
      <c r="M1941" t="str">
        <f>IF(acs2015_county_data[[#This Row],[PublicWork]]&gt;='Описательные характеристики'!$F$5,"да","нет")</f>
        <v>да</v>
      </c>
      <c r="N1941" t="str">
        <f>IF(acs2015_county_data[[#This Row],[Unemployment]]&gt;='Описательные характеристики'!$I$5,"да","нет")</f>
        <v>нет</v>
      </c>
    </row>
    <row r="1942" spans="1:14" x14ac:dyDescent="0.35">
      <c r="A1942">
        <v>37101</v>
      </c>
      <c r="B1942" t="s">
        <v>1218</v>
      </c>
      <c r="C1942" t="s">
        <v>1254</v>
      </c>
      <c r="D1942" s="2">
        <v>178396</v>
      </c>
      <c r="E1942" s="2">
        <v>22858</v>
      </c>
      <c r="F1942" s="3">
        <v>5.2</v>
      </c>
      <c r="G1942" s="3">
        <v>80656</v>
      </c>
      <c r="H1942" s="3">
        <v>77.5</v>
      </c>
      <c r="I1942" s="3">
        <v>17.399999999999999</v>
      </c>
      <c r="J1942" s="3">
        <v>5</v>
      </c>
      <c r="K1942" s="3">
        <v>0.1</v>
      </c>
      <c r="L1942" s="3">
        <v>8.9</v>
      </c>
      <c r="M1942" t="str">
        <f>IF(acs2015_county_data[[#This Row],[PublicWork]]&gt;='Описательные характеристики'!$F$5,"да","нет")</f>
        <v>да</v>
      </c>
      <c r="N1942" t="str">
        <f>IF(acs2015_county_data[[#This Row],[Unemployment]]&gt;='Описательные характеристики'!$I$5,"да","нет")</f>
        <v>да</v>
      </c>
    </row>
    <row r="1943" spans="1:14" x14ac:dyDescent="0.35">
      <c r="A1943">
        <v>37103</v>
      </c>
      <c r="B1943" t="s">
        <v>1218</v>
      </c>
      <c r="C1943" t="s">
        <v>415</v>
      </c>
      <c r="D1943" s="2">
        <v>10166</v>
      </c>
      <c r="E1943" s="2">
        <v>20630</v>
      </c>
      <c r="F1943" s="3">
        <v>5.4</v>
      </c>
      <c r="G1943" s="3">
        <v>4029</v>
      </c>
      <c r="H1943" s="3">
        <v>71</v>
      </c>
      <c r="I1943" s="3">
        <v>19.7</v>
      </c>
      <c r="J1943" s="3">
        <v>8.5</v>
      </c>
      <c r="K1943" s="3">
        <v>0.8</v>
      </c>
      <c r="L1943" s="3">
        <v>11.6</v>
      </c>
      <c r="M1943" t="str">
        <f>IF(acs2015_county_data[[#This Row],[PublicWork]]&gt;='Описательные характеристики'!$F$5,"да","нет")</f>
        <v>да</v>
      </c>
      <c r="N1943" t="str">
        <f>IF(acs2015_county_data[[#This Row],[Unemployment]]&gt;='Описательные характеристики'!$I$5,"да","нет")</f>
        <v>да</v>
      </c>
    </row>
    <row r="1944" spans="1:14" x14ac:dyDescent="0.35">
      <c r="A1944">
        <v>37105</v>
      </c>
      <c r="B1944" t="s">
        <v>1218</v>
      </c>
      <c r="C1944" t="s">
        <v>53</v>
      </c>
      <c r="D1944" s="2">
        <v>59418</v>
      </c>
      <c r="E1944" s="2">
        <v>21743</v>
      </c>
      <c r="F1944" s="3">
        <v>2.9</v>
      </c>
      <c r="G1944" s="3">
        <v>25418</v>
      </c>
      <c r="H1944" s="3">
        <v>81</v>
      </c>
      <c r="I1944" s="3">
        <v>15.1</v>
      </c>
      <c r="J1944" s="3">
        <v>3.7</v>
      </c>
      <c r="K1944" s="3">
        <v>0.3</v>
      </c>
      <c r="L1944" s="3">
        <v>10.3</v>
      </c>
      <c r="M1944" t="str">
        <f>IF(acs2015_county_data[[#This Row],[PublicWork]]&gt;='Описательные характеристики'!$F$5,"да","нет")</f>
        <v>нет</v>
      </c>
      <c r="N1944" t="str">
        <f>IF(acs2015_county_data[[#This Row],[Unemployment]]&gt;='Описательные характеристики'!$I$5,"да","нет")</f>
        <v>да</v>
      </c>
    </row>
    <row r="1945" spans="1:14" x14ac:dyDescent="0.35">
      <c r="A1945">
        <v>37107</v>
      </c>
      <c r="B1945" t="s">
        <v>1218</v>
      </c>
      <c r="C1945" t="s">
        <v>1255</v>
      </c>
      <c r="D1945" s="2">
        <v>58782</v>
      </c>
      <c r="E1945" s="2">
        <v>20191</v>
      </c>
      <c r="F1945" s="3">
        <v>1.9</v>
      </c>
      <c r="G1945" s="3">
        <v>23972</v>
      </c>
      <c r="H1945" s="3">
        <v>72.900000000000006</v>
      </c>
      <c r="I1945" s="3">
        <v>20.2</v>
      </c>
      <c r="J1945" s="3">
        <v>6.7</v>
      </c>
      <c r="K1945" s="3">
        <v>0.3</v>
      </c>
      <c r="L1945" s="3">
        <v>13.1</v>
      </c>
      <c r="M1945" t="str">
        <f>IF(acs2015_county_data[[#This Row],[PublicWork]]&gt;='Описательные характеристики'!$F$5,"да","нет")</f>
        <v>да</v>
      </c>
      <c r="N1945" t="str">
        <f>IF(acs2015_county_data[[#This Row],[Unemployment]]&gt;='Описательные характеристики'!$I$5,"да","нет")</f>
        <v>да</v>
      </c>
    </row>
    <row r="1946" spans="1:14" x14ac:dyDescent="0.35">
      <c r="A1946">
        <v>37109</v>
      </c>
      <c r="B1946" t="s">
        <v>1218</v>
      </c>
      <c r="C1946" t="s">
        <v>152</v>
      </c>
      <c r="D1946" s="2">
        <v>79578</v>
      </c>
      <c r="E1946" s="2">
        <v>26439</v>
      </c>
      <c r="F1946" s="3">
        <v>4.5</v>
      </c>
      <c r="G1946" s="3">
        <v>36605</v>
      </c>
      <c r="H1946" s="3">
        <v>83</v>
      </c>
      <c r="I1946" s="3">
        <v>11.1</v>
      </c>
      <c r="J1946" s="3">
        <v>5.8</v>
      </c>
      <c r="K1946" s="3">
        <v>0.1</v>
      </c>
      <c r="L1946" s="3">
        <v>10.199999999999999</v>
      </c>
      <c r="M1946" t="str">
        <f>IF(acs2015_county_data[[#This Row],[PublicWork]]&gt;='Описательные характеристики'!$F$5,"да","нет")</f>
        <v>нет</v>
      </c>
      <c r="N1946" t="str">
        <f>IF(acs2015_county_data[[#This Row],[Unemployment]]&gt;='Описательные характеристики'!$I$5,"да","нет")</f>
        <v>да</v>
      </c>
    </row>
    <row r="1947" spans="1:14" x14ac:dyDescent="0.35">
      <c r="A1947">
        <v>37111</v>
      </c>
      <c r="B1947" t="s">
        <v>1218</v>
      </c>
      <c r="C1947" t="s">
        <v>1256</v>
      </c>
      <c r="D1947" s="2">
        <v>44961</v>
      </c>
      <c r="E1947" s="2">
        <v>18717</v>
      </c>
      <c r="F1947" s="3">
        <v>3.3</v>
      </c>
      <c r="G1947" s="3">
        <v>17404</v>
      </c>
      <c r="H1947" s="3">
        <v>78</v>
      </c>
      <c r="I1947" s="3">
        <v>16.899999999999999</v>
      </c>
      <c r="J1947" s="3">
        <v>5.0999999999999996</v>
      </c>
      <c r="K1947" s="3">
        <v>0</v>
      </c>
      <c r="L1947" s="3">
        <v>11.1</v>
      </c>
      <c r="M1947" t="str">
        <f>IF(acs2015_county_data[[#This Row],[PublicWork]]&gt;='Описательные характеристики'!$F$5,"да","нет")</f>
        <v>да</v>
      </c>
      <c r="N1947" t="str">
        <f>IF(acs2015_county_data[[#This Row],[Unemployment]]&gt;='Описательные характеристики'!$I$5,"да","нет")</f>
        <v>да</v>
      </c>
    </row>
    <row r="1948" spans="1:14" x14ac:dyDescent="0.35">
      <c r="A1948">
        <v>37113</v>
      </c>
      <c r="B1948" t="s">
        <v>1218</v>
      </c>
      <c r="C1948" t="s">
        <v>56</v>
      </c>
      <c r="D1948" s="2">
        <v>33919</v>
      </c>
      <c r="E1948" s="2">
        <v>24060</v>
      </c>
      <c r="F1948" s="3">
        <v>3.7</v>
      </c>
      <c r="G1948" s="3">
        <v>13351</v>
      </c>
      <c r="H1948" s="3">
        <v>74.400000000000006</v>
      </c>
      <c r="I1948" s="3">
        <v>14.2</v>
      </c>
      <c r="J1948" s="3">
        <v>10.6</v>
      </c>
      <c r="K1948" s="3">
        <v>0.8</v>
      </c>
      <c r="L1948" s="3">
        <v>7.3</v>
      </c>
      <c r="M1948" t="str">
        <f>IF(acs2015_county_data[[#This Row],[PublicWork]]&gt;='Описательные характеристики'!$F$5,"да","нет")</f>
        <v>нет</v>
      </c>
      <c r="N1948" t="str">
        <f>IF(acs2015_county_data[[#This Row],[Unemployment]]&gt;='Описательные характеристики'!$I$5,"да","нет")</f>
        <v>нет</v>
      </c>
    </row>
    <row r="1949" spans="1:14" x14ac:dyDescent="0.35">
      <c r="A1949">
        <v>37115</v>
      </c>
      <c r="B1949" t="s">
        <v>1218</v>
      </c>
      <c r="C1949" t="s">
        <v>57</v>
      </c>
      <c r="D1949" s="2">
        <v>21027</v>
      </c>
      <c r="E1949" s="2">
        <v>21076</v>
      </c>
      <c r="F1949" s="3">
        <v>7.1</v>
      </c>
      <c r="G1949" s="3">
        <v>8935</v>
      </c>
      <c r="H1949" s="3">
        <v>75.400000000000006</v>
      </c>
      <c r="I1949" s="3">
        <v>14.8</v>
      </c>
      <c r="J1949" s="3">
        <v>9.8000000000000007</v>
      </c>
      <c r="K1949" s="3">
        <v>0.1</v>
      </c>
      <c r="L1949" s="3">
        <v>7.3</v>
      </c>
      <c r="M1949" t="str">
        <f>IF(acs2015_county_data[[#This Row],[PublicWork]]&gt;='Описательные характеристики'!$F$5,"да","нет")</f>
        <v>нет</v>
      </c>
      <c r="N1949" t="str">
        <f>IF(acs2015_county_data[[#This Row],[Unemployment]]&gt;='Описательные характеристики'!$I$5,"да","нет")</f>
        <v>нет</v>
      </c>
    </row>
    <row r="1950" spans="1:14" x14ac:dyDescent="0.35">
      <c r="A1950">
        <v>37117</v>
      </c>
      <c r="B1950" t="s">
        <v>1218</v>
      </c>
      <c r="C1950" t="s">
        <v>334</v>
      </c>
      <c r="D1950" s="2">
        <v>23729</v>
      </c>
      <c r="E1950" s="2">
        <v>19032</v>
      </c>
      <c r="F1950" s="3">
        <v>2.2000000000000002</v>
      </c>
      <c r="G1950" s="3">
        <v>9079</v>
      </c>
      <c r="H1950" s="3">
        <v>78.400000000000006</v>
      </c>
      <c r="I1950" s="3">
        <v>15.8</v>
      </c>
      <c r="J1950" s="3">
        <v>5.7</v>
      </c>
      <c r="K1950" s="3">
        <v>0.2</v>
      </c>
      <c r="L1950" s="3">
        <v>14.7</v>
      </c>
      <c r="M1950" t="str">
        <f>IF(acs2015_county_data[[#This Row],[PublicWork]]&gt;='Описательные характеристики'!$F$5,"да","нет")</f>
        <v>нет</v>
      </c>
      <c r="N1950" t="str">
        <f>IF(acs2015_county_data[[#This Row],[Unemployment]]&gt;='Описательные характеристики'!$I$5,"да","нет")</f>
        <v>да</v>
      </c>
    </row>
    <row r="1951" spans="1:14" x14ac:dyDescent="0.35">
      <c r="A1951">
        <v>37119</v>
      </c>
      <c r="B1951" t="s">
        <v>1218</v>
      </c>
      <c r="C1951" t="s">
        <v>1257</v>
      </c>
      <c r="D1951" s="2">
        <v>990288</v>
      </c>
      <c r="E1951" s="2">
        <v>33169</v>
      </c>
      <c r="F1951" s="3">
        <v>6.1</v>
      </c>
      <c r="G1951" s="3">
        <v>502455</v>
      </c>
      <c r="H1951" s="3">
        <v>86</v>
      </c>
      <c r="I1951" s="3">
        <v>9.1</v>
      </c>
      <c r="J1951" s="3">
        <v>4.8</v>
      </c>
      <c r="K1951" s="3">
        <v>0.1</v>
      </c>
      <c r="L1951" s="3">
        <v>8.9</v>
      </c>
      <c r="M1951" t="str">
        <f>IF(acs2015_county_data[[#This Row],[PublicWork]]&gt;='Описательные характеристики'!$F$5,"да","нет")</f>
        <v>нет</v>
      </c>
      <c r="N1951" t="str">
        <f>IF(acs2015_county_data[[#This Row],[Unemployment]]&gt;='Описательные характеристики'!$I$5,"да","нет")</f>
        <v>да</v>
      </c>
    </row>
    <row r="1952" spans="1:14" x14ac:dyDescent="0.35">
      <c r="A1952">
        <v>37121</v>
      </c>
      <c r="B1952" t="s">
        <v>1218</v>
      </c>
      <c r="C1952" t="s">
        <v>423</v>
      </c>
      <c r="D1952" s="2">
        <v>15330</v>
      </c>
      <c r="E1952" s="2">
        <v>21429</v>
      </c>
      <c r="F1952" s="3">
        <v>2.2000000000000002</v>
      </c>
      <c r="G1952" s="3">
        <v>6014</v>
      </c>
      <c r="H1952" s="3">
        <v>73.400000000000006</v>
      </c>
      <c r="I1952" s="3">
        <v>19.399999999999999</v>
      </c>
      <c r="J1952" s="3">
        <v>7.1</v>
      </c>
      <c r="K1952" s="3">
        <v>0.1</v>
      </c>
      <c r="L1952" s="3">
        <v>8.6</v>
      </c>
      <c r="M1952" t="str">
        <f>IF(acs2015_county_data[[#This Row],[PublicWork]]&gt;='Описательные характеристики'!$F$5,"да","нет")</f>
        <v>да</v>
      </c>
      <c r="N1952" t="str">
        <f>IF(acs2015_county_data[[#This Row],[Unemployment]]&gt;='Описательные характеристики'!$I$5,"да","нет")</f>
        <v>да</v>
      </c>
    </row>
    <row r="1953" spans="1:14" x14ac:dyDescent="0.35">
      <c r="A1953">
        <v>37123</v>
      </c>
      <c r="B1953" t="s">
        <v>1218</v>
      </c>
      <c r="C1953" t="s">
        <v>158</v>
      </c>
      <c r="D1953" s="2">
        <v>27601</v>
      </c>
      <c r="E1953" s="2">
        <v>19331</v>
      </c>
      <c r="F1953" s="3">
        <v>2.4</v>
      </c>
      <c r="G1953" s="3">
        <v>10397</v>
      </c>
      <c r="H1953" s="3">
        <v>76.400000000000006</v>
      </c>
      <c r="I1953" s="3">
        <v>17</v>
      </c>
      <c r="J1953" s="3">
        <v>6.1</v>
      </c>
      <c r="K1953" s="3">
        <v>0.5</v>
      </c>
      <c r="L1953" s="3">
        <v>10.5</v>
      </c>
      <c r="M1953" t="str">
        <f>IF(acs2015_county_data[[#This Row],[PublicWork]]&gt;='Описательные характеристики'!$F$5,"да","нет")</f>
        <v>да</v>
      </c>
      <c r="N1953" t="str">
        <f>IF(acs2015_county_data[[#This Row],[Unemployment]]&gt;='Описательные характеристики'!$I$5,"да","нет")</f>
        <v>да</v>
      </c>
    </row>
    <row r="1954" spans="1:14" x14ac:dyDescent="0.35">
      <c r="A1954">
        <v>37125</v>
      </c>
      <c r="B1954" t="s">
        <v>1218</v>
      </c>
      <c r="C1954" t="s">
        <v>1258</v>
      </c>
      <c r="D1954" s="2">
        <v>91743</v>
      </c>
      <c r="E1954" s="2">
        <v>29643</v>
      </c>
      <c r="F1954" s="3">
        <v>4.0999999999999996</v>
      </c>
      <c r="G1954" s="3">
        <v>36422</v>
      </c>
      <c r="H1954" s="3">
        <v>74.900000000000006</v>
      </c>
      <c r="I1954" s="3">
        <v>16</v>
      </c>
      <c r="J1954" s="3">
        <v>9</v>
      </c>
      <c r="K1954" s="3">
        <v>0.1</v>
      </c>
      <c r="L1954" s="3">
        <v>8</v>
      </c>
      <c r="M1954" t="str">
        <f>IF(acs2015_county_data[[#This Row],[PublicWork]]&gt;='Описательные характеристики'!$F$5,"да","нет")</f>
        <v>нет</v>
      </c>
      <c r="N1954" t="str">
        <f>IF(acs2015_county_data[[#This Row],[Unemployment]]&gt;='Описательные характеристики'!$I$5,"да","нет")</f>
        <v>да</v>
      </c>
    </row>
    <row r="1955" spans="1:14" x14ac:dyDescent="0.35">
      <c r="A1955">
        <v>37127</v>
      </c>
      <c r="B1955" t="s">
        <v>1218</v>
      </c>
      <c r="C1955" t="s">
        <v>1259</v>
      </c>
      <c r="D1955" s="2">
        <v>94722</v>
      </c>
      <c r="E1955" s="2">
        <v>23082</v>
      </c>
      <c r="F1955" s="3">
        <v>2.9</v>
      </c>
      <c r="G1955" s="3">
        <v>40735</v>
      </c>
      <c r="H1955" s="3">
        <v>79.5</v>
      </c>
      <c r="I1955" s="3">
        <v>14.8</v>
      </c>
      <c r="J1955" s="3">
        <v>5.6</v>
      </c>
      <c r="K1955" s="3">
        <v>0.1</v>
      </c>
      <c r="L1955" s="3">
        <v>11.9</v>
      </c>
      <c r="M1955" t="str">
        <f>IF(acs2015_county_data[[#This Row],[PublicWork]]&gt;='Описательные характеристики'!$F$5,"да","нет")</f>
        <v>нет</v>
      </c>
      <c r="N1955" t="str">
        <f>IF(acs2015_county_data[[#This Row],[Unemployment]]&gt;='Описательные характеристики'!$I$5,"да","нет")</f>
        <v>да</v>
      </c>
    </row>
    <row r="1956" spans="1:14" x14ac:dyDescent="0.35">
      <c r="A1956">
        <v>37129</v>
      </c>
      <c r="B1956" t="s">
        <v>1218</v>
      </c>
      <c r="C1956" t="s">
        <v>1260</v>
      </c>
      <c r="D1956" s="2">
        <v>213091</v>
      </c>
      <c r="E1956" s="2">
        <v>29880</v>
      </c>
      <c r="F1956" s="3">
        <v>6.8</v>
      </c>
      <c r="G1956" s="3">
        <v>103718</v>
      </c>
      <c r="H1956" s="3">
        <v>79.400000000000006</v>
      </c>
      <c r="I1956" s="3">
        <v>12.6</v>
      </c>
      <c r="J1956" s="3">
        <v>7.8</v>
      </c>
      <c r="K1956" s="3">
        <v>0.2</v>
      </c>
      <c r="L1956" s="3">
        <v>8.9</v>
      </c>
      <c r="M1956" t="str">
        <f>IF(acs2015_county_data[[#This Row],[PublicWork]]&gt;='Описательные характеристики'!$F$5,"да","нет")</f>
        <v>нет</v>
      </c>
      <c r="N1956" t="str">
        <f>IF(acs2015_county_data[[#This Row],[Unemployment]]&gt;='Описательные характеристики'!$I$5,"да","нет")</f>
        <v>да</v>
      </c>
    </row>
    <row r="1957" spans="1:14" x14ac:dyDescent="0.35">
      <c r="A1957">
        <v>37131</v>
      </c>
      <c r="B1957" t="s">
        <v>1218</v>
      </c>
      <c r="C1957" t="s">
        <v>1261</v>
      </c>
      <c r="D1957" s="2">
        <v>21011</v>
      </c>
      <c r="E1957" s="2">
        <v>18180</v>
      </c>
      <c r="F1957" s="3">
        <v>2.2999999999999998</v>
      </c>
      <c r="G1957" s="3">
        <v>7193</v>
      </c>
      <c r="H1957" s="3">
        <v>72.099999999999994</v>
      </c>
      <c r="I1957" s="3">
        <v>22.9</v>
      </c>
      <c r="J1957" s="3">
        <v>4.5999999999999996</v>
      </c>
      <c r="K1957" s="3">
        <v>0.4</v>
      </c>
      <c r="L1957" s="3">
        <v>15.9</v>
      </c>
      <c r="M1957" t="str">
        <f>IF(acs2015_county_data[[#This Row],[PublicWork]]&gt;='Описательные характеристики'!$F$5,"да","нет")</f>
        <v>да</v>
      </c>
      <c r="N1957" t="str">
        <f>IF(acs2015_county_data[[#This Row],[Unemployment]]&gt;='Описательные характеристики'!$I$5,"да","нет")</f>
        <v>да</v>
      </c>
    </row>
    <row r="1958" spans="1:14" x14ac:dyDescent="0.35">
      <c r="A1958">
        <v>37133</v>
      </c>
      <c r="B1958" t="s">
        <v>1218</v>
      </c>
      <c r="C1958" t="s">
        <v>1262</v>
      </c>
      <c r="D1958" s="2">
        <v>183753</v>
      </c>
      <c r="E1958" s="2">
        <v>21862</v>
      </c>
      <c r="F1958" s="3">
        <v>6</v>
      </c>
      <c r="G1958" s="3">
        <v>61252</v>
      </c>
      <c r="H1958" s="3">
        <v>66.3</v>
      </c>
      <c r="I1958" s="3">
        <v>27.7</v>
      </c>
      <c r="J1958" s="3">
        <v>5.9</v>
      </c>
      <c r="K1958" s="3">
        <v>0.1</v>
      </c>
      <c r="L1958" s="3">
        <v>11.6</v>
      </c>
      <c r="M1958" t="str">
        <f>IF(acs2015_county_data[[#This Row],[PublicWork]]&gt;='Описательные характеристики'!$F$5,"да","нет")</f>
        <v>да</v>
      </c>
      <c r="N1958" t="str">
        <f>IF(acs2015_county_data[[#This Row],[Unemployment]]&gt;='Описательные характеристики'!$I$5,"да","нет")</f>
        <v>да</v>
      </c>
    </row>
    <row r="1959" spans="1:14" x14ac:dyDescent="0.35">
      <c r="A1959">
        <v>37135</v>
      </c>
      <c r="B1959" t="s">
        <v>1218</v>
      </c>
      <c r="C1959" t="s">
        <v>208</v>
      </c>
      <c r="D1959" s="2">
        <v>138644</v>
      </c>
      <c r="E1959" s="2">
        <v>36380</v>
      </c>
      <c r="F1959" s="3">
        <v>7.6</v>
      </c>
      <c r="G1959" s="3">
        <v>70264</v>
      </c>
      <c r="H1959" s="3">
        <v>67.7</v>
      </c>
      <c r="I1959" s="3">
        <v>25.5</v>
      </c>
      <c r="J1959" s="3">
        <v>6.6</v>
      </c>
      <c r="K1959" s="3">
        <v>0.2</v>
      </c>
      <c r="L1959" s="3">
        <v>6.4</v>
      </c>
      <c r="M1959" t="str">
        <f>IF(acs2015_county_data[[#This Row],[PublicWork]]&gt;='Описательные характеристики'!$F$5,"да","нет")</f>
        <v>да</v>
      </c>
      <c r="N1959" t="str">
        <f>IF(acs2015_county_data[[#This Row],[Unemployment]]&gt;='Описательные характеристики'!$I$5,"да","нет")</f>
        <v>нет</v>
      </c>
    </row>
    <row r="1960" spans="1:14" x14ac:dyDescent="0.35">
      <c r="A1960">
        <v>37137</v>
      </c>
      <c r="B1960" t="s">
        <v>1218</v>
      </c>
      <c r="C1960" t="s">
        <v>1263</v>
      </c>
      <c r="D1960" s="2">
        <v>12982</v>
      </c>
      <c r="E1960" s="2">
        <v>24176</v>
      </c>
      <c r="F1960" s="3">
        <v>5.3</v>
      </c>
      <c r="G1960" s="3">
        <v>5107</v>
      </c>
      <c r="H1960" s="3">
        <v>73.7</v>
      </c>
      <c r="I1960" s="3">
        <v>18.7</v>
      </c>
      <c r="J1960" s="3">
        <v>6.7</v>
      </c>
      <c r="K1960" s="3">
        <v>0.9</v>
      </c>
      <c r="L1960" s="3">
        <v>9.6999999999999993</v>
      </c>
      <c r="M1960" t="str">
        <f>IF(acs2015_county_data[[#This Row],[PublicWork]]&gt;='Описательные характеристики'!$F$5,"да","нет")</f>
        <v>да</v>
      </c>
      <c r="N1960" t="str">
        <f>IF(acs2015_county_data[[#This Row],[Unemployment]]&gt;='Описательные характеристики'!$I$5,"да","нет")</f>
        <v>да</v>
      </c>
    </row>
    <row r="1961" spans="1:14" x14ac:dyDescent="0.35">
      <c r="A1961">
        <v>37139</v>
      </c>
      <c r="B1961" t="s">
        <v>1218</v>
      </c>
      <c r="C1961" t="s">
        <v>1264</v>
      </c>
      <c r="D1961" s="2">
        <v>40018</v>
      </c>
      <c r="E1961" s="2">
        <v>22187</v>
      </c>
      <c r="F1961" s="3">
        <v>2.5</v>
      </c>
      <c r="G1961" s="3">
        <v>17073</v>
      </c>
      <c r="H1961" s="3">
        <v>70.8</v>
      </c>
      <c r="I1961" s="3">
        <v>24.5</v>
      </c>
      <c r="J1961" s="3">
        <v>4.5999999999999996</v>
      </c>
      <c r="K1961" s="3">
        <v>0.1</v>
      </c>
      <c r="L1961" s="3">
        <v>10.1</v>
      </c>
      <c r="M1961" t="str">
        <f>IF(acs2015_county_data[[#This Row],[PublicWork]]&gt;='Описательные характеристики'!$F$5,"да","нет")</f>
        <v>да</v>
      </c>
      <c r="N1961" t="str">
        <f>IF(acs2015_county_data[[#This Row],[Unemployment]]&gt;='Описательные характеристики'!$I$5,"да","нет")</f>
        <v>да</v>
      </c>
    </row>
    <row r="1962" spans="1:14" x14ac:dyDescent="0.35">
      <c r="A1962">
        <v>37141</v>
      </c>
      <c r="B1962" t="s">
        <v>1218</v>
      </c>
      <c r="C1962" t="s">
        <v>1265</v>
      </c>
      <c r="D1962" s="2">
        <v>55166</v>
      </c>
      <c r="E1962" s="2">
        <v>23561</v>
      </c>
      <c r="F1962" s="3">
        <v>4.3</v>
      </c>
      <c r="G1962" s="3">
        <v>23242</v>
      </c>
      <c r="H1962" s="3">
        <v>76.7</v>
      </c>
      <c r="I1962" s="3">
        <v>14.9</v>
      </c>
      <c r="J1962" s="3">
        <v>8.1999999999999993</v>
      </c>
      <c r="K1962" s="3">
        <v>0.2</v>
      </c>
      <c r="L1962" s="3">
        <v>9.8000000000000007</v>
      </c>
      <c r="M1962" t="str">
        <f>IF(acs2015_county_data[[#This Row],[PublicWork]]&gt;='Описательные характеристики'!$F$5,"да","нет")</f>
        <v>нет</v>
      </c>
      <c r="N1962" t="str">
        <f>IF(acs2015_county_data[[#This Row],[Unemployment]]&gt;='Описательные характеристики'!$I$5,"да","нет")</f>
        <v>да</v>
      </c>
    </row>
    <row r="1963" spans="1:14" x14ac:dyDescent="0.35">
      <c r="A1963">
        <v>37143</v>
      </c>
      <c r="B1963" t="s">
        <v>1218</v>
      </c>
      <c r="C1963" t="s">
        <v>1266</v>
      </c>
      <c r="D1963" s="2">
        <v>13498</v>
      </c>
      <c r="E1963" s="2">
        <v>23006</v>
      </c>
      <c r="F1963" s="3">
        <v>7.3</v>
      </c>
      <c r="G1963" s="3">
        <v>4852</v>
      </c>
      <c r="H1963" s="3">
        <v>65.099999999999994</v>
      </c>
      <c r="I1963" s="3">
        <v>23.6</v>
      </c>
      <c r="J1963" s="3">
        <v>10.7</v>
      </c>
      <c r="K1963" s="3">
        <v>0.7</v>
      </c>
      <c r="L1963" s="3">
        <v>12.7</v>
      </c>
      <c r="M1963" t="str">
        <f>IF(acs2015_county_data[[#This Row],[PublicWork]]&gt;='Описательные характеристики'!$F$5,"да","нет")</f>
        <v>да</v>
      </c>
      <c r="N1963" t="str">
        <f>IF(acs2015_county_data[[#This Row],[Unemployment]]&gt;='Описательные характеристики'!$I$5,"да","нет")</f>
        <v>да</v>
      </c>
    </row>
    <row r="1964" spans="1:14" x14ac:dyDescent="0.35">
      <c r="A1964">
        <v>37145</v>
      </c>
      <c r="B1964" t="s">
        <v>1218</v>
      </c>
      <c r="C1964" t="s">
        <v>1267</v>
      </c>
      <c r="D1964" s="2">
        <v>39262</v>
      </c>
      <c r="E1964" s="2">
        <v>21148</v>
      </c>
      <c r="F1964" s="3">
        <v>2.5</v>
      </c>
      <c r="G1964" s="3">
        <v>16612</v>
      </c>
      <c r="H1964" s="3">
        <v>79.099999999999994</v>
      </c>
      <c r="I1964" s="3">
        <v>14.4</v>
      </c>
      <c r="J1964" s="3">
        <v>6.4</v>
      </c>
      <c r="K1964" s="3">
        <v>0</v>
      </c>
      <c r="L1964" s="3">
        <v>11.9</v>
      </c>
      <c r="M1964" t="str">
        <f>IF(acs2015_county_data[[#This Row],[PublicWork]]&gt;='Описательные характеристики'!$F$5,"да","нет")</f>
        <v>нет</v>
      </c>
      <c r="N1964" t="str">
        <f>IF(acs2015_county_data[[#This Row],[Unemployment]]&gt;='Описательные характеристики'!$I$5,"да","нет")</f>
        <v>да</v>
      </c>
    </row>
    <row r="1965" spans="1:14" x14ac:dyDescent="0.35">
      <c r="A1965">
        <v>37147</v>
      </c>
      <c r="B1965" t="s">
        <v>1218</v>
      </c>
      <c r="C1965" t="s">
        <v>1268</v>
      </c>
      <c r="D1965" s="2">
        <v>173798</v>
      </c>
      <c r="E1965" s="2">
        <v>23461</v>
      </c>
      <c r="F1965" s="3">
        <v>3</v>
      </c>
      <c r="G1965" s="3">
        <v>80392</v>
      </c>
      <c r="H1965" s="3">
        <v>75.8</v>
      </c>
      <c r="I1965" s="3">
        <v>20</v>
      </c>
      <c r="J1965" s="3">
        <v>4.0999999999999996</v>
      </c>
      <c r="K1965" s="3">
        <v>0.1</v>
      </c>
      <c r="L1965" s="3">
        <v>12.1</v>
      </c>
      <c r="M1965" t="str">
        <f>IF(acs2015_county_data[[#This Row],[PublicWork]]&gt;='Описательные характеристики'!$F$5,"да","нет")</f>
        <v>да</v>
      </c>
      <c r="N1965" t="str">
        <f>IF(acs2015_county_data[[#This Row],[Unemployment]]&gt;='Описательные характеристики'!$I$5,"да","нет")</f>
        <v>да</v>
      </c>
    </row>
    <row r="1966" spans="1:14" x14ac:dyDescent="0.35">
      <c r="A1966">
        <v>37149</v>
      </c>
      <c r="B1966" t="s">
        <v>1218</v>
      </c>
      <c r="C1966" t="s">
        <v>164</v>
      </c>
      <c r="D1966" s="2">
        <v>20327</v>
      </c>
      <c r="E1966" s="2">
        <v>27164</v>
      </c>
      <c r="F1966" s="3">
        <v>6.2</v>
      </c>
      <c r="G1966" s="3">
        <v>8270</v>
      </c>
      <c r="H1966" s="3">
        <v>76.8</v>
      </c>
      <c r="I1966" s="3">
        <v>12.6</v>
      </c>
      <c r="J1966" s="3">
        <v>10.5</v>
      </c>
      <c r="K1966" s="3">
        <v>0.1</v>
      </c>
      <c r="L1966" s="3">
        <v>8.8000000000000007</v>
      </c>
      <c r="M1966" t="str">
        <f>IF(acs2015_county_data[[#This Row],[PublicWork]]&gt;='Описательные характеристики'!$F$5,"да","нет")</f>
        <v>нет</v>
      </c>
      <c r="N1966" t="str">
        <f>IF(acs2015_county_data[[#This Row],[Unemployment]]&gt;='Описательные характеристики'!$I$5,"да","нет")</f>
        <v>да</v>
      </c>
    </row>
    <row r="1967" spans="1:14" x14ac:dyDescent="0.35">
      <c r="A1967">
        <v>37151</v>
      </c>
      <c r="B1967" t="s">
        <v>1218</v>
      </c>
      <c r="C1967" t="s">
        <v>67</v>
      </c>
      <c r="D1967" s="2">
        <v>142370</v>
      </c>
      <c r="E1967" s="2">
        <v>21175</v>
      </c>
      <c r="F1967" s="3">
        <v>2.1</v>
      </c>
      <c r="G1967" s="3">
        <v>63160</v>
      </c>
      <c r="H1967" s="3">
        <v>81.099999999999994</v>
      </c>
      <c r="I1967" s="3">
        <v>12.2</v>
      </c>
      <c r="J1967" s="3">
        <v>6.6</v>
      </c>
      <c r="K1967" s="3">
        <v>0.2</v>
      </c>
      <c r="L1967" s="3">
        <v>9</v>
      </c>
      <c r="M1967" t="str">
        <f>IF(acs2015_county_data[[#This Row],[PublicWork]]&gt;='Описательные характеристики'!$F$5,"да","нет")</f>
        <v>нет</v>
      </c>
      <c r="N1967" t="str">
        <f>IF(acs2015_county_data[[#This Row],[Unemployment]]&gt;='Описательные характеристики'!$I$5,"да","нет")</f>
        <v>да</v>
      </c>
    </row>
    <row r="1968" spans="1:14" x14ac:dyDescent="0.35">
      <c r="A1968">
        <v>37153</v>
      </c>
      <c r="B1968" t="s">
        <v>1218</v>
      </c>
      <c r="C1968" t="s">
        <v>433</v>
      </c>
      <c r="D1968" s="2">
        <v>46046</v>
      </c>
      <c r="E1968" s="2">
        <v>18059</v>
      </c>
      <c r="F1968" s="3">
        <v>1.9</v>
      </c>
      <c r="G1968" s="3">
        <v>16848</v>
      </c>
      <c r="H1968" s="3">
        <v>77.5</v>
      </c>
      <c r="I1968" s="3">
        <v>17.100000000000001</v>
      </c>
      <c r="J1968" s="3">
        <v>5.4</v>
      </c>
      <c r="K1968" s="3">
        <v>0</v>
      </c>
      <c r="L1968" s="3">
        <v>13.8</v>
      </c>
      <c r="M1968" t="str">
        <f>IF(acs2015_county_data[[#This Row],[PublicWork]]&gt;='Описательные характеристики'!$F$5,"да","нет")</f>
        <v>да</v>
      </c>
      <c r="N1968" t="str">
        <f>IF(acs2015_county_data[[#This Row],[Unemployment]]&gt;='Описательные характеристики'!$I$5,"да","нет")</f>
        <v>да</v>
      </c>
    </row>
    <row r="1969" spans="1:14" x14ac:dyDescent="0.35">
      <c r="A1969">
        <v>37155</v>
      </c>
      <c r="B1969" t="s">
        <v>1218</v>
      </c>
      <c r="C1969" t="s">
        <v>1269</v>
      </c>
      <c r="D1969" s="2">
        <v>134871</v>
      </c>
      <c r="E1969" s="2">
        <v>15559</v>
      </c>
      <c r="F1969" s="3">
        <v>1.5</v>
      </c>
      <c r="G1969" s="3">
        <v>47406</v>
      </c>
      <c r="H1969" s="3">
        <v>75.7</v>
      </c>
      <c r="I1969" s="3">
        <v>17.7</v>
      </c>
      <c r="J1969" s="3">
        <v>6.3</v>
      </c>
      <c r="K1969" s="3">
        <v>0.3</v>
      </c>
      <c r="L1969" s="3">
        <v>12.1</v>
      </c>
      <c r="M1969" t="str">
        <f>IF(acs2015_county_data[[#This Row],[PublicWork]]&gt;='Описательные характеристики'!$F$5,"да","нет")</f>
        <v>да</v>
      </c>
      <c r="N1969" t="str">
        <f>IF(acs2015_county_data[[#This Row],[Unemployment]]&gt;='Описательные характеристики'!$I$5,"да","нет")</f>
        <v>да</v>
      </c>
    </row>
    <row r="1970" spans="1:14" x14ac:dyDescent="0.35">
      <c r="A1970">
        <v>37157</v>
      </c>
      <c r="B1970" t="s">
        <v>1218</v>
      </c>
      <c r="C1970" t="s">
        <v>1149</v>
      </c>
      <c r="D1970" s="2">
        <v>92300</v>
      </c>
      <c r="E1970" s="2">
        <v>20726</v>
      </c>
      <c r="F1970" s="3">
        <v>2.9</v>
      </c>
      <c r="G1970" s="3">
        <v>38380</v>
      </c>
      <c r="H1970" s="3">
        <v>80.599999999999994</v>
      </c>
      <c r="I1970" s="3">
        <v>13.3</v>
      </c>
      <c r="J1970" s="3">
        <v>5.9</v>
      </c>
      <c r="K1970" s="3">
        <v>0.2</v>
      </c>
      <c r="L1970" s="3">
        <v>10.5</v>
      </c>
      <c r="M1970" t="str">
        <f>IF(acs2015_county_data[[#This Row],[PublicWork]]&gt;='Описательные характеристики'!$F$5,"да","нет")</f>
        <v>нет</v>
      </c>
      <c r="N1970" t="str">
        <f>IF(acs2015_county_data[[#This Row],[Unemployment]]&gt;='Описательные характеристики'!$I$5,"да","нет")</f>
        <v>да</v>
      </c>
    </row>
    <row r="1971" spans="1:14" x14ac:dyDescent="0.35">
      <c r="A1971">
        <v>37159</v>
      </c>
      <c r="B1971" t="s">
        <v>1218</v>
      </c>
      <c r="C1971" t="s">
        <v>760</v>
      </c>
      <c r="D1971" s="2">
        <v>138361</v>
      </c>
      <c r="E1971" s="2">
        <v>21706</v>
      </c>
      <c r="F1971" s="3">
        <v>3.7</v>
      </c>
      <c r="G1971" s="3">
        <v>56519</v>
      </c>
      <c r="H1971" s="3">
        <v>80.7</v>
      </c>
      <c r="I1971" s="3">
        <v>13.4</v>
      </c>
      <c r="J1971" s="3">
        <v>5.8</v>
      </c>
      <c r="K1971" s="3">
        <v>0.2</v>
      </c>
      <c r="L1971" s="3">
        <v>11.5</v>
      </c>
      <c r="M1971" t="str">
        <f>IF(acs2015_county_data[[#This Row],[PublicWork]]&gt;='Описательные характеристики'!$F$5,"да","нет")</f>
        <v>нет</v>
      </c>
      <c r="N1971" t="str">
        <f>IF(acs2015_county_data[[#This Row],[Unemployment]]&gt;='Описательные характеристики'!$I$5,"да","нет")</f>
        <v>да</v>
      </c>
    </row>
    <row r="1972" spans="1:14" x14ac:dyDescent="0.35">
      <c r="A1972">
        <v>37161</v>
      </c>
      <c r="B1972" t="s">
        <v>1218</v>
      </c>
      <c r="C1972" t="s">
        <v>1270</v>
      </c>
      <c r="D1972" s="2">
        <v>66865</v>
      </c>
      <c r="E1972" s="2">
        <v>19419</v>
      </c>
      <c r="F1972" s="3">
        <v>3.3</v>
      </c>
      <c r="G1972" s="3">
        <v>25033</v>
      </c>
      <c r="H1972" s="3">
        <v>80.400000000000006</v>
      </c>
      <c r="I1972" s="3">
        <v>12.9</v>
      </c>
      <c r="J1972" s="3">
        <v>6.5</v>
      </c>
      <c r="K1972" s="3">
        <v>0.2</v>
      </c>
      <c r="L1972" s="3">
        <v>12.2</v>
      </c>
      <c r="M1972" t="str">
        <f>IF(acs2015_county_data[[#This Row],[PublicWork]]&gt;='Описательные характеристики'!$F$5,"да","нет")</f>
        <v>нет</v>
      </c>
      <c r="N1972" t="str">
        <f>IF(acs2015_county_data[[#This Row],[Unemployment]]&gt;='Описательные характеристики'!$I$5,"да","нет")</f>
        <v>да</v>
      </c>
    </row>
    <row r="1973" spans="1:14" x14ac:dyDescent="0.35">
      <c r="A1973">
        <v>37163</v>
      </c>
      <c r="B1973" t="s">
        <v>1218</v>
      </c>
      <c r="C1973" t="s">
        <v>1271</v>
      </c>
      <c r="D1973" s="2">
        <v>63873</v>
      </c>
      <c r="E1973" s="2">
        <v>19063</v>
      </c>
      <c r="F1973" s="3">
        <v>3</v>
      </c>
      <c r="G1973" s="3">
        <v>26833</v>
      </c>
      <c r="H1973" s="3">
        <v>78.8</v>
      </c>
      <c r="I1973" s="3">
        <v>13.9</v>
      </c>
      <c r="J1973" s="3">
        <v>7</v>
      </c>
      <c r="K1973" s="3">
        <v>0.3</v>
      </c>
      <c r="L1973" s="3">
        <v>10.4</v>
      </c>
      <c r="M1973" t="str">
        <f>IF(acs2015_county_data[[#This Row],[PublicWork]]&gt;='Описательные характеристики'!$F$5,"да","нет")</f>
        <v>нет</v>
      </c>
      <c r="N1973" t="str">
        <f>IF(acs2015_county_data[[#This Row],[Unemployment]]&gt;='Описательные характеристики'!$I$5,"да","нет")</f>
        <v>да</v>
      </c>
    </row>
    <row r="1974" spans="1:14" x14ac:dyDescent="0.35">
      <c r="A1974">
        <v>37165</v>
      </c>
      <c r="B1974" t="s">
        <v>1218</v>
      </c>
      <c r="C1974" t="s">
        <v>1047</v>
      </c>
      <c r="D1974" s="2">
        <v>35932</v>
      </c>
      <c r="E1974" s="2">
        <v>15849</v>
      </c>
      <c r="F1974" s="3">
        <v>3.4</v>
      </c>
      <c r="G1974" s="3">
        <v>11215</v>
      </c>
      <c r="H1974" s="3">
        <v>77.2</v>
      </c>
      <c r="I1974" s="3">
        <v>17.100000000000001</v>
      </c>
      <c r="J1974" s="3">
        <v>5.6</v>
      </c>
      <c r="K1974" s="3">
        <v>0</v>
      </c>
      <c r="L1974" s="3">
        <v>15.5</v>
      </c>
      <c r="M1974" t="str">
        <f>IF(acs2015_county_data[[#This Row],[PublicWork]]&gt;='Описательные характеристики'!$F$5,"да","нет")</f>
        <v>да</v>
      </c>
      <c r="N1974" t="str">
        <f>IF(acs2015_county_data[[#This Row],[Unemployment]]&gt;='Описательные характеристики'!$I$5,"да","нет")</f>
        <v>да</v>
      </c>
    </row>
    <row r="1975" spans="1:14" x14ac:dyDescent="0.35">
      <c r="A1975">
        <v>37167</v>
      </c>
      <c r="B1975" t="s">
        <v>1218</v>
      </c>
      <c r="C1975" t="s">
        <v>1272</v>
      </c>
      <c r="D1975" s="2">
        <v>60586</v>
      </c>
      <c r="E1975" s="2">
        <v>20990</v>
      </c>
      <c r="F1975" s="3">
        <v>2.7</v>
      </c>
      <c r="G1975" s="3">
        <v>26101</v>
      </c>
      <c r="H1975" s="3">
        <v>76.5</v>
      </c>
      <c r="I1975" s="3">
        <v>16.399999999999999</v>
      </c>
      <c r="J1975" s="3">
        <v>6.9</v>
      </c>
      <c r="K1975" s="3">
        <v>0.2</v>
      </c>
      <c r="L1975" s="3">
        <v>12.2</v>
      </c>
      <c r="M1975" t="str">
        <f>IF(acs2015_county_data[[#This Row],[PublicWork]]&gt;='Описательные характеристики'!$F$5,"да","нет")</f>
        <v>да</v>
      </c>
      <c r="N1975" t="str">
        <f>IF(acs2015_county_data[[#This Row],[Unemployment]]&gt;='Описательные характеристики'!$I$5,"да","нет")</f>
        <v>да</v>
      </c>
    </row>
    <row r="1976" spans="1:14" x14ac:dyDescent="0.35">
      <c r="A1976">
        <v>37169</v>
      </c>
      <c r="B1976" t="s">
        <v>1218</v>
      </c>
      <c r="C1976" t="s">
        <v>1273</v>
      </c>
      <c r="D1976" s="2">
        <v>46661</v>
      </c>
      <c r="E1976" s="2">
        <v>20950</v>
      </c>
      <c r="F1976" s="3">
        <v>3.8</v>
      </c>
      <c r="G1976" s="3">
        <v>19972</v>
      </c>
      <c r="H1976" s="3">
        <v>78.5</v>
      </c>
      <c r="I1976" s="3">
        <v>14.3</v>
      </c>
      <c r="J1976" s="3">
        <v>7.2</v>
      </c>
      <c r="K1976" s="3">
        <v>0</v>
      </c>
      <c r="L1976" s="3">
        <v>9.3000000000000007</v>
      </c>
      <c r="M1976" t="str">
        <f>IF(acs2015_county_data[[#This Row],[PublicWork]]&gt;='Описательные характеристики'!$F$5,"да","нет")</f>
        <v>нет</v>
      </c>
      <c r="N1976" t="str">
        <f>IF(acs2015_county_data[[#This Row],[Unemployment]]&gt;='Описательные характеристики'!$I$5,"да","нет")</f>
        <v>да</v>
      </c>
    </row>
    <row r="1977" spans="1:14" x14ac:dyDescent="0.35">
      <c r="A1977">
        <v>37171</v>
      </c>
      <c r="B1977" t="s">
        <v>1218</v>
      </c>
      <c r="C1977" t="s">
        <v>1274</v>
      </c>
      <c r="D1977" s="2">
        <v>73170</v>
      </c>
      <c r="E1977" s="2">
        <v>20330</v>
      </c>
      <c r="F1977" s="3">
        <v>2.8</v>
      </c>
      <c r="G1977" s="3">
        <v>30107</v>
      </c>
      <c r="H1977" s="3">
        <v>79.7</v>
      </c>
      <c r="I1977" s="3">
        <v>13.8</v>
      </c>
      <c r="J1977" s="3">
        <v>6.2</v>
      </c>
      <c r="K1977" s="3">
        <v>0.3</v>
      </c>
      <c r="L1977" s="3">
        <v>6.9</v>
      </c>
      <c r="M1977" t="str">
        <f>IF(acs2015_county_data[[#This Row],[PublicWork]]&gt;='Описательные характеристики'!$F$5,"да","нет")</f>
        <v>нет</v>
      </c>
      <c r="N1977" t="str">
        <f>IF(acs2015_county_data[[#This Row],[Unemployment]]&gt;='Описательные характеристики'!$I$5,"да","нет")</f>
        <v>нет</v>
      </c>
    </row>
    <row r="1978" spans="1:14" x14ac:dyDescent="0.35">
      <c r="A1978">
        <v>37173</v>
      </c>
      <c r="B1978" t="s">
        <v>1218</v>
      </c>
      <c r="C1978" t="s">
        <v>1275</v>
      </c>
      <c r="D1978" s="2">
        <v>14163</v>
      </c>
      <c r="E1978" s="2">
        <v>20409</v>
      </c>
      <c r="F1978" s="3">
        <v>1.6</v>
      </c>
      <c r="G1978" s="3">
        <v>5543</v>
      </c>
      <c r="H1978" s="3">
        <v>68.8</v>
      </c>
      <c r="I1978" s="3">
        <v>24</v>
      </c>
      <c r="J1978" s="3">
        <v>7.1</v>
      </c>
      <c r="K1978" s="3">
        <v>0</v>
      </c>
      <c r="L1978" s="3">
        <v>7.7</v>
      </c>
      <c r="M1978" t="str">
        <f>IF(acs2015_county_data[[#This Row],[PublicWork]]&gt;='Описательные характеристики'!$F$5,"да","нет")</f>
        <v>да</v>
      </c>
      <c r="N1978" t="str">
        <f>IF(acs2015_county_data[[#This Row],[Unemployment]]&gt;='Описательные характеристики'!$I$5,"да","нет")</f>
        <v>да</v>
      </c>
    </row>
    <row r="1979" spans="1:14" x14ac:dyDescent="0.35">
      <c r="A1979">
        <v>37175</v>
      </c>
      <c r="B1979" t="s">
        <v>1218</v>
      </c>
      <c r="C1979" t="s">
        <v>1276</v>
      </c>
      <c r="D1979" s="2">
        <v>32928</v>
      </c>
      <c r="E1979" s="2">
        <v>24080</v>
      </c>
      <c r="F1979" s="3">
        <v>5.9</v>
      </c>
      <c r="G1979" s="3">
        <v>13794</v>
      </c>
      <c r="H1979" s="3">
        <v>72.099999999999994</v>
      </c>
      <c r="I1979" s="3">
        <v>16.7</v>
      </c>
      <c r="J1979" s="3">
        <v>11.1</v>
      </c>
      <c r="K1979" s="3">
        <v>0.1</v>
      </c>
      <c r="L1979" s="3">
        <v>6.9</v>
      </c>
      <c r="M1979" t="str">
        <f>IF(acs2015_county_data[[#This Row],[PublicWork]]&gt;='Описательные характеристики'!$F$5,"да","нет")</f>
        <v>да</v>
      </c>
      <c r="N1979" t="str">
        <f>IF(acs2015_county_data[[#This Row],[Unemployment]]&gt;='Описательные характеристики'!$I$5,"да","нет")</f>
        <v>нет</v>
      </c>
    </row>
    <row r="1980" spans="1:14" x14ac:dyDescent="0.35">
      <c r="A1980">
        <v>37177</v>
      </c>
      <c r="B1980" t="s">
        <v>1218</v>
      </c>
      <c r="C1980" t="s">
        <v>1277</v>
      </c>
      <c r="D1980" s="2">
        <v>4152</v>
      </c>
      <c r="E1980" s="2">
        <v>16268</v>
      </c>
      <c r="F1980" s="3">
        <v>1.8</v>
      </c>
      <c r="G1980" s="3">
        <v>1350</v>
      </c>
      <c r="H1980" s="3">
        <v>75.599999999999994</v>
      </c>
      <c r="I1980" s="3">
        <v>19.3</v>
      </c>
      <c r="J1980" s="3">
        <v>5.2</v>
      </c>
      <c r="K1980" s="3">
        <v>0</v>
      </c>
      <c r="L1980" s="3">
        <v>14.1</v>
      </c>
      <c r="M1980" t="str">
        <f>IF(acs2015_county_data[[#This Row],[PublicWork]]&gt;='Описательные характеристики'!$F$5,"да","нет")</f>
        <v>да</v>
      </c>
      <c r="N1980" t="str">
        <f>IF(acs2015_county_data[[#This Row],[Unemployment]]&gt;='Описательные характеристики'!$I$5,"да","нет")</f>
        <v>да</v>
      </c>
    </row>
    <row r="1981" spans="1:14" x14ac:dyDescent="0.35">
      <c r="A1981">
        <v>37179</v>
      </c>
      <c r="B1981" t="s">
        <v>1218</v>
      </c>
      <c r="C1981" t="s">
        <v>175</v>
      </c>
      <c r="D1981" s="2">
        <v>213422</v>
      </c>
      <c r="E1981" s="2">
        <v>29662</v>
      </c>
      <c r="F1981" s="3">
        <v>6.6</v>
      </c>
      <c r="G1981" s="3">
        <v>99712</v>
      </c>
      <c r="H1981" s="3">
        <v>83</v>
      </c>
      <c r="I1981" s="3">
        <v>11.3</v>
      </c>
      <c r="J1981" s="3">
        <v>5.5</v>
      </c>
      <c r="K1981" s="3">
        <v>0.2</v>
      </c>
      <c r="L1981" s="3">
        <v>7.7</v>
      </c>
      <c r="M1981" t="str">
        <f>IF(acs2015_county_data[[#This Row],[PublicWork]]&gt;='Описательные характеристики'!$F$5,"да","нет")</f>
        <v>нет</v>
      </c>
      <c r="N1981" t="str">
        <f>IF(acs2015_county_data[[#This Row],[Unemployment]]&gt;='Описательные характеристики'!$I$5,"да","нет")</f>
        <v>да</v>
      </c>
    </row>
    <row r="1982" spans="1:14" x14ac:dyDescent="0.35">
      <c r="A1982">
        <v>37181</v>
      </c>
      <c r="B1982" t="s">
        <v>1218</v>
      </c>
      <c r="C1982" t="s">
        <v>1278</v>
      </c>
      <c r="D1982" s="2">
        <v>44829</v>
      </c>
      <c r="E1982" s="2">
        <v>18606</v>
      </c>
      <c r="F1982" s="3">
        <v>1.8</v>
      </c>
      <c r="G1982" s="3">
        <v>17461</v>
      </c>
      <c r="H1982" s="3">
        <v>74.900000000000006</v>
      </c>
      <c r="I1982" s="3">
        <v>20.6</v>
      </c>
      <c r="J1982" s="3">
        <v>4.4000000000000004</v>
      </c>
      <c r="K1982" s="3">
        <v>0</v>
      </c>
      <c r="L1982" s="3">
        <v>12.2</v>
      </c>
      <c r="M1982" t="str">
        <f>IF(acs2015_county_data[[#This Row],[PublicWork]]&gt;='Описательные характеристики'!$F$5,"да","нет")</f>
        <v>да</v>
      </c>
      <c r="N1982" t="str">
        <f>IF(acs2015_county_data[[#This Row],[Unemployment]]&gt;='Описательные характеристики'!$I$5,"да","нет")</f>
        <v>да</v>
      </c>
    </row>
    <row r="1983" spans="1:14" x14ac:dyDescent="0.35">
      <c r="A1983">
        <v>37183</v>
      </c>
      <c r="B1983" t="s">
        <v>1218</v>
      </c>
      <c r="C1983" t="s">
        <v>1279</v>
      </c>
      <c r="D1983" s="2">
        <v>976019</v>
      </c>
      <c r="E1983" s="2">
        <v>34202</v>
      </c>
      <c r="F1983" s="3">
        <v>7.4</v>
      </c>
      <c r="G1983" s="3">
        <v>499197</v>
      </c>
      <c r="H1983" s="3">
        <v>80.099999999999994</v>
      </c>
      <c r="I1983" s="3">
        <v>15.1</v>
      </c>
      <c r="J1983" s="3">
        <v>4.8</v>
      </c>
      <c r="K1983" s="3">
        <v>0.1</v>
      </c>
      <c r="L1983" s="3">
        <v>6.4</v>
      </c>
      <c r="M1983" t="str">
        <f>IF(acs2015_county_data[[#This Row],[PublicWork]]&gt;='Описательные характеристики'!$F$5,"да","нет")</f>
        <v>нет</v>
      </c>
      <c r="N1983" t="str">
        <f>IF(acs2015_county_data[[#This Row],[Unemployment]]&gt;='Описательные характеристики'!$I$5,"да","нет")</f>
        <v>нет</v>
      </c>
    </row>
    <row r="1984" spans="1:14" x14ac:dyDescent="0.35">
      <c r="A1984">
        <v>37185</v>
      </c>
      <c r="B1984" t="s">
        <v>1218</v>
      </c>
      <c r="C1984" t="s">
        <v>456</v>
      </c>
      <c r="D1984" s="2">
        <v>20468</v>
      </c>
      <c r="E1984" s="2">
        <v>19354</v>
      </c>
      <c r="F1984" s="3">
        <v>4.0999999999999996</v>
      </c>
      <c r="G1984" s="3">
        <v>6958</v>
      </c>
      <c r="H1984" s="3">
        <v>68</v>
      </c>
      <c r="I1984" s="3">
        <v>22.1</v>
      </c>
      <c r="J1984" s="3">
        <v>9.3000000000000007</v>
      </c>
      <c r="K1984" s="3">
        <v>0.7</v>
      </c>
      <c r="L1984" s="3">
        <v>10.7</v>
      </c>
      <c r="M1984" t="str">
        <f>IF(acs2015_county_data[[#This Row],[PublicWork]]&gt;='Описательные характеристики'!$F$5,"да","нет")</f>
        <v>да</v>
      </c>
      <c r="N1984" t="str">
        <f>IF(acs2015_county_data[[#This Row],[Unemployment]]&gt;='Описательные характеристики'!$I$5,"да","нет")</f>
        <v>да</v>
      </c>
    </row>
    <row r="1985" spans="1:14" x14ac:dyDescent="0.35">
      <c r="A1985">
        <v>37187</v>
      </c>
      <c r="B1985" t="s">
        <v>1218</v>
      </c>
      <c r="C1985" t="s">
        <v>75</v>
      </c>
      <c r="D1985" s="2">
        <v>12668</v>
      </c>
      <c r="E1985" s="2">
        <v>20067</v>
      </c>
      <c r="F1985" s="3">
        <v>1.5</v>
      </c>
      <c r="G1985" s="3">
        <v>4410</v>
      </c>
      <c r="H1985" s="3">
        <v>76.5</v>
      </c>
      <c r="I1985" s="3">
        <v>17.3</v>
      </c>
      <c r="J1985" s="3">
        <v>6</v>
      </c>
      <c r="K1985" s="3">
        <v>0.2</v>
      </c>
      <c r="L1985" s="3">
        <v>15.5</v>
      </c>
      <c r="M1985" t="str">
        <f>IF(acs2015_county_data[[#This Row],[PublicWork]]&gt;='Описательные характеристики'!$F$5,"да","нет")</f>
        <v>да</v>
      </c>
      <c r="N1985" t="str">
        <f>IF(acs2015_county_data[[#This Row],[Unemployment]]&gt;='Описательные характеристики'!$I$5,"да","нет")</f>
        <v>да</v>
      </c>
    </row>
    <row r="1986" spans="1:14" x14ac:dyDescent="0.35">
      <c r="A1986">
        <v>37189</v>
      </c>
      <c r="B1986" t="s">
        <v>1218</v>
      </c>
      <c r="C1986" t="s">
        <v>1280</v>
      </c>
      <c r="D1986" s="2">
        <v>52240</v>
      </c>
      <c r="E1986" s="2">
        <v>22314</v>
      </c>
      <c r="F1986" s="3">
        <v>6.9</v>
      </c>
      <c r="G1986" s="3">
        <v>23928</v>
      </c>
      <c r="H1986" s="3">
        <v>69.3</v>
      </c>
      <c r="I1986" s="3">
        <v>22.8</v>
      </c>
      <c r="J1986" s="3">
        <v>7.3</v>
      </c>
      <c r="K1986" s="3">
        <v>0.5</v>
      </c>
      <c r="L1986" s="3">
        <v>9.5</v>
      </c>
      <c r="M1986" t="str">
        <f>IF(acs2015_county_data[[#This Row],[PublicWork]]&gt;='Описательные характеристики'!$F$5,"да","нет")</f>
        <v>да</v>
      </c>
      <c r="N1986" t="str">
        <f>IF(acs2015_county_data[[#This Row],[Unemployment]]&gt;='Описательные характеристики'!$I$5,"да","нет")</f>
        <v>да</v>
      </c>
    </row>
    <row r="1987" spans="1:14" x14ac:dyDescent="0.35">
      <c r="A1987">
        <v>37191</v>
      </c>
      <c r="B1987" t="s">
        <v>1218</v>
      </c>
      <c r="C1987" t="s">
        <v>457</v>
      </c>
      <c r="D1987" s="2">
        <v>124355</v>
      </c>
      <c r="E1987" s="2">
        <v>21204</v>
      </c>
      <c r="F1987" s="3">
        <v>2.2000000000000002</v>
      </c>
      <c r="G1987" s="3">
        <v>50821</v>
      </c>
      <c r="H1987" s="3">
        <v>74.5</v>
      </c>
      <c r="I1987" s="3">
        <v>19.8</v>
      </c>
      <c r="J1987" s="3">
        <v>5.4</v>
      </c>
      <c r="K1987" s="3">
        <v>0.3</v>
      </c>
      <c r="L1987" s="3">
        <v>12.4</v>
      </c>
      <c r="M1987" t="str">
        <f>IF(acs2015_county_data[[#This Row],[PublicWork]]&gt;='Описательные характеристики'!$F$5,"да","нет")</f>
        <v>да</v>
      </c>
      <c r="N1987" t="str">
        <f>IF(acs2015_county_data[[#This Row],[Unemployment]]&gt;='Описательные характеристики'!$I$5,"да","нет")</f>
        <v>да</v>
      </c>
    </row>
    <row r="1988" spans="1:14" x14ac:dyDescent="0.35">
      <c r="A1988">
        <v>37193</v>
      </c>
      <c r="B1988" t="s">
        <v>1218</v>
      </c>
      <c r="C1988" t="s">
        <v>461</v>
      </c>
      <c r="D1988" s="2">
        <v>68946</v>
      </c>
      <c r="E1988" s="2">
        <v>19163</v>
      </c>
      <c r="F1988" s="3">
        <v>2.1</v>
      </c>
      <c r="G1988" s="3">
        <v>26631</v>
      </c>
      <c r="H1988" s="3">
        <v>79.099999999999994</v>
      </c>
      <c r="I1988" s="3">
        <v>13.4</v>
      </c>
      <c r="J1988" s="3">
        <v>7.4</v>
      </c>
      <c r="K1988" s="3">
        <v>0.1</v>
      </c>
      <c r="L1988" s="3">
        <v>11.7</v>
      </c>
      <c r="M1988" t="str">
        <f>IF(acs2015_county_data[[#This Row],[PublicWork]]&gt;='Описательные характеристики'!$F$5,"да","нет")</f>
        <v>нет</v>
      </c>
      <c r="N1988" t="str">
        <f>IF(acs2015_county_data[[#This Row],[Unemployment]]&gt;='Описательные характеристики'!$I$5,"да","нет")</f>
        <v>да</v>
      </c>
    </row>
    <row r="1989" spans="1:14" x14ac:dyDescent="0.35">
      <c r="A1989">
        <v>37195</v>
      </c>
      <c r="B1989" t="s">
        <v>1218</v>
      </c>
      <c r="C1989" t="s">
        <v>707</v>
      </c>
      <c r="D1989" s="2">
        <v>81581</v>
      </c>
      <c r="E1989" s="2">
        <v>21486</v>
      </c>
      <c r="F1989" s="3">
        <v>1.8</v>
      </c>
      <c r="G1989" s="3">
        <v>34701</v>
      </c>
      <c r="H1989" s="3">
        <v>81.5</v>
      </c>
      <c r="I1989" s="3">
        <v>14</v>
      </c>
      <c r="J1989" s="3">
        <v>4.3</v>
      </c>
      <c r="K1989" s="3">
        <v>0.2</v>
      </c>
      <c r="L1989" s="3">
        <v>10.1</v>
      </c>
      <c r="M1989" t="str">
        <f>IF(acs2015_county_data[[#This Row],[PublicWork]]&gt;='Описательные характеристики'!$F$5,"да","нет")</f>
        <v>нет</v>
      </c>
      <c r="N1989" t="str">
        <f>IF(acs2015_county_data[[#This Row],[Unemployment]]&gt;='Описательные характеристики'!$I$5,"да","нет")</f>
        <v>да</v>
      </c>
    </row>
    <row r="1990" spans="1:14" x14ac:dyDescent="0.35">
      <c r="A1990">
        <v>37197</v>
      </c>
      <c r="B1990" t="s">
        <v>1218</v>
      </c>
      <c r="C1990" t="s">
        <v>1281</v>
      </c>
      <c r="D1990" s="2">
        <v>37971</v>
      </c>
      <c r="E1990" s="2">
        <v>21372</v>
      </c>
      <c r="F1990" s="3">
        <v>3.4</v>
      </c>
      <c r="G1990" s="3">
        <v>15747</v>
      </c>
      <c r="H1990" s="3">
        <v>81.2</v>
      </c>
      <c r="I1990" s="3">
        <v>11.4</v>
      </c>
      <c r="J1990" s="3">
        <v>7.3</v>
      </c>
      <c r="K1990" s="3">
        <v>0</v>
      </c>
      <c r="L1990" s="3">
        <v>8.3000000000000007</v>
      </c>
      <c r="M1990" t="str">
        <f>IF(acs2015_county_data[[#This Row],[PublicWork]]&gt;='Описательные характеристики'!$F$5,"да","нет")</f>
        <v>нет</v>
      </c>
      <c r="N1990" t="str">
        <f>IF(acs2015_county_data[[#This Row],[Unemployment]]&gt;='Описательные характеристики'!$I$5,"да","нет")</f>
        <v>да</v>
      </c>
    </row>
    <row r="1991" spans="1:14" x14ac:dyDescent="0.35">
      <c r="A1991">
        <v>37199</v>
      </c>
      <c r="B1991" t="s">
        <v>1218</v>
      </c>
      <c r="C1991" t="s">
        <v>1282</v>
      </c>
      <c r="D1991" s="2">
        <v>17604</v>
      </c>
      <c r="E1991" s="2">
        <v>20798</v>
      </c>
      <c r="F1991" s="3">
        <v>6.5</v>
      </c>
      <c r="G1991" s="3">
        <v>6992</v>
      </c>
      <c r="H1991" s="3">
        <v>69.8</v>
      </c>
      <c r="I1991" s="3">
        <v>22.2</v>
      </c>
      <c r="J1991" s="3">
        <v>8</v>
      </c>
      <c r="K1991" s="3">
        <v>0.1</v>
      </c>
      <c r="L1991" s="3">
        <v>11</v>
      </c>
      <c r="M1991" t="str">
        <f>IF(acs2015_county_data[[#This Row],[PublicWork]]&gt;='Описательные характеристики'!$F$5,"да","нет")</f>
        <v>да</v>
      </c>
      <c r="N1991" t="str">
        <f>IF(acs2015_county_data[[#This Row],[Unemployment]]&gt;='Описательные характеристики'!$I$5,"да","нет")</f>
        <v>да</v>
      </c>
    </row>
    <row r="1992" spans="1:14" x14ac:dyDescent="0.35">
      <c r="A1992">
        <v>38001</v>
      </c>
      <c r="B1992" t="s">
        <v>1283</v>
      </c>
      <c r="C1992" t="s">
        <v>237</v>
      </c>
      <c r="D1992" s="2">
        <v>2341</v>
      </c>
      <c r="E1992" s="2">
        <v>34005</v>
      </c>
      <c r="F1992" s="3">
        <v>9.6999999999999993</v>
      </c>
      <c r="G1992" s="3">
        <v>1279</v>
      </c>
      <c r="H1992" s="3">
        <v>65.400000000000006</v>
      </c>
      <c r="I1992" s="3">
        <v>14.5</v>
      </c>
      <c r="J1992" s="3">
        <v>19.8</v>
      </c>
      <c r="K1992" s="3">
        <v>0.4</v>
      </c>
      <c r="L1992" s="3">
        <v>1.2</v>
      </c>
      <c r="M1992" t="str">
        <f>IF(acs2015_county_data[[#This Row],[PublicWork]]&gt;='Описательные характеристики'!$F$5,"да","нет")</f>
        <v>нет</v>
      </c>
      <c r="N1992" t="str">
        <f>IF(acs2015_county_data[[#This Row],[Unemployment]]&gt;='Описательные характеристики'!$I$5,"да","нет")</f>
        <v>нет</v>
      </c>
    </row>
    <row r="1993" spans="1:14" x14ac:dyDescent="0.35">
      <c r="A1993">
        <v>38003</v>
      </c>
      <c r="B1993" t="s">
        <v>1283</v>
      </c>
      <c r="C1993" t="s">
        <v>1284</v>
      </c>
      <c r="D1993" s="2">
        <v>11097</v>
      </c>
      <c r="E1993" s="2">
        <v>33016</v>
      </c>
      <c r="F1993" s="3">
        <v>4.3</v>
      </c>
      <c r="G1993" s="3">
        <v>5889</v>
      </c>
      <c r="H1993" s="3">
        <v>66.3</v>
      </c>
      <c r="I1993" s="3">
        <v>21.1</v>
      </c>
      <c r="J1993" s="3">
        <v>12.2</v>
      </c>
      <c r="K1993" s="3">
        <v>0.4</v>
      </c>
      <c r="L1993" s="3">
        <v>2.4</v>
      </c>
      <c r="M1993" t="str">
        <f>IF(acs2015_county_data[[#This Row],[PublicWork]]&gt;='Описательные характеристики'!$F$5,"да","нет")</f>
        <v>да</v>
      </c>
      <c r="N1993" t="str">
        <f>IF(acs2015_county_data[[#This Row],[Unemployment]]&gt;='Описательные характеристики'!$I$5,"да","нет")</f>
        <v>нет</v>
      </c>
    </row>
    <row r="1994" spans="1:14" x14ac:dyDescent="0.35">
      <c r="A1994">
        <v>38005</v>
      </c>
      <c r="B1994" t="s">
        <v>1283</v>
      </c>
      <c r="C1994" t="s">
        <v>1285</v>
      </c>
      <c r="D1994" s="2">
        <v>6794</v>
      </c>
      <c r="E1994" s="2">
        <v>20697</v>
      </c>
      <c r="F1994" s="3">
        <v>10</v>
      </c>
      <c r="G1994" s="3">
        <v>2461</v>
      </c>
      <c r="H1994" s="3">
        <v>59.2</v>
      </c>
      <c r="I1994" s="3">
        <v>27.5</v>
      </c>
      <c r="J1994" s="3">
        <v>13</v>
      </c>
      <c r="K1994" s="3">
        <v>0.3</v>
      </c>
      <c r="L1994" s="3">
        <v>6.1</v>
      </c>
      <c r="M1994" t="str">
        <f>IF(acs2015_county_data[[#This Row],[PublicWork]]&gt;='Описательные характеристики'!$F$5,"да","нет")</f>
        <v>да</v>
      </c>
      <c r="N1994" t="str">
        <f>IF(acs2015_county_data[[#This Row],[Unemployment]]&gt;='Описательные характеристики'!$I$5,"да","нет")</f>
        <v>нет</v>
      </c>
    </row>
    <row r="1995" spans="1:14" x14ac:dyDescent="0.35">
      <c r="A1995">
        <v>38007</v>
      </c>
      <c r="B1995" t="s">
        <v>1283</v>
      </c>
      <c r="C1995" t="s">
        <v>1286</v>
      </c>
      <c r="D1995" s="2">
        <v>969</v>
      </c>
      <c r="E1995" s="2">
        <v>42729</v>
      </c>
      <c r="F1995" s="3">
        <v>15.9</v>
      </c>
      <c r="G1995" s="3">
        <v>564</v>
      </c>
      <c r="H1995" s="3">
        <v>69.5</v>
      </c>
      <c r="I1995" s="3">
        <v>17.600000000000001</v>
      </c>
      <c r="J1995" s="3">
        <v>12.4</v>
      </c>
      <c r="K1995" s="3">
        <v>0.5</v>
      </c>
      <c r="L1995" s="3">
        <v>1.4</v>
      </c>
      <c r="M1995" t="str">
        <f>IF(acs2015_county_data[[#This Row],[PublicWork]]&gt;='Описательные характеристики'!$F$5,"да","нет")</f>
        <v>да</v>
      </c>
      <c r="N1995" t="str">
        <f>IF(acs2015_county_data[[#This Row],[Unemployment]]&gt;='Описательные характеристики'!$I$5,"да","нет")</f>
        <v>нет</v>
      </c>
    </row>
    <row r="1996" spans="1:14" x14ac:dyDescent="0.35">
      <c r="A1996">
        <v>38009</v>
      </c>
      <c r="B1996" t="s">
        <v>1283</v>
      </c>
      <c r="C1996" t="s">
        <v>1287</v>
      </c>
      <c r="D1996" s="2">
        <v>6634</v>
      </c>
      <c r="E1996" s="2">
        <v>33541</v>
      </c>
      <c r="F1996" s="3">
        <v>7.8</v>
      </c>
      <c r="G1996" s="3">
        <v>3369</v>
      </c>
      <c r="H1996" s="3">
        <v>67.7</v>
      </c>
      <c r="I1996" s="3">
        <v>16.7</v>
      </c>
      <c r="J1996" s="3">
        <v>15</v>
      </c>
      <c r="K1996" s="3">
        <v>0.6</v>
      </c>
      <c r="L1996" s="3">
        <v>2.6</v>
      </c>
      <c r="M1996" t="str">
        <f>IF(acs2015_county_data[[#This Row],[PublicWork]]&gt;='Описательные характеристики'!$F$5,"да","нет")</f>
        <v>да</v>
      </c>
      <c r="N1996" t="str">
        <f>IF(acs2015_county_data[[#This Row],[Unemployment]]&gt;='Описательные характеристики'!$I$5,"да","нет")</f>
        <v>нет</v>
      </c>
    </row>
    <row r="1997" spans="1:14" x14ac:dyDescent="0.35">
      <c r="A1997">
        <v>38011</v>
      </c>
      <c r="B1997" t="s">
        <v>1283</v>
      </c>
      <c r="C1997" t="s">
        <v>1288</v>
      </c>
      <c r="D1997" s="2">
        <v>3221</v>
      </c>
      <c r="E1997" s="2">
        <v>34414</v>
      </c>
      <c r="F1997" s="3">
        <v>4.8</v>
      </c>
      <c r="G1997" s="3">
        <v>1721</v>
      </c>
      <c r="H1997" s="3">
        <v>71.599999999999994</v>
      </c>
      <c r="I1997" s="3">
        <v>16.600000000000001</v>
      </c>
      <c r="J1997" s="3">
        <v>11.4</v>
      </c>
      <c r="K1997" s="3">
        <v>0.3</v>
      </c>
      <c r="L1997" s="3">
        <v>1.8</v>
      </c>
      <c r="M1997" t="str">
        <f>IF(acs2015_county_data[[#This Row],[PublicWork]]&gt;='Описательные характеристики'!$F$5,"да","нет")</f>
        <v>да</v>
      </c>
      <c r="N1997" t="str">
        <f>IF(acs2015_county_data[[#This Row],[Unemployment]]&gt;='Описательные характеристики'!$I$5,"да","нет")</f>
        <v>нет</v>
      </c>
    </row>
    <row r="1998" spans="1:14" x14ac:dyDescent="0.35">
      <c r="A1998">
        <v>38013</v>
      </c>
      <c r="B1998" t="s">
        <v>1283</v>
      </c>
      <c r="C1998" t="s">
        <v>368</v>
      </c>
      <c r="D1998" s="2">
        <v>2208</v>
      </c>
      <c r="E1998" s="2">
        <v>34161</v>
      </c>
      <c r="F1998" s="3">
        <v>8.1999999999999993</v>
      </c>
      <c r="G1998" s="3">
        <v>1084</v>
      </c>
      <c r="H1998" s="3">
        <v>70.8</v>
      </c>
      <c r="I1998" s="3">
        <v>14.5</v>
      </c>
      <c r="J1998" s="3">
        <v>14</v>
      </c>
      <c r="K1998" s="3">
        <v>0.6</v>
      </c>
      <c r="L1998" s="3">
        <v>2.2999999999999998</v>
      </c>
      <c r="M1998" t="str">
        <f>IF(acs2015_county_data[[#This Row],[PublicWork]]&gt;='Описательные характеристики'!$F$5,"да","нет")</f>
        <v>нет</v>
      </c>
      <c r="N1998" t="str">
        <f>IF(acs2015_county_data[[#This Row],[Unemployment]]&gt;='Описательные характеристики'!$I$5,"да","нет")</f>
        <v>нет</v>
      </c>
    </row>
    <row r="1999" spans="1:14" x14ac:dyDescent="0.35">
      <c r="A1999">
        <v>38015</v>
      </c>
      <c r="B1999" t="s">
        <v>1283</v>
      </c>
      <c r="C1999" t="s">
        <v>1289</v>
      </c>
      <c r="D1999" s="2">
        <v>88223</v>
      </c>
      <c r="E1999" s="2">
        <v>34813</v>
      </c>
      <c r="F1999" s="3">
        <v>4.0999999999999996</v>
      </c>
      <c r="G1999" s="3">
        <v>49375</v>
      </c>
      <c r="H1999" s="3">
        <v>76.5</v>
      </c>
      <c r="I1999" s="3">
        <v>17.899999999999999</v>
      </c>
      <c r="J1999" s="3">
        <v>5.4</v>
      </c>
      <c r="K1999" s="3">
        <v>0.2</v>
      </c>
      <c r="L1999" s="3">
        <v>2.2999999999999998</v>
      </c>
      <c r="M1999" t="str">
        <f>IF(acs2015_county_data[[#This Row],[PublicWork]]&gt;='Описательные характеристики'!$F$5,"да","нет")</f>
        <v>да</v>
      </c>
      <c r="N1999" t="str">
        <f>IF(acs2015_county_data[[#This Row],[Unemployment]]&gt;='Описательные характеристики'!$I$5,"да","нет")</f>
        <v>нет</v>
      </c>
    </row>
    <row r="2000" spans="1:14" x14ac:dyDescent="0.35">
      <c r="A2000">
        <v>38017</v>
      </c>
      <c r="B2000" t="s">
        <v>1283</v>
      </c>
      <c r="C2000" t="s">
        <v>508</v>
      </c>
      <c r="D2000" s="2">
        <v>162500</v>
      </c>
      <c r="E2000" s="2">
        <v>31795</v>
      </c>
      <c r="F2000" s="3">
        <v>3.3</v>
      </c>
      <c r="G2000" s="3">
        <v>94675</v>
      </c>
      <c r="H2000" s="3">
        <v>82.9</v>
      </c>
      <c r="I2000" s="3">
        <v>12.6</v>
      </c>
      <c r="J2000" s="3">
        <v>4.5</v>
      </c>
      <c r="K2000" s="3">
        <v>0.1</v>
      </c>
      <c r="L2000" s="3">
        <v>3.2</v>
      </c>
      <c r="M2000" t="str">
        <f>IF(acs2015_county_data[[#This Row],[PublicWork]]&gt;='Описательные характеристики'!$F$5,"да","нет")</f>
        <v>нет</v>
      </c>
      <c r="N2000" t="str">
        <f>IF(acs2015_county_data[[#This Row],[Unemployment]]&gt;='Описательные характеристики'!$I$5,"да","нет")</f>
        <v>нет</v>
      </c>
    </row>
    <row r="2001" spans="1:14" x14ac:dyDescent="0.35">
      <c r="A2001">
        <v>38019</v>
      </c>
      <c r="B2001" t="s">
        <v>1283</v>
      </c>
      <c r="C2001" t="s">
        <v>1290</v>
      </c>
      <c r="D2001" s="2">
        <v>3890</v>
      </c>
      <c r="E2001" s="2">
        <v>38721</v>
      </c>
      <c r="F2001" s="3">
        <v>8.5</v>
      </c>
      <c r="G2001" s="3">
        <v>1968</v>
      </c>
      <c r="H2001" s="3">
        <v>64.599999999999994</v>
      </c>
      <c r="I2001" s="3">
        <v>16</v>
      </c>
      <c r="J2001" s="3">
        <v>19</v>
      </c>
      <c r="K2001" s="3">
        <v>0.5</v>
      </c>
      <c r="L2001" s="3">
        <v>0.8</v>
      </c>
      <c r="M2001" t="str">
        <f>IF(acs2015_county_data[[#This Row],[PublicWork]]&gt;='Описательные характеристики'!$F$5,"да","нет")</f>
        <v>нет</v>
      </c>
      <c r="N2001" t="str">
        <f>IF(acs2015_county_data[[#This Row],[Unemployment]]&gt;='Описательные характеристики'!$I$5,"да","нет")</f>
        <v>нет</v>
      </c>
    </row>
    <row r="2002" spans="1:14" x14ac:dyDescent="0.35">
      <c r="A2002">
        <v>38021</v>
      </c>
      <c r="B2002" t="s">
        <v>1283</v>
      </c>
      <c r="C2002" t="s">
        <v>1291</v>
      </c>
      <c r="D2002" s="2">
        <v>5195</v>
      </c>
      <c r="E2002" s="2">
        <v>27825</v>
      </c>
      <c r="F2002" s="3">
        <v>6.4</v>
      </c>
      <c r="G2002" s="3">
        <v>2755</v>
      </c>
      <c r="H2002" s="3">
        <v>74.8</v>
      </c>
      <c r="I2002" s="3">
        <v>11.7</v>
      </c>
      <c r="J2002" s="3">
        <v>10.9</v>
      </c>
      <c r="K2002" s="3">
        <v>2.6</v>
      </c>
      <c r="L2002" s="3">
        <v>1.5</v>
      </c>
      <c r="M2002" t="str">
        <f>IF(acs2015_county_data[[#This Row],[PublicWork]]&gt;='Описательные характеристики'!$F$5,"да","нет")</f>
        <v>нет</v>
      </c>
      <c r="N2002" t="str">
        <f>IF(acs2015_county_data[[#This Row],[Unemployment]]&gt;='Описательные характеристики'!$I$5,"да","нет")</f>
        <v>нет</v>
      </c>
    </row>
    <row r="2003" spans="1:14" x14ac:dyDescent="0.35">
      <c r="A2003">
        <v>38023</v>
      </c>
      <c r="B2003" t="s">
        <v>1283</v>
      </c>
      <c r="C2003" t="s">
        <v>1292</v>
      </c>
      <c r="D2003" s="2">
        <v>2314</v>
      </c>
      <c r="E2003" s="2">
        <v>41625</v>
      </c>
      <c r="F2003" s="3">
        <v>16.899999999999999</v>
      </c>
      <c r="G2003" s="3">
        <v>1252</v>
      </c>
      <c r="H2003" s="3">
        <v>54.9</v>
      </c>
      <c r="I2003" s="3">
        <v>15.3</v>
      </c>
      <c r="J2003" s="3">
        <v>29.8</v>
      </c>
      <c r="K2003" s="3">
        <v>0</v>
      </c>
      <c r="L2003" s="3">
        <v>0.7</v>
      </c>
      <c r="M2003" t="str">
        <f>IF(acs2015_county_data[[#This Row],[PublicWork]]&gt;='Описательные характеристики'!$F$5,"да","нет")</f>
        <v>нет</v>
      </c>
      <c r="N2003" t="str">
        <f>IF(acs2015_county_data[[#This Row],[Unemployment]]&gt;='Описательные характеристики'!$I$5,"да","нет")</f>
        <v>нет</v>
      </c>
    </row>
    <row r="2004" spans="1:14" x14ac:dyDescent="0.35">
      <c r="A2004">
        <v>38025</v>
      </c>
      <c r="B2004" t="s">
        <v>1283</v>
      </c>
      <c r="C2004" t="s">
        <v>1293</v>
      </c>
      <c r="D2004" s="2">
        <v>4195</v>
      </c>
      <c r="E2004" s="2">
        <v>41849</v>
      </c>
      <c r="F2004" s="3">
        <v>13.5</v>
      </c>
      <c r="G2004" s="3">
        <v>2078</v>
      </c>
      <c r="H2004" s="3">
        <v>65</v>
      </c>
      <c r="I2004" s="3">
        <v>16.8</v>
      </c>
      <c r="J2004" s="3">
        <v>16.3</v>
      </c>
      <c r="K2004" s="3">
        <v>1.9</v>
      </c>
      <c r="L2004" s="3">
        <v>4.3</v>
      </c>
      <c r="M2004" t="str">
        <f>IF(acs2015_county_data[[#This Row],[PublicWork]]&gt;='Описательные характеристики'!$F$5,"да","нет")</f>
        <v>да</v>
      </c>
      <c r="N2004" t="str">
        <f>IF(acs2015_county_data[[#This Row],[Unemployment]]&gt;='Описательные характеристики'!$I$5,"да","нет")</f>
        <v>нет</v>
      </c>
    </row>
    <row r="2005" spans="1:14" x14ac:dyDescent="0.35">
      <c r="A2005">
        <v>38027</v>
      </c>
      <c r="B2005" t="s">
        <v>1283</v>
      </c>
      <c r="C2005" t="s">
        <v>1171</v>
      </c>
      <c r="D2005" s="2">
        <v>2370</v>
      </c>
      <c r="E2005" s="2">
        <v>31806</v>
      </c>
      <c r="F2005" s="3">
        <v>9.1999999999999993</v>
      </c>
      <c r="G2005" s="3">
        <v>1208</v>
      </c>
      <c r="H2005" s="3">
        <v>60.8</v>
      </c>
      <c r="I2005" s="3">
        <v>21.4</v>
      </c>
      <c r="J2005" s="3">
        <v>17.5</v>
      </c>
      <c r="K2005" s="3">
        <v>0.2</v>
      </c>
      <c r="L2005" s="3">
        <v>1.9</v>
      </c>
      <c r="M2005" t="str">
        <f>IF(acs2015_county_data[[#This Row],[PublicWork]]&gt;='Описательные характеристики'!$F$5,"да","нет")</f>
        <v>да</v>
      </c>
      <c r="N2005" t="str">
        <f>IF(acs2015_county_data[[#This Row],[Unemployment]]&gt;='Описательные характеристики'!$I$5,"да","нет")</f>
        <v>нет</v>
      </c>
    </row>
    <row r="2006" spans="1:14" x14ac:dyDescent="0.35">
      <c r="A2006">
        <v>38029</v>
      </c>
      <c r="B2006" t="s">
        <v>1283</v>
      </c>
      <c r="C2006" t="s">
        <v>1294</v>
      </c>
      <c r="D2006" s="2">
        <v>3463</v>
      </c>
      <c r="E2006" s="2">
        <v>29367</v>
      </c>
      <c r="F2006" s="3">
        <v>18.100000000000001</v>
      </c>
      <c r="G2006" s="3">
        <v>1583</v>
      </c>
      <c r="H2006" s="3">
        <v>58.2</v>
      </c>
      <c r="I2006" s="3">
        <v>17.8</v>
      </c>
      <c r="J2006" s="3">
        <v>22.8</v>
      </c>
      <c r="K2006" s="3">
        <v>1.2</v>
      </c>
      <c r="L2006" s="3">
        <v>3.6</v>
      </c>
      <c r="M2006" t="str">
        <f>IF(acs2015_county_data[[#This Row],[PublicWork]]&gt;='Описательные характеристики'!$F$5,"да","нет")</f>
        <v>да</v>
      </c>
      <c r="N2006" t="str">
        <f>IF(acs2015_county_data[[#This Row],[Unemployment]]&gt;='Описательные характеристики'!$I$5,"да","нет")</f>
        <v>нет</v>
      </c>
    </row>
    <row r="2007" spans="1:14" x14ac:dyDescent="0.35">
      <c r="A2007">
        <v>38031</v>
      </c>
      <c r="B2007" t="s">
        <v>1283</v>
      </c>
      <c r="C2007" t="s">
        <v>1295</v>
      </c>
      <c r="D2007" s="2">
        <v>3366</v>
      </c>
      <c r="E2007" s="2">
        <v>29710</v>
      </c>
      <c r="F2007" s="3">
        <v>5</v>
      </c>
      <c r="G2007" s="3">
        <v>1786</v>
      </c>
      <c r="H2007" s="3">
        <v>69.599999999999994</v>
      </c>
      <c r="I2007" s="3">
        <v>12.9</v>
      </c>
      <c r="J2007" s="3">
        <v>16.3</v>
      </c>
      <c r="K2007" s="3">
        <v>1.1000000000000001</v>
      </c>
      <c r="L2007" s="3">
        <v>1.3</v>
      </c>
      <c r="M2007" t="str">
        <f>IF(acs2015_county_data[[#This Row],[PublicWork]]&gt;='Описательные характеристики'!$F$5,"да","нет")</f>
        <v>нет</v>
      </c>
      <c r="N2007" t="str">
        <f>IF(acs2015_county_data[[#This Row],[Unemployment]]&gt;='Описательные характеристики'!$I$5,"да","нет")</f>
        <v>нет</v>
      </c>
    </row>
    <row r="2008" spans="1:14" x14ac:dyDescent="0.35">
      <c r="A2008">
        <v>38033</v>
      </c>
      <c r="B2008" t="s">
        <v>1283</v>
      </c>
      <c r="C2008" t="s">
        <v>1066</v>
      </c>
      <c r="D2008" s="2">
        <v>1822</v>
      </c>
      <c r="E2008" s="2">
        <v>27650</v>
      </c>
      <c r="F2008" s="3">
        <v>8.8000000000000007</v>
      </c>
      <c r="G2008" s="3">
        <v>964</v>
      </c>
      <c r="H2008" s="3">
        <v>64.099999999999994</v>
      </c>
      <c r="I2008" s="3">
        <v>17.8</v>
      </c>
      <c r="J2008" s="3">
        <v>14.2</v>
      </c>
      <c r="K2008" s="3">
        <v>3.8</v>
      </c>
      <c r="L2008" s="3">
        <v>1</v>
      </c>
      <c r="M2008" t="str">
        <f>IF(acs2015_county_data[[#This Row],[PublicWork]]&gt;='Описательные характеристики'!$F$5,"да","нет")</f>
        <v>да</v>
      </c>
      <c r="N2008" t="str">
        <f>IF(acs2015_county_data[[#This Row],[Unemployment]]&gt;='Описательные характеристики'!$I$5,"да","нет")</f>
        <v>нет</v>
      </c>
    </row>
    <row r="2009" spans="1:14" x14ac:dyDescent="0.35">
      <c r="A2009">
        <v>38035</v>
      </c>
      <c r="B2009" t="s">
        <v>1283</v>
      </c>
      <c r="C2009" t="s">
        <v>1296</v>
      </c>
      <c r="D2009" s="2">
        <v>68979</v>
      </c>
      <c r="E2009" s="2">
        <v>29088</v>
      </c>
      <c r="F2009" s="3">
        <v>4.0999999999999996</v>
      </c>
      <c r="G2009" s="3">
        <v>37754</v>
      </c>
      <c r="H2009" s="3">
        <v>73.7</v>
      </c>
      <c r="I2009" s="3">
        <v>22</v>
      </c>
      <c r="J2009" s="3">
        <v>4</v>
      </c>
      <c r="K2009" s="3">
        <v>0.2</v>
      </c>
      <c r="L2009" s="3">
        <v>3.6</v>
      </c>
      <c r="M2009" t="str">
        <f>IF(acs2015_county_data[[#This Row],[PublicWork]]&gt;='Описательные характеристики'!$F$5,"да","нет")</f>
        <v>да</v>
      </c>
      <c r="N2009" t="str">
        <f>IF(acs2015_county_data[[#This Row],[Unemployment]]&gt;='Описательные характеристики'!$I$5,"да","нет")</f>
        <v>нет</v>
      </c>
    </row>
    <row r="2010" spans="1:14" x14ac:dyDescent="0.35">
      <c r="A2010">
        <v>38037</v>
      </c>
      <c r="B2010" t="s">
        <v>1283</v>
      </c>
      <c r="C2010" t="s">
        <v>144</v>
      </c>
      <c r="D2010" s="2">
        <v>2362</v>
      </c>
      <c r="E2010" s="2">
        <v>32412</v>
      </c>
      <c r="F2010" s="3">
        <v>25</v>
      </c>
      <c r="G2010" s="3">
        <v>1205</v>
      </c>
      <c r="H2010" s="3">
        <v>52.4</v>
      </c>
      <c r="I2010" s="3">
        <v>13.3</v>
      </c>
      <c r="J2010" s="3">
        <v>32.799999999999997</v>
      </c>
      <c r="K2010" s="3">
        <v>1.5</v>
      </c>
      <c r="L2010" s="3">
        <v>3.4</v>
      </c>
      <c r="M2010" t="str">
        <f>IF(acs2015_county_data[[#This Row],[PublicWork]]&gt;='Описательные характеристики'!$F$5,"да","нет")</f>
        <v>нет</v>
      </c>
      <c r="N2010" t="str">
        <f>IF(acs2015_county_data[[#This Row],[Unemployment]]&gt;='Описательные характеристики'!$I$5,"да","нет")</f>
        <v>нет</v>
      </c>
    </row>
    <row r="2011" spans="1:14" x14ac:dyDescent="0.35">
      <c r="A2011">
        <v>38039</v>
      </c>
      <c r="B2011" t="s">
        <v>1283</v>
      </c>
      <c r="C2011" t="s">
        <v>1297</v>
      </c>
      <c r="D2011" s="2">
        <v>2329</v>
      </c>
      <c r="E2011" s="2">
        <v>29639</v>
      </c>
      <c r="F2011" s="3">
        <v>10.3</v>
      </c>
      <c r="G2011" s="3">
        <v>1203</v>
      </c>
      <c r="H2011" s="3">
        <v>70.599999999999994</v>
      </c>
      <c r="I2011" s="3">
        <v>11.1</v>
      </c>
      <c r="J2011" s="3">
        <v>17.399999999999999</v>
      </c>
      <c r="K2011" s="3">
        <v>0.9</v>
      </c>
      <c r="L2011" s="3">
        <v>2</v>
      </c>
      <c r="M2011" t="str">
        <f>IF(acs2015_county_data[[#This Row],[PublicWork]]&gt;='Описательные характеристики'!$F$5,"да","нет")</f>
        <v>нет</v>
      </c>
      <c r="N2011" t="str">
        <f>IF(acs2015_county_data[[#This Row],[Unemployment]]&gt;='Описательные характеристики'!$I$5,"да","нет")</f>
        <v>нет</v>
      </c>
    </row>
    <row r="2012" spans="1:14" x14ac:dyDescent="0.35">
      <c r="A2012">
        <v>38041</v>
      </c>
      <c r="B2012" t="s">
        <v>1283</v>
      </c>
      <c r="C2012" t="s">
        <v>1298</v>
      </c>
      <c r="D2012" s="2">
        <v>2621</v>
      </c>
      <c r="E2012" s="2">
        <v>28132</v>
      </c>
      <c r="F2012" s="3">
        <v>12.2</v>
      </c>
      <c r="G2012" s="3">
        <v>1211</v>
      </c>
      <c r="H2012" s="3">
        <v>61.8</v>
      </c>
      <c r="I2012" s="3">
        <v>16.100000000000001</v>
      </c>
      <c r="J2012" s="3">
        <v>20.9</v>
      </c>
      <c r="K2012" s="3">
        <v>1.2</v>
      </c>
      <c r="L2012" s="3">
        <v>1.1000000000000001</v>
      </c>
      <c r="M2012" t="str">
        <f>IF(acs2015_county_data[[#This Row],[PublicWork]]&gt;='Описательные характеристики'!$F$5,"да","нет")</f>
        <v>нет</v>
      </c>
      <c r="N2012" t="str">
        <f>IF(acs2015_county_data[[#This Row],[Unemployment]]&gt;='Описательные характеристики'!$I$5,"да","нет")</f>
        <v>нет</v>
      </c>
    </row>
    <row r="2013" spans="1:14" x14ac:dyDescent="0.35">
      <c r="A2013">
        <v>38043</v>
      </c>
      <c r="B2013" t="s">
        <v>1283</v>
      </c>
      <c r="C2013" t="s">
        <v>1299</v>
      </c>
      <c r="D2013" s="2">
        <v>2430</v>
      </c>
      <c r="E2013" s="2">
        <v>32743</v>
      </c>
      <c r="F2013" s="3">
        <v>16.3</v>
      </c>
      <c r="G2013" s="3">
        <v>1337</v>
      </c>
      <c r="H2013" s="3">
        <v>58.6</v>
      </c>
      <c r="I2013" s="3">
        <v>16.2</v>
      </c>
      <c r="J2013" s="3">
        <v>25.1</v>
      </c>
      <c r="K2013" s="3">
        <v>0.1</v>
      </c>
      <c r="L2013" s="3">
        <v>0.9</v>
      </c>
      <c r="M2013" t="str">
        <f>IF(acs2015_county_data[[#This Row],[PublicWork]]&gt;='Описательные характеристики'!$F$5,"да","нет")</f>
        <v>да</v>
      </c>
      <c r="N2013" t="str">
        <f>IF(acs2015_county_data[[#This Row],[Unemployment]]&gt;='Описательные характеристики'!$I$5,"да","нет")</f>
        <v>нет</v>
      </c>
    </row>
    <row r="2014" spans="1:14" x14ac:dyDescent="0.35">
      <c r="A2014">
        <v>38045</v>
      </c>
      <c r="B2014" t="s">
        <v>1283</v>
      </c>
      <c r="C2014" t="s">
        <v>1300</v>
      </c>
      <c r="D2014" s="2">
        <v>4113</v>
      </c>
      <c r="E2014" s="2">
        <v>34471</v>
      </c>
      <c r="F2014" s="3">
        <v>12.3</v>
      </c>
      <c r="G2014" s="3">
        <v>2073</v>
      </c>
      <c r="H2014" s="3">
        <v>63.6</v>
      </c>
      <c r="I2014" s="3">
        <v>14.1</v>
      </c>
      <c r="J2014" s="3">
        <v>20.399999999999999</v>
      </c>
      <c r="K2014" s="3">
        <v>1.9</v>
      </c>
      <c r="L2014" s="3">
        <v>1.9</v>
      </c>
      <c r="M2014" t="str">
        <f>IF(acs2015_county_data[[#This Row],[PublicWork]]&gt;='Описательные характеристики'!$F$5,"да","нет")</f>
        <v>нет</v>
      </c>
      <c r="N2014" t="str">
        <f>IF(acs2015_county_data[[#This Row],[Unemployment]]&gt;='Описательные характеристики'!$I$5,"да","нет")</f>
        <v>нет</v>
      </c>
    </row>
    <row r="2015" spans="1:14" x14ac:dyDescent="0.35">
      <c r="A2015">
        <v>38047</v>
      </c>
      <c r="B2015" t="s">
        <v>1283</v>
      </c>
      <c r="C2015" t="s">
        <v>154</v>
      </c>
      <c r="D2015" s="2">
        <v>1945</v>
      </c>
      <c r="E2015" s="2">
        <v>32180</v>
      </c>
      <c r="F2015" s="3">
        <v>15.1</v>
      </c>
      <c r="G2015" s="3">
        <v>952</v>
      </c>
      <c r="H2015" s="3">
        <v>58.4</v>
      </c>
      <c r="I2015" s="3">
        <v>11.8</v>
      </c>
      <c r="J2015" s="3">
        <v>27.8</v>
      </c>
      <c r="K2015" s="3">
        <v>2</v>
      </c>
      <c r="L2015" s="3">
        <v>2.2000000000000002</v>
      </c>
      <c r="M2015" t="str">
        <f>IF(acs2015_county_data[[#This Row],[PublicWork]]&gt;='Описательные характеристики'!$F$5,"да","нет")</f>
        <v>нет</v>
      </c>
      <c r="N2015" t="str">
        <f>IF(acs2015_county_data[[#This Row],[Unemployment]]&gt;='Описательные характеристики'!$I$5,"да","нет")</f>
        <v>нет</v>
      </c>
    </row>
    <row r="2016" spans="1:14" x14ac:dyDescent="0.35">
      <c r="A2016">
        <v>38049</v>
      </c>
      <c r="B2016" t="s">
        <v>1283</v>
      </c>
      <c r="C2016" t="s">
        <v>533</v>
      </c>
      <c r="D2016" s="2">
        <v>5817</v>
      </c>
      <c r="E2016" s="2">
        <v>34169</v>
      </c>
      <c r="F2016" s="3">
        <v>9.6</v>
      </c>
      <c r="G2016" s="3">
        <v>2840</v>
      </c>
      <c r="H2016" s="3">
        <v>66.8</v>
      </c>
      <c r="I2016" s="3">
        <v>13.6</v>
      </c>
      <c r="J2016" s="3">
        <v>19.399999999999999</v>
      </c>
      <c r="K2016" s="3">
        <v>0.2</v>
      </c>
      <c r="L2016" s="3">
        <v>3.1</v>
      </c>
      <c r="M2016" t="str">
        <f>IF(acs2015_county_data[[#This Row],[PublicWork]]&gt;='Описательные характеристики'!$F$5,"да","нет")</f>
        <v>нет</v>
      </c>
      <c r="N2016" t="str">
        <f>IF(acs2015_county_data[[#This Row],[Unemployment]]&gt;='Описательные характеристики'!$I$5,"да","нет")</f>
        <v>нет</v>
      </c>
    </row>
    <row r="2017" spans="1:14" x14ac:dyDescent="0.35">
      <c r="A2017">
        <v>38051</v>
      </c>
      <c r="B2017" t="s">
        <v>1283</v>
      </c>
      <c r="C2017" t="s">
        <v>421</v>
      </c>
      <c r="D2017" s="2">
        <v>2759</v>
      </c>
      <c r="E2017" s="2">
        <v>28735</v>
      </c>
      <c r="F2017" s="3">
        <v>10.4</v>
      </c>
      <c r="G2017" s="3">
        <v>1347</v>
      </c>
      <c r="H2017" s="3">
        <v>62.7</v>
      </c>
      <c r="I2017" s="3">
        <v>16.600000000000001</v>
      </c>
      <c r="J2017" s="3">
        <v>19.5</v>
      </c>
      <c r="K2017" s="3">
        <v>1.1000000000000001</v>
      </c>
      <c r="L2017" s="3">
        <v>1.2</v>
      </c>
      <c r="M2017" t="str">
        <f>IF(acs2015_county_data[[#This Row],[PublicWork]]&gt;='Описательные характеристики'!$F$5,"да","нет")</f>
        <v>да</v>
      </c>
      <c r="N2017" t="str">
        <f>IF(acs2015_county_data[[#This Row],[Unemployment]]&gt;='Описательные характеристики'!$I$5,"да","нет")</f>
        <v>нет</v>
      </c>
    </row>
    <row r="2018" spans="1:14" x14ac:dyDescent="0.35">
      <c r="A2018">
        <v>38053</v>
      </c>
      <c r="B2018" t="s">
        <v>1283</v>
      </c>
      <c r="C2018" t="s">
        <v>1301</v>
      </c>
      <c r="D2018" s="2">
        <v>9615</v>
      </c>
      <c r="E2018" s="2">
        <v>37045</v>
      </c>
      <c r="F2018" s="3">
        <v>5.5</v>
      </c>
      <c r="G2018" s="3">
        <v>4766</v>
      </c>
      <c r="H2018" s="3">
        <v>75.8</v>
      </c>
      <c r="I2018" s="3">
        <v>13.1</v>
      </c>
      <c r="J2018" s="3">
        <v>10.9</v>
      </c>
      <c r="K2018" s="3">
        <v>0.2</v>
      </c>
      <c r="L2018" s="3">
        <v>3</v>
      </c>
      <c r="M2018" t="str">
        <f>IF(acs2015_county_data[[#This Row],[PublicWork]]&gt;='Описательные характеристики'!$F$5,"да","нет")</f>
        <v>нет</v>
      </c>
      <c r="N2018" t="str">
        <f>IF(acs2015_county_data[[#This Row],[Unemployment]]&gt;='Описательные характеристики'!$I$5,"да","нет")</f>
        <v>нет</v>
      </c>
    </row>
    <row r="2019" spans="1:14" x14ac:dyDescent="0.35">
      <c r="A2019">
        <v>38055</v>
      </c>
      <c r="B2019" t="s">
        <v>1283</v>
      </c>
      <c r="C2019" t="s">
        <v>534</v>
      </c>
      <c r="D2019" s="2">
        <v>9451</v>
      </c>
      <c r="E2019" s="2">
        <v>31777</v>
      </c>
      <c r="F2019" s="3">
        <v>9.5</v>
      </c>
      <c r="G2019" s="3">
        <v>4541</v>
      </c>
      <c r="H2019" s="3">
        <v>65.8</v>
      </c>
      <c r="I2019" s="3">
        <v>17.899999999999999</v>
      </c>
      <c r="J2019" s="3">
        <v>15.4</v>
      </c>
      <c r="K2019" s="3">
        <v>0.9</v>
      </c>
      <c r="L2019" s="3">
        <v>1.6</v>
      </c>
      <c r="M2019" t="str">
        <f>IF(acs2015_county_data[[#This Row],[PublicWork]]&gt;='Описательные характеристики'!$F$5,"да","нет")</f>
        <v>да</v>
      </c>
      <c r="N2019" t="str">
        <f>IF(acs2015_county_data[[#This Row],[Unemployment]]&gt;='Описательные характеристики'!$I$5,"да","нет")</f>
        <v>нет</v>
      </c>
    </row>
    <row r="2020" spans="1:14" x14ac:dyDescent="0.35">
      <c r="A2020">
        <v>38057</v>
      </c>
      <c r="B2020" t="s">
        <v>1283</v>
      </c>
      <c r="C2020" t="s">
        <v>539</v>
      </c>
      <c r="D2020" s="2">
        <v>8633</v>
      </c>
      <c r="E2020" s="2">
        <v>31759</v>
      </c>
      <c r="F2020" s="3">
        <v>4.5999999999999996</v>
      </c>
      <c r="G2020" s="3">
        <v>4391</v>
      </c>
      <c r="H2020" s="3">
        <v>80.3</v>
      </c>
      <c r="I2020" s="3">
        <v>13.1</v>
      </c>
      <c r="J2020" s="3">
        <v>6.6</v>
      </c>
      <c r="K2020" s="3">
        <v>0</v>
      </c>
      <c r="L2020" s="3">
        <v>3.2</v>
      </c>
      <c r="M2020" t="str">
        <f>IF(acs2015_county_data[[#This Row],[PublicWork]]&gt;='Описательные характеристики'!$F$5,"да","нет")</f>
        <v>нет</v>
      </c>
      <c r="N2020" t="str">
        <f>IF(acs2015_county_data[[#This Row],[Unemployment]]&gt;='Описательные характеристики'!$I$5,"да","нет")</f>
        <v>нет</v>
      </c>
    </row>
    <row r="2021" spans="1:14" x14ac:dyDescent="0.35">
      <c r="A2021">
        <v>38059</v>
      </c>
      <c r="B2021" t="s">
        <v>1283</v>
      </c>
      <c r="C2021" t="s">
        <v>677</v>
      </c>
      <c r="D2021" s="2">
        <v>28985</v>
      </c>
      <c r="E2021" s="2">
        <v>32614</v>
      </c>
      <c r="F2021" s="3">
        <v>5.0999999999999996</v>
      </c>
      <c r="G2021" s="3">
        <v>16411</v>
      </c>
      <c r="H2021" s="3">
        <v>75.5</v>
      </c>
      <c r="I2021" s="3">
        <v>15.7</v>
      </c>
      <c r="J2021" s="3">
        <v>8.6</v>
      </c>
      <c r="K2021" s="3">
        <v>0.2</v>
      </c>
      <c r="L2021" s="3">
        <v>3.2</v>
      </c>
      <c r="M2021" t="str">
        <f>IF(acs2015_county_data[[#This Row],[PublicWork]]&gt;='Описательные характеристики'!$F$5,"да","нет")</f>
        <v>нет</v>
      </c>
      <c r="N2021" t="str">
        <f>IF(acs2015_county_data[[#This Row],[Unemployment]]&gt;='Описательные характеристики'!$I$5,"да","нет")</f>
        <v>нет</v>
      </c>
    </row>
    <row r="2022" spans="1:14" x14ac:dyDescent="0.35">
      <c r="A2022">
        <v>38061</v>
      </c>
      <c r="B2022" t="s">
        <v>1283</v>
      </c>
      <c r="C2022" t="s">
        <v>1302</v>
      </c>
      <c r="D2022" s="2">
        <v>9253</v>
      </c>
      <c r="E2022" s="2">
        <v>38061</v>
      </c>
      <c r="F2022" s="3">
        <v>6.3</v>
      </c>
      <c r="G2022" s="3">
        <v>4607</v>
      </c>
      <c r="H2022" s="3">
        <v>58.2</v>
      </c>
      <c r="I2022" s="3">
        <v>27.2</v>
      </c>
      <c r="J2022" s="3">
        <v>12.1</v>
      </c>
      <c r="K2022" s="3">
        <v>2.4</v>
      </c>
      <c r="L2022" s="3">
        <v>4.7</v>
      </c>
      <c r="M2022" t="str">
        <f>IF(acs2015_county_data[[#This Row],[PublicWork]]&gt;='Описательные характеристики'!$F$5,"да","нет")</f>
        <v>да</v>
      </c>
      <c r="N2022" t="str">
        <f>IF(acs2015_county_data[[#This Row],[Unemployment]]&gt;='Описательные характеристики'!$I$5,"да","нет")</f>
        <v>нет</v>
      </c>
    </row>
    <row r="2023" spans="1:14" x14ac:dyDescent="0.35">
      <c r="A2023">
        <v>38063</v>
      </c>
      <c r="B2023" t="s">
        <v>1283</v>
      </c>
      <c r="C2023" t="s">
        <v>752</v>
      </c>
      <c r="D2023" s="2">
        <v>3048</v>
      </c>
      <c r="E2023" s="2">
        <v>32259</v>
      </c>
      <c r="F2023" s="3">
        <v>10.199999999999999</v>
      </c>
      <c r="G2023" s="3">
        <v>1554</v>
      </c>
      <c r="H2023" s="3">
        <v>63.4</v>
      </c>
      <c r="I2023" s="3">
        <v>18</v>
      </c>
      <c r="J2023" s="3">
        <v>18.5</v>
      </c>
      <c r="K2023" s="3">
        <v>0.1</v>
      </c>
      <c r="L2023" s="3">
        <v>0.7</v>
      </c>
      <c r="M2023" t="str">
        <f>IF(acs2015_county_data[[#This Row],[PublicWork]]&gt;='Описательные характеристики'!$F$5,"да","нет")</f>
        <v>да</v>
      </c>
      <c r="N2023" t="str">
        <f>IF(acs2015_county_data[[#This Row],[Unemployment]]&gt;='Описательные характеристики'!$I$5,"да","нет")</f>
        <v>нет</v>
      </c>
    </row>
    <row r="2024" spans="1:14" x14ac:dyDescent="0.35">
      <c r="A2024">
        <v>38065</v>
      </c>
      <c r="B2024" t="s">
        <v>1283</v>
      </c>
      <c r="C2024" t="s">
        <v>1303</v>
      </c>
      <c r="D2024" s="2">
        <v>1819</v>
      </c>
      <c r="E2024" s="2">
        <v>32235</v>
      </c>
      <c r="F2024" s="3">
        <v>21.1</v>
      </c>
      <c r="G2024" s="3">
        <v>857</v>
      </c>
      <c r="H2024" s="3">
        <v>60</v>
      </c>
      <c r="I2024" s="3">
        <v>16.3</v>
      </c>
      <c r="J2024" s="3">
        <v>22.6</v>
      </c>
      <c r="K2024" s="3">
        <v>1.1000000000000001</v>
      </c>
      <c r="L2024" s="3">
        <v>3.6</v>
      </c>
      <c r="M2024" t="str">
        <f>IF(acs2015_county_data[[#This Row],[PublicWork]]&gt;='Описательные характеристики'!$F$5,"да","нет")</f>
        <v>да</v>
      </c>
      <c r="N2024" t="str">
        <f>IF(acs2015_county_data[[#This Row],[Unemployment]]&gt;='Описательные характеристики'!$I$5,"да","нет")</f>
        <v>нет</v>
      </c>
    </row>
    <row r="2025" spans="1:14" x14ac:dyDescent="0.35">
      <c r="A2025">
        <v>38067</v>
      </c>
      <c r="B2025" t="s">
        <v>1283</v>
      </c>
      <c r="C2025" t="s">
        <v>1304</v>
      </c>
      <c r="D2025" s="2">
        <v>7206</v>
      </c>
      <c r="E2025" s="2">
        <v>31244</v>
      </c>
      <c r="F2025" s="3">
        <v>4.9000000000000004</v>
      </c>
      <c r="G2025" s="3">
        <v>3694</v>
      </c>
      <c r="H2025" s="3">
        <v>71.900000000000006</v>
      </c>
      <c r="I2025" s="3">
        <v>16.5</v>
      </c>
      <c r="J2025" s="3">
        <v>11.5</v>
      </c>
      <c r="K2025" s="3">
        <v>0.2</v>
      </c>
      <c r="L2025" s="3">
        <v>3.5</v>
      </c>
      <c r="M2025" t="str">
        <f>IF(acs2015_county_data[[#This Row],[PublicWork]]&gt;='Описательные характеристики'!$F$5,"да","нет")</f>
        <v>да</v>
      </c>
      <c r="N2025" t="str">
        <f>IF(acs2015_county_data[[#This Row],[Unemployment]]&gt;='Описательные характеристики'!$I$5,"да","нет")</f>
        <v>нет</v>
      </c>
    </row>
    <row r="2026" spans="1:14" x14ac:dyDescent="0.35">
      <c r="A2026">
        <v>38069</v>
      </c>
      <c r="B2026" t="s">
        <v>1283</v>
      </c>
      <c r="C2026" t="s">
        <v>430</v>
      </c>
      <c r="D2026" s="2">
        <v>4395</v>
      </c>
      <c r="E2026" s="2">
        <v>25029</v>
      </c>
      <c r="F2026" s="3">
        <v>4.9000000000000004</v>
      </c>
      <c r="G2026" s="3">
        <v>2194</v>
      </c>
      <c r="H2026" s="3">
        <v>72.400000000000006</v>
      </c>
      <c r="I2026" s="3">
        <v>8.9</v>
      </c>
      <c r="J2026" s="3">
        <v>18.399999999999999</v>
      </c>
      <c r="K2026" s="3">
        <v>0.3</v>
      </c>
      <c r="L2026" s="3">
        <v>0.9</v>
      </c>
      <c r="M2026" t="str">
        <f>IF(acs2015_county_data[[#This Row],[PublicWork]]&gt;='Описательные характеристики'!$F$5,"да","нет")</f>
        <v>нет</v>
      </c>
      <c r="N2026" t="str">
        <f>IF(acs2015_county_data[[#This Row],[Unemployment]]&gt;='Описательные характеристики'!$I$5,"да","нет")</f>
        <v>нет</v>
      </c>
    </row>
    <row r="2027" spans="1:14" x14ac:dyDescent="0.35">
      <c r="A2027">
        <v>38071</v>
      </c>
      <c r="B2027" t="s">
        <v>1283</v>
      </c>
      <c r="C2027" t="s">
        <v>958</v>
      </c>
      <c r="D2027" s="2">
        <v>11566</v>
      </c>
      <c r="E2027" s="2">
        <v>29006</v>
      </c>
      <c r="F2027" s="3">
        <v>5.9</v>
      </c>
      <c r="G2027" s="3">
        <v>5910</v>
      </c>
      <c r="H2027" s="3">
        <v>73</v>
      </c>
      <c r="I2027" s="3">
        <v>18.2</v>
      </c>
      <c r="J2027" s="3">
        <v>8.5</v>
      </c>
      <c r="K2027" s="3">
        <v>0.3</v>
      </c>
      <c r="L2027" s="3">
        <v>1.2</v>
      </c>
      <c r="M2027" t="str">
        <f>IF(acs2015_county_data[[#This Row],[PublicWork]]&gt;='Описательные характеристики'!$F$5,"да","нет")</f>
        <v>да</v>
      </c>
      <c r="N2027" t="str">
        <f>IF(acs2015_county_data[[#This Row],[Unemployment]]&gt;='Описательные характеристики'!$I$5,"да","нет")</f>
        <v>нет</v>
      </c>
    </row>
    <row r="2028" spans="1:14" x14ac:dyDescent="0.35">
      <c r="A2028">
        <v>38073</v>
      </c>
      <c r="B2028" t="s">
        <v>1283</v>
      </c>
      <c r="C2028" t="s">
        <v>1305</v>
      </c>
      <c r="D2028" s="2">
        <v>5453</v>
      </c>
      <c r="E2028" s="2">
        <v>30779</v>
      </c>
      <c r="F2028" s="3">
        <v>9.6999999999999993</v>
      </c>
      <c r="G2028" s="3">
        <v>2847</v>
      </c>
      <c r="H2028" s="3">
        <v>72.599999999999994</v>
      </c>
      <c r="I2028" s="3">
        <v>14.6</v>
      </c>
      <c r="J2028" s="3">
        <v>12.2</v>
      </c>
      <c r="K2028" s="3">
        <v>0.6</v>
      </c>
      <c r="L2028" s="3">
        <v>2</v>
      </c>
      <c r="M2028" t="str">
        <f>IF(acs2015_county_data[[#This Row],[PublicWork]]&gt;='Описательные характеристики'!$F$5,"да","нет")</f>
        <v>нет</v>
      </c>
      <c r="N2028" t="str">
        <f>IF(acs2015_county_data[[#This Row],[Unemployment]]&gt;='Описательные характеристики'!$I$5,"да","нет")</f>
        <v>нет</v>
      </c>
    </row>
    <row r="2029" spans="1:14" x14ac:dyDescent="0.35">
      <c r="A2029">
        <v>38075</v>
      </c>
      <c r="B2029" t="s">
        <v>1283</v>
      </c>
      <c r="C2029" t="s">
        <v>961</v>
      </c>
      <c r="D2029" s="2">
        <v>2562</v>
      </c>
      <c r="E2029" s="2">
        <v>31281</v>
      </c>
      <c r="F2029" s="3">
        <v>11.7</v>
      </c>
      <c r="G2029" s="3">
        <v>1301</v>
      </c>
      <c r="H2029" s="3">
        <v>63.9</v>
      </c>
      <c r="I2029" s="3">
        <v>18.399999999999999</v>
      </c>
      <c r="J2029" s="3">
        <v>17.3</v>
      </c>
      <c r="K2029" s="3">
        <v>0.5</v>
      </c>
      <c r="L2029" s="3">
        <v>1.6</v>
      </c>
      <c r="M2029" t="str">
        <f>IF(acs2015_county_data[[#This Row],[PublicWork]]&gt;='Описательные характеристики'!$F$5,"да","нет")</f>
        <v>да</v>
      </c>
      <c r="N2029" t="str">
        <f>IF(acs2015_county_data[[#This Row],[Unemployment]]&gt;='Описательные характеристики'!$I$5,"да","нет")</f>
        <v>нет</v>
      </c>
    </row>
    <row r="2030" spans="1:14" x14ac:dyDescent="0.35">
      <c r="A2030">
        <v>38077</v>
      </c>
      <c r="B2030" t="s">
        <v>1283</v>
      </c>
      <c r="C2030" t="s">
        <v>544</v>
      </c>
      <c r="D2030" s="2">
        <v>16317</v>
      </c>
      <c r="E2030" s="2">
        <v>28413</v>
      </c>
      <c r="F2030" s="3">
        <v>5.9</v>
      </c>
      <c r="G2030" s="3">
        <v>8800</v>
      </c>
      <c r="H2030" s="3">
        <v>74.900000000000006</v>
      </c>
      <c r="I2030" s="3">
        <v>15.3</v>
      </c>
      <c r="J2030" s="3">
        <v>9.6999999999999993</v>
      </c>
      <c r="K2030" s="3">
        <v>0.1</v>
      </c>
      <c r="L2030" s="3">
        <v>3</v>
      </c>
      <c r="M2030" t="str">
        <f>IF(acs2015_county_data[[#This Row],[PublicWork]]&gt;='Описательные характеристики'!$F$5,"да","нет")</f>
        <v>нет</v>
      </c>
      <c r="N2030" t="str">
        <f>IF(acs2015_county_data[[#This Row],[Unemployment]]&gt;='Описательные характеристики'!$I$5,"да","нет")</f>
        <v>нет</v>
      </c>
    </row>
    <row r="2031" spans="1:14" x14ac:dyDescent="0.35">
      <c r="A2031">
        <v>38079</v>
      </c>
      <c r="B2031" t="s">
        <v>1283</v>
      </c>
      <c r="C2031" t="s">
        <v>1306</v>
      </c>
      <c r="D2031" s="2">
        <v>14498</v>
      </c>
      <c r="E2031" s="2">
        <v>16706</v>
      </c>
      <c r="F2031" s="3">
        <v>7.6</v>
      </c>
      <c r="G2031" s="3">
        <v>4907</v>
      </c>
      <c r="H2031" s="3">
        <v>44.3</v>
      </c>
      <c r="I2031" s="3">
        <v>46.6</v>
      </c>
      <c r="J2031" s="3">
        <v>8.6999999999999993</v>
      </c>
      <c r="K2031" s="3">
        <v>0.3</v>
      </c>
      <c r="L2031" s="3">
        <v>4.8</v>
      </c>
      <c r="M2031" t="str">
        <f>IF(acs2015_county_data[[#This Row],[PublicWork]]&gt;='Описательные характеристики'!$F$5,"да","нет")</f>
        <v>да</v>
      </c>
      <c r="N2031" t="str">
        <f>IF(acs2015_county_data[[#This Row],[Unemployment]]&gt;='Описательные характеристики'!$I$5,"да","нет")</f>
        <v>нет</v>
      </c>
    </row>
    <row r="2032" spans="1:14" x14ac:dyDescent="0.35">
      <c r="A2032">
        <v>38081</v>
      </c>
      <c r="B2032" t="s">
        <v>1283</v>
      </c>
      <c r="C2032" t="s">
        <v>1307</v>
      </c>
      <c r="D2032" s="2">
        <v>3874</v>
      </c>
      <c r="E2032" s="2">
        <v>32280</v>
      </c>
      <c r="F2032" s="3">
        <v>9</v>
      </c>
      <c r="G2032" s="3">
        <v>2078</v>
      </c>
      <c r="H2032" s="3">
        <v>73.900000000000006</v>
      </c>
      <c r="I2032" s="3">
        <v>13.3</v>
      </c>
      <c r="J2032" s="3">
        <v>11.6</v>
      </c>
      <c r="K2032" s="3">
        <v>1.1000000000000001</v>
      </c>
      <c r="L2032" s="3">
        <v>1.2</v>
      </c>
      <c r="M2032" t="str">
        <f>IF(acs2015_county_data[[#This Row],[PublicWork]]&gt;='Описательные характеристики'!$F$5,"да","нет")</f>
        <v>нет</v>
      </c>
      <c r="N2032" t="str">
        <f>IF(acs2015_county_data[[#This Row],[Unemployment]]&gt;='Описательные характеристики'!$I$5,"да","нет")</f>
        <v>нет</v>
      </c>
    </row>
    <row r="2033" spans="1:14" x14ac:dyDescent="0.35">
      <c r="A2033">
        <v>38083</v>
      </c>
      <c r="B2033" t="s">
        <v>1283</v>
      </c>
      <c r="C2033" t="s">
        <v>696</v>
      </c>
      <c r="D2033" s="2">
        <v>1337</v>
      </c>
      <c r="E2033" s="2">
        <v>32095</v>
      </c>
      <c r="F2033" s="3">
        <v>21.1</v>
      </c>
      <c r="G2033" s="3">
        <v>629</v>
      </c>
      <c r="H2033" s="3">
        <v>59.3</v>
      </c>
      <c r="I2033" s="3">
        <v>13</v>
      </c>
      <c r="J2033" s="3">
        <v>27.2</v>
      </c>
      <c r="K2033" s="3">
        <v>0.5</v>
      </c>
      <c r="L2033" s="3">
        <v>2</v>
      </c>
      <c r="M2033" t="str">
        <f>IF(acs2015_county_data[[#This Row],[PublicWork]]&gt;='Описательные характеристики'!$F$5,"да","нет")</f>
        <v>нет</v>
      </c>
      <c r="N2033" t="str">
        <f>IF(acs2015_county_data[[#This Row],[Unemployment]]&gt;='Описательные характеристики'!$I$5,"да","нет")</f>
        <v>нет</v>
      </c>
    </row>
    <row r="2034" spans="1:14" x14ac:dyDescent="0.35">
      <c r="A2034">
        <v>38085</v>
      </c>
      <c r="B2034" t="s">
        <v>1283</v>
      </c>
      <c r="C2034" t="s">
        <v>636</v>
      </c>
      <c r="D2034" s="2">
        <v>4380</v>
      </c>
      <c r="E2034" s="2">
        <v>15557</v>
      </c>
      <c r="F2034" s="3">
        <v>12</v>
      </c>
      <c r="G2034" s="3">
        <v>1291</v>
      </c>
      <c r="H2034" s="3">
        <v>32.9</v>
      </c>
      <c r="I2034" s="3">
        <v>56.8</v>
      </c>
      <c r="J2034" s="3">
        <v>10.199999999999999</v>
      </c>
      <c r="K2034" s="3">
        <v>0.1</v>
      </c>
      <c r="L2034" s="3">
        <v>20.3</v>
      </c>
      <c r="M2034" t="str">
        <f>IF(acs2015_county_data[[#This Row],[PublicWork]]&gt;='Описательные характеристики'!$F$5,"да","нет")</f>
        <v>да</v>
      </c>
      <c r="N2034" t="str">
        <f>IF(acs2015_county_data[[#This Row],[Unemployment]]&gt;='Описательные характеристики'!$I$5,"да","нет")</f>
        <v>да</v>
      </c>
    </row>
    <row r="2035" spans="1:14" x14ac:dyDescent="0.35">
      <c r="A2035">
        <v>38087</v>
      </c>
      <c r="B2035" t="s">
        <v>1283</v>
      </c>
      <c r="C2035" t="s">
        <v>1308</v>
      </c>
      <c r="D2035" s="2">
        <v>673</v>
      </c>
      <c r="E2035" s="2">
        <v>34597</v>
      </c>
      <c r="F2035" s="3">
        <v>18.600000000000001</v>
      </c>
      <c r="G2035" s="3">
        <v>335</v>
      </c>
      <c r="H2035" s="3">
        <v>56.1</v>
      </c>
      <c r="I2035" s="3">
        <v>15.5</v>
      </c>
      <c r="J2035" s="3">
        <v>27.5</v>
      </c>
      <c r="K2035" s="3">
        <v>0.9</v>
      </c>
      <c r="L2035" s="3">
        <v>0</v>
      </c>
      <c r="M2035" t="str">
        <f>IF(acs2015_county_data[[#This Row],[PublicWork]]&gt;='Описательные характеристики'!$F$5,"да","нет")</f>
        <v>нет</v>
      </c>
      <c r="N2035" t="str">
        <f>IF(acs2015_county_data[[#This Row],[Unemployment]]&gt;='Описательные характеристики'!$I$5,"да","нет")</f>
        <v>нет</v>
      </c>
    </row>
    <row r="2036" spans="1:14" x14ac:dyDescent="0.35">
      <c r="A2036">
        <v>38089</v>
      </c>
      <c r="B2036" t="s">
        <v>1283</v>
      </c>
      <c r="C2036" t="s">
        <v>548</v>
      </c>
      <c r="D2036" s="2">
        <v>28628</v>
      </c>
      <c r="E2036" s="2">
        <v>35114</v>
      </c>
      <c r="F2036" s="3">
        <v>4.5</v>
      </c>
      <c r="G2036" s="3">
        <v>16062</v>
      </c>
      <c r="H2036" s="3">
        <v>77.5</v>
      </c>
      <c r="I2036" s="3">
        <v>13.6</v>
      </c>
      <c r="J2036" s="3">
        <v>8.9</v>
      </c>
      <c r="K2036" s="3">
        <v>0.1</v>
      </c>
      <c r="L2036" s="3">
        <v>2.8</v>
      </c>
      <c r="M2036" t="str">
        <f>IF(acs2015_county_data[[#This Row],[PublicWork]]&gt;='Описательные характеристики'!$F$5,"да","нет")</f>
        <v>нет</v>
      </c>
      <c r="N2036" t="str">
        <f>IF(acs2015_county_data[[#This Row],[Unemployment]]&gt;='Описательные характеристики'!$I$5,"да","нет")</f>
        <v>нет</v>
      </c>
    </row>
    <row r="2037" spans="1:14" x14ac:dyDescent="0.35">
      <c r="A2037">
        <v>38091</v>
      </c>
      <c r="B2037" t="s">
        <v>1283</v>
      </c>
      <c r="C2037" t="s">
        <v>968</v>
      </c>
      <c r="D2037" s="2">
        <v>1979</v>
      </c>
      <c r="E2037" s="2">
        <v>34774</v>
      </c>
      <c r="F2037" s="3">
        <v>9.3000000000000007</v>
      </c>
      <c r="G2037" s="3">
        <v>1035</v>
      </c>
      <c r="H2037" s="3">
        <v>72.8</v>
      </c>
      <c r="I2037" s="3">
        <v>8.5</v>
      </c>
      <c r="J2037" s="3">
        <v>18.100000000000001</v>
      </c>
      <c r="K2037" s="3">
        <v>0.7</v>
      </c>
      <c r="L2037" s="3">
        <v>4</v>
      </c>
      <c r="M2037" t="str">
        <f>IF(acs2015_county_data[[#This Row],[PublicWork]]&gt;='Описательные характеристики'!$F$5,"да","нет")</f>
        <v>нет</v>
      </c>
      <c r="N2037" t="str">
        <f>IF(acs2015_county_data[[#This Row],[Unemployment]]&gt;='Описательные характеристики'!$I$5,"да","нет")</f>
        <v>нет</v>
      </c>
    </row>
    <row r="2038" spans="1:14" x14ac:dyDescent="0.35">
      <c r="A2038">
        <v>38093</v>
      </c>
      <c r="B2038" t="s">
        <v>1283</v>
      </c>
      <c r="C2038" t="s">
        <v>1309</v>
      </c>
      <c r="D2038" s="2">
        <v>21076</v>
      </c>
      <c r="E2038" s="2">
        <v>29490</v>
      </c>
      <c r="F2038" s="3">
        <v>3.7</v>
      </c>
      <c r="G2038" s="3">
        <v>11144</v>
      </c>
      <c r="H2038" s="3">
        <v>75.400000000000006</v>
      </c>
      <c r="I2038" s="3">
        <v>15.8</v>
      </c>
      <c r="J2038" s="3">
        <v>8.1999999999999993</v>
      </c>
      <c r="K2038" s="3">
        <v>0.6</v>
      </c>
      <c r="L2038" s="3">
        <v>2.5</v>
      </c>
      <c r="M2038" t="str">
        <f>IF(acs2015_county_data[[#This Row],[PublicWork]]&gt;='Описательные характеристики'!$F$5,"да","нет")</f>
        <v>нет</v>
      </c>
      <c r="N2038" t="str">
        <f>IF(acs2015_county_data[[#This Row],[Unemployment]]&gt;='Описательные характеристики'!$I$5,"да","нет")</f>
        <v>нет</v>
      </c>
    </row>
    <row r="2039" spans="1:14" x14ac:dyDescent="0.35">
      <c r="A2039">
        <v>38095</v>
      </c>
      <c r="B2039" t="s">
        <v>1283</v>
      </c>
      <c r="C2039" t="s">
        <v>1310</v>
      </c>
      <c r="D2039" s="2">
        <v>2294</v>
      </c>
      <c r="E2039" s="2">
        <v>33277</v>
      </c>
      <c r="F2039" s="3">
        <v>7.8</v>
      </c>
      <c r="G2039" s="3">
        <v>1059</v>
      </c>
      <c r="H2039" s="3">
        <v>56.5</v>
      </c>
      <c r="I2039" s="3">
        <v>15.8</v>
      </c>
      <c r="J2039" s="3">
        <v>26.9</v>
      </c>
      <c r="K2039" s="3">
        <v>0.8</v>
      </c>
      <c r="L2039" s="3">
        <v>2.9</v>
      </c>
      <c r="M2039" t="str">
        <f>IF(acs2015_county_data[[#This Row],[PublicWork]]&gt;='Описательные характеристики'!$F$5,"да","нет")</f>
        <v>нет</v>
      </c>
      <c r="N2039" t="str">
        <f>IF(acs2015_county_data[[#This Row],[Unemployment]]&gt;='Описательные характеристики'!$I$5,"да","нет")</f>
        <v>нет</v>
      </c>
    </row>
    <row r="2040" spans="1:14" x14ac:dyDescent="0.35">
      <c r="A2040">
        <v>38097</v>
      </c>
      <c r="B2040" t="s">
        <v>1283</v>
      </c>
      <c r="C2040" t="s">
        <v>1311</v>
      </c>
      <c r="D2040" s="2">
        <v>8077</v>
      </c>
      <c r="E2040" s="2">
        <v>30213</v>
      </c>
      <c r="F2040" s="3">
        <v>5.0999999999999996</v>
      </c>
      <c r="G2040" s="3">
        <v>4085</v>
      </c>
      <c r="H2040" s="3">
        <v>72.3</v>
      </c>
      <c r="I2040" s="3">
        <v>19.2</v>
      </c>
      <c r="J2040" s="3">
        <v>8.4</v>
      </c>
      <c r="K2040" s="3">
        <v>0.2</v>
      </c>
      <c r="L2040" s="3">
        <v>2.7</v>
      </c>
      <c r="M2040" t="str">
        <f>IF(acs2015_county_data[[#This Row],[PublicWork]]&gt;='Описательные характеристики'!$F$5,"да","нет")</f>
        <v>да</v>
      </c>
      <c r="N2040" t="str">
        <f>IF(acs2015_county_data[[#This Row],[Unemployment]]&gt;='Описательные характеристики'!$I$5,"да","нет")</f>
        <v>нет</v>
      </c>
    </row>
    <row r="2041" spans="1:14" x14ac:dyDescent="0.35">
      <c r="A2041">
        <v>38099</v>
      </c>
      <c r="B2041" t="s">
        <v>1283</v>
      </c>
      <c r="C2041" t="s">
        <v>1312</v>
      </c>
      <c r="D2041" s="2">
        <v>11005</v>
      </c>
      <c r="E2041" s="2">
        <v>30154</v>
      </c>
      <c r="F2041" s="3">
        <v>5.4</v>
      </c>
      <c r="G2041" s="3">
        <v>5457</v>
      </c>
      <c r="H2041" s="3">
        <v>73.5</v>
      </c>
      <c r="I2041" s="3">
        <v>15</v>
      </c>
      <c r="J2041" s="3">
        <v>11.1</v>
      </c>
      <c r="K2041" s="3">
        <v>0.4</v>
      </c>
      <c r="L2041" s="3">
        <v>3.3</v>
      </c>
      <c r="M2041" t="str">
        <f>IF(acs2015_county_data[[#This Row],[PublicWork]]&gt;='Описательные характеристики'!$F$5,"да","нет")</f>
        <v>нет</v>
      </c>
      <c r="N2041" t="str">
        <f>IF(acs2015_county_data[[#This Row],[Unemployment]]&gt;='Описательные характеристики'!$I$5,"да","нет")</f>
        <v>нет</v>
      </c>
    </row>
    <row r="2042" spans="1:14" x14ac:dyDescent="0.35">
      <c r="A2042">
        <v>38101</v>
      </c>
      <c r="B2042" t="s">
        <v>1283</v>
      </c>
      <c r="D2042" s="2">
        <v>67736</v>
      </c>
      <c r="E2042" s="2">
        <v>31215</v>
      </c>
      <c r="F2042" s="3">
        <v>3.1</v>
      </c>
      <c r="G2042" s="3">
        <v>35580</v>
      </c>
      <c r="H2042" s="3">
        <v>76.8</v>
      </c>
      <c r="I2042" s="3">
        <v>16.7</v>
      </c>
      <c r="J2042" s="3">
        <v>6.4</v>
      </c>
      <c r="K2042" s="3">
        <v>0.1</v>
      </c>
      <c r="L2042" s="3">
        <v>2.6</v>
      </c>
      <c r="M2042" t="str">
        <f>IF(acs2015_county_data[[#This Row],[PublicWork]]&gt;='Описательные характеристики'!$F$5,"да","нет")</f>
        <v>да</v>
      </c>
      <c r="N2042" t="str">
        <f>IF(acs2015_county_data[[#This Row],[Unemployment]]&gt;='Описательные характеристики'!$I$5,"да","нет")</f>
        <v>нет</v>
      </c>
    </row>
    <row r="2043" spans="1:14" x14ac:dyDescent="0.35">
      <c r="A2043">
        <v>38103</v>
      </c>
      <c r="B2043" t="s">
        <v>1283</v>
      </c>
      <c r="C2043" t="s">
        <v>1314</v>
      </c>
      <c r="D2043" s="2">
        <v>4204</v>
      </c>
      <c r="E2043" s="2">
        <v>30514</v>
      </c>
      <c r="F2043" s="3">
        <v>13.1</v>
      </c>
      <c r="G2043" s="3">
        <v>2055</v>
      </c>
      <c r="H2043" s="3">
        <v>67.8</v>
      </c>
      <c r="I2043" s="3">
        <v>15.6</v>
      </c>
      <c r="J2043" s="3">
        <v>16.100000000000001</v>
      </c>
      <c r="K2043" s="3">
        <v>0.5</v>
      </c>
      <c r="L2043" s="3">
        <v>1.3</v>
      </c>
      <c r="M2043" t="str">
        <f>IF(acs2015_county_data[[#This Row],[PublicWork]]&gt;='Описательные характеристики'!$F$5,"да","нет")</f>
        <v>нет</v>
      </c>
      <c r="N2043" t="str">
        <f>IF(acs2015_county_data[[#This Row],[Unemployment]]&gt;='Описательные характеристики'!$I$5,"да","нет")</f>
        <v>нет</v>
      </c>
    </row>
    <row r="2044" spans="1:14" x14ac:dyDescent="0.35">
      <c r="A2044">
        <v>38105</v>
      </c>
      <c r="B2044" t="s">
        <v>1283</v>
      </c>
      <c r="C2044" t="s">
        <v>1315</v>
      </c>
      <c r="D2044" s="2">
        <v>29619</v>
      </c>
      <c r="E2044" s="2">
        <v>43946</v>
      </c>
      <c r="F2044" s="3">
        <v>3.9</v>
      </c>
      <c r="G2044" s="3">
        <v>16193</v>
      </c>
      <c r="H2044" s="3">
        <v>78.3</v>
      </c>
      <c r="I2044" s="3">
        <v>11.2</v>
      </c>
      <c r="J2044" s="3">
        <v>10.3</v>
      </c>
      <c r="K2044" s="3">
        <v>0.2</v>
      </c>
      <c r="L2044" s="3">
        <v>1.7</v>
      </c>
      <c r="M2044" t="str">
        <f>IF(acs2015_county_data[[#This Row],[PublicWork]]&gt;='Описательные характеристики'!$F$5,"да","нет")</f>
        <v>нет</v>
      </c>
      <c r="N2044" t="str">
        <f>IF(acs2015_county_data[[#This Row],[Unemployment]]&gt;='Описательные характеристики'!$I$5,"да","нет")</f>
        <v>нет</v>
      </c>
    </row>
    <row r="2045" spans="1:14" x14ac:dyDescent="0.35">
      <c r="A2045">
        <v>39001</v>
      </c>
      <c r="B2045" t="s">
        <v>578</v>
      </c>
      <c r="C2045" t="s">
        <v>237</v>
      </c>
      <c r="D2045" s="2">
        <v>28229</v>
      </c>
      <c r="E2045" s="2">
        <v>18556</v>
      </c>
      <c r="F2045" s="3">
        <v>4.4000000000000004</v>
      </c>
      <c r="G2045" s="3">
        <v>10135</v>
      </c>
      <c r="H2045" s="3">
        <v>81.400000000000006</v>
      </c>
      <c r="I2045" s="3">
        <v>12.3</v>
      </c>
      <c r="J2045" s="3">
        <v>6</v>
      </c>
      <c r="K2045" s="3">
        <v>0.3</v>
      </c>
      <c r="L2045" s="3">
        <v>13.4</v>
      </c>
      <c r="M2045" t="str">
        <f>IF(acs2015_county_data[[#This Row],[PublicWork]]&gt;='Описательные характеристики'!$F$5,"да","нет")</f>
        <v>нет</v>
      </c>
      <c r="N2045" t="str">
        <f>IF(acs2015_county_data[[#This Row],[Unemployment]]&gt;='Описательные характеристики'!$I$5,"да","нет")</f>
        <v>да</v>
      </c>
    </row>
    <row r="2046" spans="1:14" x14ac:dyDescent="0.35">
      <c r="A2046">
        <v>39003</v>
      </c>
      <c r="B2046" t="s">
        <v>578</v>
      </c>
      <c r="C2046" t="s">
        <v>559</v>
      </c>
      <c r="D2046" s="2">
        <v>105196</v>
      </c>
      <c r="E2046" s="2">
        <v>22922</v>
      </c>
      <c r="F2046" s="3">
        <v>1.7</v>
      </c>
      <c r="G2046" s="3">
        <v>47604</v>
      </c>
      <c r="H2046" s="3">
        <v>85.2</v>
      </c>
      <c r="I2046" s="3">
        <v>10.5</v>
      </c>
      <c r="J2046" s="3">
        <v>4.0999999999999996</v>
      </c>
      <c r="K2046" s="3">
        <v>0.2</v>
      </c>
      <c r="L2046" s="3">
        <v>9.1999999999999993</v>
      </c>
      <c r="M2046" t="str">
        <f>IF(acs2015_county_data[[#This Row],[PublicWork]]&gt;='Описательные характеристики'!$F$5,"да","нет")</f>
        <v>нет</v>
      </c>
      <c r="N2046" t="str">
        <f>IF(acs2015_county_data[[#This Row],[Unemployment]]&gt;='Описательные характеристики'!$I$5,"да","нет")</f>
        <v>да</v>
      </c>
    </row>
    <row r="2047" spans="1:14" x14ac:dyDescent="0.35">
      <c r="A2047">
        <v>39005</v>
      </c>
      <c r="B2047" t="s">
        <v>578</v>
      </c>
      <c r="C2047" t="s">
        <v>1316</v>
      </c>
      <c r="D2047" s="2">
        <v>53189</v>
      </c>
      <c r="E2047" s="2">
        <v>22928</v>
      </c>
      <c r="F2047" s="3">
        <v>2.9</v>
      </c>
      <c r="G2047" s="3">
        <v>24172</v>
      </c>
      <c r="H2047" s="3">
        <v>84.2</v>
      </c>
      <c r="I2047" s="3">
        <v>10.9</v>
      </c>
      <c r="J2047" s="3">
        <v>4.4000000000000004</v>
      </c>
      <c r="K2047" s="3">
        <v>0.5</v>
      </c>
      <c r="L2047" s="3">
        <v>7.8</v>
      </c>
      <c r="M2047" t="str">
        <f>IF(acs2015_county_data[[#This Row],[PublicWork]]&gt;='Описательные характеристики'!$F$5,"да","нет")</f>
        <v>нет</v>
      </c>
      <c r="N2047" t="str">
        <f>IF(acs2015_county_data[[#This Row],[Unemployment]]&gt;='Описательные характеристики'!$I$5,"да","нет")</f>
        <v>да</v>
      </c>
    </row>
    <row r="2048" spans="1:14" x14ac:dyDescent="0.35">
      <c r="A2048">
        <v>39007</v>
      </c>
      <c r="B2048" t="s">
        <v>578</v>
      </c>
      <c r="C2048" t="s">
        <v>1317</v>
      </c>
      <c r="D2048" s="2">
        <v>99777</v>
      </c>
      <c r="E2048" s="2">
        <v>20378</v>
      </c>
      <c r="F2048" s="3">
        <v>3.1</v>
      </c>
      <c r="G2048" s="3">
        <v>40422</v>
      </c>
      <c r="H2048" s="3">
        <v>84.5</v>
      </c>
      <c r="I2048" s="3">
        <v>10.4</v>
      </c>
      <c r="J2048" s="3">
        <v>5</v>
      </c>
      <c r="K2048" s="3">
        <v>0.1</v>
      </c>
      <c r="L2048" s="3">
        <v>8.9</v>
      </c>
      <c r="M2048" t="str">
        <f>IF(acs2015_county_data[[#This Row],[PublicWork]]&gt;='Описательные характеристики'!$F$5,"да","нет")</f>
        <v>нет</v>
      </c>
      <c r="N2048" t="str">
        <f>IF(acs2015_county_data[[#This Row],[Unemployment]]&gt;='Описательные характеристики'!$I$5,"да","нет")</f>
        <v>да</v>
      </c>
    </row>
    <row r="2049" spans="1:14" x14ac:dyDescent="0.35">
      <c r="A2049">
        <v>39009</v>
      </c>
      <c r="B2049" t="s">
        <v>578</v>
      </c>
      <c r="C2049" t="s">
        <v>1318</v>
      </c>
      <c r="D2049" s="2">
        <v>64974</v>
      </c>
      <c r="E2049" s="2">
        <v>17868</v>
      </c>
      <c r="F2049" s="3">
        <v>4.5</v>
      </c>
      <c r="G2049" s="3">
        <v>26794</v>
      </c>
      <c r="H2049" s="3">
        <v>63.9</v>
      </c>
      <c r="I2049" s="3">
        <v>31.3</v>
      </c>
      <c r="J2049" s="3">
        <v>4.5</v>
      </c>
      <c r="K2049" s="3">
        <v>0.3</v>
      </c>
      <c r="L2049" s="3">
        <v>10.9</v>
      </c>
      <c r="M2049" t="str">
        <f>IF(acs2015_county_data[[#This Row],[PublicWork]]&gt;='Описательные характеристики'!$F$5,"да","нет")</f>
        <v>да</v>
      </c>
      <c r="N2049" t="str">
        <f>IF(acs2015_county_data[[#This Row],[Unemployment]]&gt;='Описательные характеристики'!$I$5,"да","нет")</f>
        <v>да</v>
      </c>
    </row>
    <row r="2050" spans="1:14" x14ac:dyDescent="0.35">
      <c r="A2050">
        <v>39011</v>
      </c>
      <c r="B2050" t="s">
        <v>578</v>
      </c>
      <c r="C2050" t="s">
        <v>1319</v>
      </c>
      <c r="D2050" s="2">
        <v>45873</v>
      </c>
      <c r="E2050" s="2">
        <v>25727</v>
      </c>
      <c r="F2050" s="3">
        <v>2.6</v>
      </c>
      <c r="G2050" s="3">
        <v>22719</v>
      </c>
      <c r="H2050" s="3">
        <v>84.3</v>
      </c>
      <c r="I2050" s="3">
        <v>10.6</v>
      </c>
      <c r="J2050" s="3">
        <v>4.9000000000000004</v>
      </c>
      <c r="K2050" s="3">
        <v>0.1</v>
      </c>
      <c r="L2050" s="3">
        <v>5</v>
      </c>
      <c r="M2050" t="str">
        <f>IF(acs2015_county_data[[#This Row],[PublicWork]]&gt;='Описательные характеристики'!$F$5,"да","нет")</f>
        <v>нет</v>
      </c>
      <c r="N2050" t="str">
        <f>IF(acs2015_county_data[[#This Row],[Unemployment]]&gt;='Описательные характеристики'!$I$5,"да","нет")</f>
        <v>нет</v>
      </c>
    </row>
    <row r="2051" spans="1:14" x14ac:dyDescent="0.35">
      <c r="A2051">
        <v>39013</v>
      </c>
      <c r="B2051" t="s">
        <v>578</v>
      </c>
      <c r="C2051" t="s">
        <v>1320</v>
      </c>
      <c r="D2051" s="2">
        <v>69560</v>
      </c>
      <c r="E2051" s="2">
        <v>23684</v>
      </c>
      <c r="F2051" s="3">
        <v>1.9</v>
      </c>
      <c r="G2051" s="3">
        <v>29728</v>
      </c>
      <c r="H2051" s="3">
        <v>82.2</v>
      </c>
      <c r="I2051" s="3">
        <v>13.9</v>
      </c>
      <c r="J2051" s="3">
        <v>3.8</v>
      </c>
      <c r="K2051" s="3">
        <v>0.1</v>
      </c>
      <c r="L2051" s="3">
        <v>8.5</v>
      </c>
      <c r="M2051" t="str">
        <f>IF(acs2015_county_data[[#This Row],[PublicWork]]&gt;='Описательные характеристики'!$F$5,"да","нет")</f>
        <v>нет</v>
      </c>
      <c r="N2051" t="str">
        <f>IF(acs2015_county_data[[#This Row],[Unemployment]]&gt;='Описательные характеристики'!$I$5,"да","нет")</f>
        <v>да</v>
      </c>
    </row>
    <row r="2052" spans="1:14" x14ac:dyDescent="0.35">
      <c r="A2052">
        <v>39015</v>
      </c>
      <c r="B2052" t="s">
        <v>578</v>
      </c>
      <c r="C2052" t="s">
        <v>506</v>
      </c>
      <c r="D2052" s="2">
        <v>44247</v>
      </c>
      <c r="E2052" s="2">
        <v>22133</v>
      </c>
      <c r="F2052" s="3">
        <v>5.2</v>
      </c>
      <c r="G2052" s="3">
        <v>18693</v>
      </c>
      <c r="H2052" s="3">
        <v>78.2</v>
      </c>
      <c r="I2052" s="3">
        <v>13.3</v>
      </c>
      <c r="J2052" s="3">
        <v>8.1999999999999993</v>
      </c>
      <c r="K2052" s="3">
        <v>0.3</v>
      </c>
      <c r="L2052" s="3">
        <v>9.9</v>
      </c>
      <c r="M2052" t="str">
        <f>IF(acs2015_county_data[[#This Row],[PublicWork]]&gt;='Описательные характеристики'!$F$5,"да","нет")</f>
        <v>нет</v>
      </c>
      <c r="N2052" t="str">
        <f>IF(acs2015_county_data[[#This Row],[Unemployment]]&gt;='Описательные характеристики'!$I$5,"да","нет")</f>
        <v>да</v>
      </c>
    </row>
    <row r="2053" spans="1:14" x14ac:dyDescent="0.35">
      <c r="A2053">
        <v>39017</v>
      </c>
      <c r="B2053" t="s">
        <v>578</v>
      </c>
      <c r="C2053" t="s">
        <v>21</v>
      </c>
      <c r="D2053" s="2">
        <v>372538</v>
      </c>
      <c r="E2053" s="2">
        <v>27490</v>
      </c>
      <c r="F2053" s="3">
        <v>3.5</v>
      </c>
      <c r="G2053" s="3">
        <v>176782</v>
      </c>
      <c r="H2053" s="3">
        <v>84.6</v>
      </c>
      <c r="I2053" s="3">
        <v>11</v>
      </c>
      <c r="J2053" s="3">
        <v>4.3</v>
      </c>
      <c r="K2053" s="3">
        <v>0.1</v>
      </c>
      <c r="L2053" s="3">
        <v>7.2</v>
      </c>
      <c r="M2053" t="str">
        <f>IF(acs2015_county_data[[#This Row],[PublicWork]]&gt;='Описательные характеристики'!$F$5,"да","нет")</f>
        <v>нет</v>
      </c>
      <c r="N2053" t="str">
        <f>IF(acs2015_county_data[[#This Row],[Unemployment]]&gt;='Описательные характеристики'!$I$5,"да","нет")</f>
        <v>нет</v>
      </c>
    </row>
    <row r="2054" spans="1:14" x14ac:dyDescent="0.35">
      <c r="A2054">
        <v>39019</v>
      </c>
      <c r="B2054" t="s">
        <v>578</v>
      </c>
      <c r="C2054" t="s">
        <v>129</v>
      </c>
      <c r="D2054" s="2">
        <v>28361</v>
      </c>
      <c r="E2054" s="2">
        <v>23706</v>
      </c>
      <c r="F2054" s="3">
        <v>4.7</v>
      </c>
      <c r="G2054" s="3">
        <v>12657</v>
      </c>
      <c r="H2054" s="3">
        <v>81.3</v>
      </c>
      <c r="I2054" s="3">
        <v>9.6</v>
      </c>
      <c r="J2054" s="3">
        <v>8.8000000000000007</v>
      </c>
      <c r="K2054" s="3">
        <v>0.3</v>
      </c>
      <c r="L2054" s="3">
        <v>7.1</v>
      </c>
      <c r="M2054" t="str">
        <f>IF(acs2015_county_data[[#This Row],[PublicWork]]&gt;='Описательные характеристики'!$F$5,"да","нет")</f>
        <v>нет</v>
      </c>
      <c r="N2054" t="str">
        <f>IF(acs2015_county_data[[#This Row],[Unemployment]]&gt;='Описательные характеристики'!$I$5,"да","нет")</f>
        <v>нет</v>
      </c>
    </row>
    <row r="2055" spans="1:14" x14ac:dyDescent="0.35">
      <c r="A2055">
        <v>39021</v>
      </c>
      <c r="B2055" t="s">
        <v>578</v>
      </c>
      <c r="C2055" t="s">
        <v>509</v>
      </c>
      <c r="D2055" s="2">
        <v>39393</v>
      </c>
      <c r="E2055" s="2">
        <v>23513</v>
      </c>
      <c r="F2055" s="3">
        <v>2.5</v>
      </c>
      <c r="G2055" s="3">
        <v>18230</v>
      </c>
      <c r="H2055" s="3">
        <v>81</v>
      </c>
      <c r="I2055" s="3">
        <v>13.1</v>
      </c>
      <c r="J2055" s="3">
        <v>5.9</v>
      </c>
      <c r="K2055" s="3">
        <v>0</v>
      </c>
      <c r="L2055" s="3">
        <v>9.1</v>
      </c>
      <c r="M2055" t="str">
        <f>IF(acs2015_county_data[[#This Row],[PublicWork]]&gt;='Описательные характеристики'!$F$5,"да","нет")</f>
        <v>нет</v>
      </c>
      <c r="N2055" t="str">
        <f>IF(acs2015_county_data[[#This Row],[Unemployment]]&gt;='Описательные характеристики'!$I$5,"да","нет")</f>
        <v>да</v>
      </c>
    </row>
    <row r="2056" spans="1:14" x14ac:dyDescent="0.35">
      <c r="A2056">
        <v>39023</v>
      </c>
      <c r="B2056" t="s">
        <v>578</v>
      </c>
      <c r="C2056" t="s">
        <v>131</v>
      </c>
      <c r="D2056" s="2">
        <v>136827</v>
      </c>
      <c r="E2056" s="2">
        <v>23445</v>
      </c>
      <c r="F2056" s="3">
        <v>3.3</v>
      </c>
      <c r="G2056" s="3">
        <v>59111</v>
      </c>
      <c r="H2056" s="3">
        <v>81.5</v>
      </c>
      <c r="I2056" s="3">
        <v>12.8</v>
      </c>
      <c r="J2056" s="3">
        <v>5.4</v>
      </c>
      <c r="K2056" s="3">
        <v>0.2</v>
      </c>
      <c r="L2056" s="3">
        <v>10</v>
      </c>
      <c r="M2056" t="str">
        <f>IF(acs2015_county_data[[#This Row],[PublicWork]]&gt;='Описательные характеристики'!$F$5,"да","нет")</f>
        <v>нет</v>
      </c>
      <c r="N2056" t="str">
        <f>IF(acs2015_county_data[[#This Row],[Unemployment]]&gt;='Описательные характеристики'!$I$5,"да","нет")</f>
        <v>да</v>
      </c>
    </row>
    <row r="2057" spans="1:14" x14ac:dyDescent="0.35">
      <c r="A2057">
        <v>39025</v>
      </c>
      <c r="B2057" t="s">
        <v>578</v>
      </c>
      <c r="C2057" t="s">
        <v>1321</v>
      </c>
      <c r="D2057" s="2">
        <v>200285</v>
      </c>
      <c r="E2057" s="2">
        <v>29288</v>
      </c>
      <c r="F2057" s="3">
        <v>4.8</v>
      </c>
      <c r="G2057" s="3">
        <v>97207</v>
      </c>
      <c r="H2057" s="3">
        <v>85.6</v>
      </c>
      <c r="I2057" s="3">
        <v>9.1999999999999993</v>
      </c>
      <c r="J2057" s="3">
        <v>5.0999999999999996</v>
      </c>
      <c r="K2057" s="3">
        <v>0.1</v>
      </c>
      <c r="L2057" s="3">
        <v>5.5</v>
      </c>
      <c r="M2057" t="str">
        <f>IF(acs2015_county_data[[#This Row],[PublicWork]]&gt;='Описательные характеристики'!$F$5,"да","нет")</f>
        <v>нет</v>
      </c>
      <c r="N2057" t="str">
        <f>IF(acs2015_county_data[[#This Row],[Unemployment]]&gt;='Описательные характеристики'!$I$5,"да","нет")</f>
        <v>нет</v>
      </c>
    </row>
    <row r="2058" spans="1:14" x14ac:dyDescent="0.35">
      <c r="A2058">
        <v>39027</v>
      </c>
      <c r="B2058" t="s">
        <v>578</v>
      </c>
      <c r="C2058" t="s">
        <v>511</v>
      </c>
      <c r="D2058" s="2">
        <v>41892</v>
      </c>
      <c r="E2058" s="2">
        <v>23039</v>
      </c>
      <c r="F2058" s="3">
        <v>3.5</v>
      </c>
      <c r="G2058" s="3">
        <v>18460</v>
      </c>
      <c r="H2058" s="3">
        <v>82</v>
      </c>
      <c r="I2058" s="3">
        <v>12</v>
      </c>
      <c r="J2058" s="3">
        <v>5.7</v>
      </c>
      <c r="K2058" s="3">
        <v>0.3</v>
      </c>
      <c r="L2058" s="3">
        <v>9.1999999999999993</v>
      </c>
      <c r="M2058" t="str">
        <f>IF(acs2015_county_data[[#This Row],[PublicWork]]&gt;='Описательные характеристики'!$F$5,"да","нет")</f>
        <v>нет</v>
      </c>
      <c r="N2058" t="str">
        <f>IF(acs2015_county_data[[#This Row],[Unemployment]]&gt;='Описательные характеристики'!$I$5,"да","нет")</f>
        <v>да</v>
      </c>
    </row>
    <row r="2059" spans="1:14" x14ac:dyDescent="0.35">
      <c r="A2059">
        <v>39029</v>
      </c>
      <c r="B2059" t="s">
        <v>578</v>
      </c>
      <c r="C2059" t="s">
        <v>1322</v>
      </c>
      <c r="D2059" s="2">
        <v>105987</v>
      </c>
      <c r="E2059" s="2">
        <v>23348</v>
      </c>
      <c r="F2059" s="3">
        <v>2.8</v>
      </c>
      <c r="G2059" s="3">
        <v>46577</v>
      </c>
      <c r="H2059" s="3">
        <v>82.9</v>
      </c>
      <c r="I2059" s="3">
        <v>10.6</v>
      </c>
      <c r="J2059" s="3">
        <v>6.4</v>
      </c>
      <c r="K2059" s="3">
        <v>0.1</v>
      </c>
      <c r="L2059" s="3">
        <v>9</v>
      </c>
      <c r="M2059" t="str">
        <f>IF(acs2015_county_data[[#This Row],[PublicWork]]&gt;='Описательные характеристики'!$F$5,"да","нет")</f>
        <v>нет</v>
      </c>
      <c r="N2059" t="str">
        <f>IF(acs2015_county_data[[#This Row],[Unemployment]]&gt;='Описательные характеристики'!$I$5,"да","нет")</f>
        <v>да</v>
      </c>
    </row>
    <row r="2060" spans="1:14" x14ac:dyDescent="0.35">
      <c r="A2060">
        <v>39031</v>
      </c>
      <c r="B2060" t="s">
        <v>578</v>
      </c>
      <c r="C2060" t="s">
        <v>1323</v>
      </c>
      <c r="D2060" s="2">
        <v>36724</v>
      </c>
      <c r="E2060" s="2">
        <v>20713</v>
      </c>
      <c r="F2060" s="3">
        <v>5.2</v>
      </c>
      <c r="G2060" s="3">
        <v>15576</v>
      </c>
      <c r="H2060" s="3">
        <v>81.5</v>
      </c>
      <c r="I2060" s="3">
        <v>10.7</v>
      </c>
      <c r="J2060" s="3">
        <v>7.2</v>
      </c>
      <c r="K2060" s="3">
        <v>0.7</v>
      </c>
      <c r="L2060" s="3">
        <v>7.8</v>
      </c>
      <c r="M2060" t="str">
        <f>IF(acs2015_county_data[[#This Row],[PublicWork]]&gt;='Описательные характеристики'!$F$5,"да","нет")</f>
        <v>нет</v>
      </c>
      <c r="N2060" t="str">
        <f>IF(acs2015_county_data[[#This Row],[Unemployment]]&gt;='Описательные характеристики'!$I$5,"да","нет")</f>
        <v>да</v>
      </c>
    </row>
    <row r="2061" spans="1:14" x14ac:dyDescent="0.35">
      <c r="A2061">
        <v>39033</v>
      </c>
      <c r="B2061" t="s">
        <v>578</v>
      </c>
      <c r="C2061" t="s">
        <v>136</v>
      </c>
      <c r="D2061" s="2">
        <v>42725</v>
      </c>
      <c r="E2061" s="2">
        <v>22499</v>
      </c>
      <c r="F2061" s="3">
        <v>2.1</v>
      </c>
      <c r="G2061" s="3">
        <v>18142</v>
      </c>
      <c r="H2061" s="3">
        <v>82.8</v>
      </c>
      <c r="I2061" s="3">
        <v>11.6</v>
      </c>
      <c r="J2061" s="3">
        <v>5.5</v>
      </c>
      <c r="K2061" s="3">
        <v>0</v>
      </c>
      <c r="L2061" s="3">
        <v>8.1</v>
      </c>
      <c r="M2061" t="str">
        <f>IF(acs2015_county_data[[#This Row],[PublicWork]]&gt;='Описательные характеристики'!$F$5,"да","нет")</f>
        <v>нет</v>
      </c>
      <c r="N2061" t="str">
        <f>IF(acs2015_county_data[[#This Row],[Unemployment]]&gt;='Описательные характеристики'!$I$5,"да","нет")</f>
        <v>да</v>
      </c>
    </row>
    <row r="2062" spans="1:14" x14ac:dyDescent="0.35">
      <c r="A2062">
        <v>39035</v>
      </c>
      <c r="B2062" t="s">
        <v>578</v>
      </c>
      <c r="C2062" t="s">
        <v>1324</v>
      </c>
      <c r="D2062" s="2">
        <v>1263189</v>
      </c>
      <c r="E2062" s="2">
        <v>28215</v>
      </c>
      <c r="F2062" s="3">
        <v>3.5</v>
      </c>
      <c r="G2062" s="3">
        <v>576603</v>
      </c>
      <c r="H2062" s="3">
        <v>83.1</v>
      </c>
      <c r="I2062" s="3">
        <v>12.6</v>
      </c>
      <c r="J2062" s="3">
        <v>4.2</v>
      </c>
      <c r="K2062" s="3">
        <v>0.1</v>
      </c>
      <c r="L2062" s="3">
        <v>10.6</v>
      </c>
      <c r="M2062" t="str">
        <f>IF(acs2015_county_data[[#This Row],[PublicWork]]&gt;='Описательные характеристики'!$F$5,"да","нет")</f>
        <v>нет</v>
      </c>
      <c r="N2062" t="str">
        <f>IF(acs2015_county_data[[#This Row],[Unemployment]]&gt;='Описательные характеристики'!$I$5,"да","нет")</f>
        <v>да</v>
      </c>
    </row>
    <row r="2063" spans="1:14" x14ac:dyDescent="0.35">
      <c r="A2063">
        <v>39037</v>
      </c>
      <c r="B2063" t="s">
        <v>578</v>
      </c>
      <c r="C2063" t="s">
        <v>1325</v>
      </c>
      <c r="D2063" s="2">
        <v>52356</v>
      </c>
      <c r="E2063" s="2">
        <v>22832</v>
      </c>
      <c r="F2063" s="3">
        <v>4.4000000000000004</v>
      </c>
      <c r="G2063" s="3">
        <v>23751</v>
      </c>
      <c r="H2063" s="3">
        <v>82.6</v>
      </c>
      <c r="I2063" s="3">
        <v>9.6</v>
      </c>
      <c r="J2063" s="3">
        <v>7.4</v>
      </c>
      <c r="K2063" s="3">
        <v>0.5</v>
      </c>
      <c r="L2063" s="3">
        <v>7.6</v>
      </c>
      <c r="M2063" t="str">
        <f>IF(acs2015_county_data[[#This Row],[PublicWork]]&gt;='Описательные характеристики'!$F$5,"да","нет")</f>
        <v>нет</v>
      </c>
      <c r="N2063" t="str">
        <f>IF(acs2015_county_data[[#This Row],[Unemployment]]&gt;='Описательные характеристики'!$I$5,"да","нет")</f>
        <v>да</v>
      </c>
    </row>
    <row r="2064" spans="1:14" x14ac:dyDescent="0.35">
      <c r="A2064">
        <v>39039</v>
      </c>
      <c r="B2064" t="s">
        <v>578</v>
      </c>
      <c r="C2064" t="s">
        <v>1326</v>
      </c>
      <c r="D2064" s="2">
        <v>38669</v>
      </c>
      <c r="E2064" s="2">
        <v>24143</v>
      </c>
      <c r="F2064" s="3">
        <v>2.2999999999999998</v>
      </c>
      <c r="G2064" s="3">
        <v>18092</v>
      </c>
      <c r="H2064" s="3">
        <v>83.5</v>
      </c>
      <c r="I2064" s="3">
        <v>11.1</v>
      </c>
      <c r="J2064" s="3">
        <v>5.3</v>
      </c>
      <c r="K2064" s="3">
        <v>0.1</v>
      </c>
      <c r="L2064" s="3">
        <v>8.4</v>
      </c>
      <c r="M2064" t="str">
        <f>IF(acs2015_county_data[[#This Row],[PublicWork]]&gt;='Описательные характеристики'!$F$5,"да","нет")</f>
        <v>нет</v>
      </c>
      <c r="N2064" t="str">
        <f>IF(acs2015_county_data[[#This Row],[Unemployment]]&gt;='Описательные характеристики'!$I$5,"да","нет")</f>
        <v>да</v>
      </c>
    </row>
    <row r="2065" spans="1:14" x14ac:dyDescent="0.35">
      <c r="A2065">
        <v>39041</v>
      </c>
      <c r="B2065" t="s">
        <v>578</v>
      </c>
      <c r="C2065" t="s">
        <v>300</v>
      </c>
      <c r="D2065" s="2">
        <v>185433</v>
      </c>
      <c r="E2065" s="2">
        <v>41824</v>
      </c>
      <c r="F2065" s="3">
        <v>6.8</v>
      </c>
      <c r="G2065" s="3">
        <v>94424</v>
      </c>
      <c r="H2065" s="3">
        <v>80</v>
      </c>
      <c r="I2065" s="3">
        <v>14.2</v>
      </c>
      <c r="J2065" s="3">
        <v>5.7</v>
      </c>
      <c r="K2065" s="3">
        <v>0.1</v>
      </c>
      <c r="L2065" s="3">
        <v>3.2</v>
      </c>
      <c r="M2065" t="str">
        <f>IF(acs2015_county_data[[#This Row],[PublicWork]]&gt;='Описательные характеристики'!$F$5,"да","нет")</f>
        <v>нет</v>
      </c>
      <c r="N2065" t="str">
        <f>IF(acs2015_county_data[[#This Row],[Unemployment]]&gt;='Описательные характеристики'!$I$5,"да","нет")</f>
        <v>нет</v>
      </c>
    </row>
    <row r="2066" spans="1:14" x14ac:dyDescent="0.35">
      <c r="A2066">
        <v>39043</v>
      </c>
      <c r="B2066" t="s">
        <v>578</v>
      </c>
      <c r="C2066" t="s">
        <v>1198</v>
      </c>
      <c r="D2066" s="2">
        <v>76141</v>
      </c>
      <c r="E2066" s="2">
        <v>27249</v>
      </c>
      <c r="F2066" s="3">
        <v>2.2999999999999998</v>
      </c>
      <c r="G2066" s="3">
        <v>35636</v>
      </c>
      <c r="H2066" s="3">
        <v>81.400000000000006</v>
      </c>
      <c r="I2066" s="3">
        <v>13</v>
      </c>
      <c r="J2066" s="3">
        <v>5.5</v>
      </c>
      <c r="K2066" s="3">
        <v>0.1</v>
      </c>
      <c r="L2066" s="3">
        <v>7.7</v>
      </c>
      <c r="M2066" t="str">
        <f>IF(acs2015_county_data[[#This Row],[PublicWork]]&gt;='Описательные характеристики'!$F$5,"да","нет")</f>
        <v>нет</v>
      </c>
      <c r="N2066" t="str">
        <f>IF(acs2015_county_data[[#This Row],[Unemployment]]&gt;='Описательные характеристики'!$I$5,"да","нет")</f>
        <v>да</v>
      </c>
    </row>
    <row r="2067" spans="1:14" x14ac:dyDescent="0.35">
      <c r="A2067">
        <v>39045</v>
      </c>
      <c r="B2067" t="s">
        <v>578</v>
      </c>
      <c r="C2067" t="s">
        <v>292</v>
      </c>
      <c r="D2067" s="2">
        <v>149112</v>
      </c>
      <c r="E2067" s="2">
        <v>28130</v>
      </c>
      <c r="F2067" s="3">
        <v>4.0999999999999996</v>
      </c>
      <c r="G2067" s="3">
        <v>69708</v>
      </c>
      <c r="H2067" s="3">
        <v>79</v>
      </c>
      <c r="I2067" s="3">
        <v>16</v>
      </c>
      <c r="J2067" s="3">
        <v>4.8</v>
      </c>
      <c r="K2067" s="3">
        <v>0.2</v>
      </c>
      <c r="L2067" s="3">
        <v>6.9</v>
      </c>
      <c r="M2067" t="str">
        <f>IF(acs2015_county_data[[#This Row],[PublicWork]]&gt;='Описательные характеристики'!$F$5,"да","нет")</f>
        <v>нет</v>
      </c>
      <c r="N2067" t="str">
        <f>IF(acs2015_county_data[[#This Row],[Unemployment]]&gt;='Описательные характеристики'!$I$5,"да","нет")</f>
        <v>нет</v>
      </c>
    </row>
    <row r="2068" spans="1:14" x14ac:dyDescent="0.35">
      <c r="A2068">
        <v>39047</v>
      </c>
      <c r="B2068" t="s">
        <v>578</v>
      </c>
      <c r="C2068" t="s">
        <v>42</v>
      </c>
      <c r="D2068" s="2">
        <v>28769</v>
      </c>
      <c r="E2068" s="2">
        <v>21632</v>
      </c>
      <c r="F2068" s="3">
        <v>2.7</v>
      </c>
      <c r="G2068" s="3">
        <v>12385</v>
      </c>
      <c r="H2068" s="3">
        <v>79.7</v>
      </c>
      <c r="I2068" s="3">
        <v>13.4</v>
      </c>
      <c r="J2068" s="3">
        <v>6.6</v>
      </c>
      <c r="K2068" s="3">
        <v>0.3</v>
      </c>
      <c r="L2068" s="3">
        <v>8.6</v>
      </c>
      <c r="M2068" t="str">
        <f>IF(acs2015_county_data[[#This Row],[PublicWork]]&gt;='Описательные характеристики'!$F$5,"да","нет")</f>
        <v>нет</v>
      </c>
      <c r="N2068" t="str">
        <f>IF(acs2015_county_data[[#This Row],[Unemployment]]&gt;='Описательные характеристики'!$I$5,"да","нет")</f>
        <v>да</v>
      </c>
    </row>
    <row r="2069" spans="1:14" x14ac:dyDescent="0.35">
      <c r="A2069">
        <v>39049</v>
      </c>
      <c r="B2069" t="s">
        <v>578</v>
      </c>
      <c r="C2069" t="s">
        <v>43</v>
      </c>
      <c r="D2069" s="2">
        <v>1215761</v>
      </c>
      <c r="E2069" s="2">
        <v>29244</v>
      </c>
      <c r="F2069" s="3">
        <v>3.9</v>
      </c>
      <c r="G2069" s="3">
        <v>616368</v>
      </c>
      <c r="H2069" s="3">
        <v>80.8</v>
      </c>
      <c r="I2069" s="3">
        <v>14.8</v>
      </c>
      <c r="J2069" s="3">
        <v>4.3</v>
      </c>
      <c r="K2069" s="3">
        <v>0.1</v>
      </c>
      <c r="L2069" s="3">
        <v>7</v>
      </c>
      <c r="M2069" t="str">
        <f>IF(acs2015_county_data[[#This Row],[PublicWork]]&gt;='Описательные характеристики'!$F$5,"да","нет")</f>
        <v>нет</v>
      </c>
      <c r="N2069" t="str">
        <f>IF(acs2015_county_data[[#This Row],[Unemployment]]&gt;='Описательные характеристики'!$I$5,"да","нет")</f>
        <v>нет</v>
      </c>
    </row>
    <row r="2070" spans="1:14" x14ac:dyDescent="0.35">
      <c r="A2070">
        <v>39051</v>
      </c>
      <c r="B2070" t="s">
        <v>578</v>
      </c>
      <c r="C2070" t="s">
        <v>142</v>
      </c>
      <c r="D2070" s="2">
        <v>42485</v>
      </c>
      <c r="E2070" s="2">
        <v>26470</v>
      </c>
      <c r="F2070" s="3">
        <v>2.9</v>
      </c>
      <c r="G2070" s="3">
        <v>20872</v>
      </c>
      <c r="H2070" s="3">
        <v>82.5</v>
      </c>
      <c r="I2070" s="3">
        <v>11</v>
      </c>
      <c r="J2070" s="3">
        <v>6.4</v>
      </c>
      <c r="K2070" s="3">
        <v>0.1</v>
      </c>
      <c r="L2070" s="3">
        <v>6.7</v>
      </c>
      <c r="M2070" t="str">
        <f>IF(acs2015_county_data[[#This Row],[PublicWork]]&gt;='Описательные характеристики'!$F$5,"да","нет")</f>
        <v>нет</v>
      </c>
      <c r="N2070" t="str">
        <f>IF(acs2015_county_data[[#This Row],[Unemployment]]&gt;='Описательные характеристики'!$I$5,"да","нет")</f>
        <v>нет</v>
      </c>
    </row>
    <row r="2071" spans="1:14" x14ac:dyDescent="0.35">
      <c r="A2071">
        <v>39053</v>
      </c>
      <c r="B2071" t="s">
        <v>578</v>
      </c>
      <c r="C2071" t="s">
        <v>1327</v>
      </c>
      <c r="D2071" s="2">
        <v>30565</v>
      </c>
      <c r="E2071" s="2">
        <v>21195</v>
      </c>
      <c r="F2071" s="3">
        <v>3</v>
      </c>
      <c r="G2071" s="3">
        <v>11344</v>
      </c>
      <c r="H2071" s="3">
        <v>81.3</v>
      </c>
      <c r="I2071" s="3">
        <v>13.1</v>
      </c>
      <c r="J2071" s="3">
        <v>5.5</v>
      </c>
      <c r="K2071" s="3">
        <v>0.2</v>
      </c>
      <c r="L2071" s="3">
        <v>7.5</v>
      </c>
      <c r="M2071" t="str">
        <f>IF(acs2015_county_data[[#This Row],[PublicWork]]&gt;='Описательные характеристики'!$F$5,"да","нет")</f>
        <v>нет</v>
      </c>
      <c r="N2071" t="str">
        <f>IF(acs2015_county_data[[#This Row],[Unemployment]]&gt;='Описательные характеристики'!$I$5,"да","нет")</f>
        <v>нет</v>
      </c>
    </row>
    <row r="2072" spans="1:14" x14ac:dyDescent="0.35">
      <c r="A2072">
        <v>39055</v>
      </c>
      <c r="B2072" t="s">
        <v>578</v>
      </c>
      <c r="C2072" t="s">
        <v>1328</v>
      </c>
      <c r="D2072" s="2">
        <v>93874</v>
      </c>
      <c r="E2072" s="2">
        <v>37021</v>
      </c>
      <c r="F2072" s="3">
        <v>6.2</v>
      </c>
      <c r="G2072" s="3">
        <v>46540</v>
      </c>
      <c r="H2072" s="3">
        <v>82</v>
      </c>
      <c r="I2072" s="3">
        <v>9.6</v>
      </c>
      <c r="J2072" s="3">
        <v>8.1</v>
      </c>
      <c r="K2072" s="3">
        <v>0.2</v>
      </c>
      <c r="L2072" s="3">
        <v>4.0999999999999996</v>
      </c>
      <c r="M2072" t="str">
        <f>IF(acs2015_county_data[[#This Row],[PublicWork]]&gt;='Описательные характеристики'!$F$5,"да","нет")</f>
        <v>нет</v>
      </c>
      <c r="N2072" t="str">
        <f>IF(acs2015_county_data[[#This Row],[Unemployment]]&gt;='Описательные характеристики'!$I$5,"да","нет")</f>
        <v>нет</v>
      </c>
    </row>
    <row r="2073" spans="1:14" x14ac:dyDescent="0.35">
      <c r="A2073">
        <v>39057</v>
      </c>
      <c r="B2073" t="s">
        <v>578</v>
      </c>
      <c r="C2073" t="s">
        <v>45</v>
      </c>
      <c r="D2073" s="2">
        <v>164192</v>
      </c>
      <c r="E2073" s="2">
        <v>31075</v>
      </c>
      <c r="F2073" s="3">
        <v>4.3</v>
      </c>
      <c r="G2073" s="3">
        <v>76109</v>
      </c>
      <c r="H2073" s="3">
        <v>73.7</v>
      </c>
      <c r="I2073" s="3">
        <v>21.2</v>
      </c>
      <c r="J2073" s="3">
        <v>5</v>
      </c>
      <c r="K2073" s="3">
        <v>0.2</v>
      </c>
      <c r="L2073" s="3">
        <v>7.6</v>
      </c>
      <c r="M2073" t="str">
        <f>IF(acs2015_county_data[[#This Row],[PublicWork]]&gt;='Описательные характеристики'!$F$5,"да","нет")</f>
        <v>да</v>
      </c>
      <c r="N2073" t="str">
        <f>IF(acs2015_county_data[[#This Row],[Unemployment]]&gt;='Описательные характеристики'!$I$5,"да","нет")</f>
        <v>да</v>
      </c>
    </row>
    <row r="2074" spans="1:14" x14ac:dyDescent="0.35">
      <c r="A2074">
        <v>39059</v>
      </c>
      <c r="B2074" t="s">
        <v>578</v>
      </c>
      <c r="C2074" t="s">
        <v>1329</v>
      </c>
      <c r="D2074" s="2">
        <v>39626</v>
      </c>
      <c r="E2074" s="2">
        <v>21564</v>
      </c>
      <c r="F2074" s="3">
        <v>3.4</v>
      </c>
      <c r="G2074" s="3">
        <v>16310</v>
      </c>
      <c r="H2074" s="3">
        <v>79.8</v>
      </c>
      <c r="I2074" s="3">
        <v>13.8</v>
      </c>
      <c r="J2074" s="3">
        <v>6.1</v>
      </c>
      <c r="K2074" s="3">
        <v>0.4</v>
      </c>
      <c r="L2074" s="3">
        <v>11.7</v>
      </c>
      <c r="M2074" t="str">
        <f>IF(acs2015_county_data[[#This Row],[PublicWork]]&gt;='Описательные характеристики'!$F$5,"да","нет")</f>
        <v>нет</v>
      </c>
      <c r="N2074" t="str">
        <f>IF(acs2015_county_data[[#This Row],[Unemployment]]&gt;='Описательные характеристики'!$I$5,"да","нет")</f>
        <v>да</v>
      </c>
    </row>
    <row r="2075" spans="1:14" x14ac:dyDescent="0.35">
      <c r="A2075">
        <v>39061</v>
      </c>
      <c r="B2075" t="s">
        <v>578</v>
      </c>
      <c r="C2075" t="s">
        <v>323</v>
      </c>
      <c r="D2075" s="2">
        <v>804194</v>
      </c>
      <c r="E2075" s="2">
        <v>30360</v>
      </c>
      <c r="F2075" s="3">
        <v>4.0999999999999996</v>
      </c>
      <c r="G2075" s="3">
        <v>383555</v>
      </c>
      <c r="H2075" s="3">
        <v>84.8</v>
      </c>
      <c r="I2075" s="3">
        <v>10.4</v>
      </c>
      <c r="J2075" s="3">
        <v>4.7</v>
      </c>
      <c r="K2075" s="3">
        <v>0.1</v>
      </c>
      <c r="L2075" s="3">
        <v>8.8000000000000007</v>
      </c>
      <c r="M2075" t="str">
        <f>IF(acs2015_county_data[[#This Row],[PublicWork]]&gt;='Описательные характеристики'!$F$5,"да","нет")</f>
        <v>нет</v>
      </c>
      <c r="N2075" t="str">
        <f>IF(acs2015_county_data[[#This Row],[Unemployment]]&gt;='Описательные характеристики'!$I$5,"да","нет")</f>
        <v>да</v>
      </c>
    </row>
    <row r="2076" spans="1:14" x14ac:dyDescent="0.35">
      <c r="A2076">
        <v>39063</v>
      </c>
      <c r="B2076" t="s">
        <v>578</v>
      </c>
      <c r="C2076" t="s">
        <v>406</v>
      </c>
      <c r="D2076" s="2">
        <v>75428</v>
      </c>
      <c r="E2076" s="2">
        <v>27129</v>
      </c>
      <c r="F2076" s="3">
        <v>3.5</v>
      </c>
      <c r="G2076" s="3">
        <v>37580</v>
      </c>
      <c r="H2076" s="3">
        <v>86.2</v>
      </c>
      <c r="I2076" s="3">
        <v>9</v>
      </c>
      <c r="J2076" s="3">
        <v>4.7</v>
      </c>
      <c r="K2076" s="3">
        <v>0.1</v>
      </c>
      <c r="L2076" s="3">
        <v>6.9</v>
      </c>
      <c r="M2076" t="str">
        <f>IF(acs2015_county_data[[#This Row],[PublicWork]]&gt;='Описательные характеристики'!$F$5,"да","нет")</f>
        <v>нет</v>
      </c>
      <c r="N2076" t="str">
        <f>IF(acs2015_county_data[[#This Row],[Unemployment]]&gt;='Описательные характеристики'!$I$5,"да","нет")</f>
        <v>нет</v>
      </c>
    </row>
    <row r="2077" spans="1:14" x14ac:dyDescent="0.35">
      <c r="A2077">
        <v>39065</v>
      </c>
      <c r="B2077" t="s">
        <v>578</v>
      </c>
      <c r="C2077" t="s">
        <v>521</v>
      </c>
      <c r="D2077" s="2">
        <v>31736</v>
      </c>
      <c r="E2077" s="2">
        <v>20332</v>
      </c>
      <c r="F2077" s="3">
        <v>4.7</v>
      </c>
      <c r="G2077" s="3">
        <v>13828</v>
      </c>
      <c r="H2077" s="3">
        <v>81.8</v>
      </c>
      <c r="I2077" s="3">
        <v>11.8</v>
      </c>
      <c r="J2077" s="3">
        <v>6.4</v>
      </c>
      <c r="K2077" s="3">
        <v>0.1</v>
      </c>
      <c r="L2077" s="3">
        <v>9.6</v>
      </c>
      <c r="M2077" t="str">
        <f>IF(acs2015_county_data[[#This Row],[PublicWork]]&gt;='Описательные характеристики'!$F$5,"да","нет")</f>
        <v>нет</v>
      </c>
      <c r="N2077" t="str">
        <f>IF(acs2015_county_data[[#This Row],[Unemployment]]&gt;='Описательные характеристики'!$I$5,"да","нет")</f>
        <v>да</v>
      </c>
    </row>
    <row r="2078" spans="1:14" x14ac:dyDescent="0.35">
      <c r="A2078">
        <v>39067</v>
      </c>
      <c r="B2078" t="s">
        <v>578</v>
      </c>
      <c r="C2078" t="s">
        <v>568</v>
      </c>
      <c r="D2078" s="2">
        <v>15633</v>
      </c>
      <c r="E2078" s="2">
        <v>22197</v>
      </c>
      <c r="F2078" s="3">
        <v>2.7</v>
      </c>
      <c r="G2078" s="3">
        <v>6740</v>
      </c>
      <c r="H2078" s="3">
        <v>81.900000000000006</v>
      </c>
      <c r="I2078" s="3">
        <v>12.4</v>
      </c>
      <c r="J2078" s="3">
        <v>5</v>
      </c>
      <c r="K2078" s="3">
        <v>0.7</v>
      </c>
      <c r="L2078" s="3">
        <v>5.6</v>
      </c>
      <c r="M2078" t="str">
        <f>IF(acs2015_county_data[[#This Row],[PublicWork]]&gt;='Описательные характеристики'!$F$5,"да","нет")</f>
        <v>нет</v>
      </c>
      <c r="N2078" t="str">
        <f>IF(acs2015_county_data[[#This Row],[Unemployment]]&gt;='Описательные характеристики'!$I$5,"да","нет")</f>
        <v>нет</v>
      </c>
    </row>
    <row r="2079" spans="1:14" x14ac:dyDescent="0.35">
      <c r="A2079">
        <v>39069</v>
      </c>
      <c r="B2079" t="s">
        <v>578</v>
      </c>
      <c r="C2079" t="s">
        <v>47</v>
      </c>
      <c r="D2079" s="2">
        <v>28015</v>
      </c>
      <c r="E2079" s="2">
        <v>25205</v>
      </c>
      <c r="F2079" s="3">
        <v>2.2999999999999998</v>
      </c>
      <c r="G2079" s="3">
        <v>13436</v>
      </c>
      <c r="H2079" s="3">
        <v>81.3</v>
      </c>
      <c r="I2079" s="3">
        <v>13.4</v>
      </c>
      <c r="J2079" s="3">
        <v>5.0999999999999996</v>
      </c>
      <c r="K2079" s="3">
        <v>0.2</v>
      </c>
      <c r="L2079" s="3">
        <v>6.7</v>
      </c>
      <c r="M2079" t="str">
        <f>IF(acs2015_county_data[[#This Row],[PublicWork]]&gt;='Описательные характеристики'!$F$5,"да","нет")</f>
        <v>нет</v>
      </c>
      <c r="N2079" t="str">
        <f>IF(acs2015_county_data[[#This Row],[Unemployment]]&gt;='Описательные характеристики'!$I$5,"да","нет")</f>
        <v>нет</v>
      </c>
    </row>
    <row r="2080" spans="1:14" x14ac:dyDescent="0.35">
      <c r="A2080">
        <v>39071</v>
      </c>
      <c r="B2080" t="s">
        <v>578</v>
      </c>
      <c r="C2080" t="s">
        <v>1330</v>
      </c>
      <c r="D2080" s="2">
        <v>43170</v>
      </c>
      <c r="E2080" s="2">
        <v>20240</v>
      </c>
      <c r="F2080" s="3">
        <v>4</v>
      </c>
      <c r="G2080" s="3">
        <v>16962</v>
      </c>
      <c r="H2080" s="3">
        <v>78.099999999999994</v>
      </c>
      <c r="I2080" s="3">
        <v>12.8</v>
      </c>
      <c r="J2080" s="3">
        <v>8.8000000000000007</v>
      </c>
      <c r="K2080" s="3">
        <v>0.3</v>
      </c>
      <c r="L2080" s="3">
        <v>11.5</v>
      </c>
      <c r="M2080" t="str">
        <f>IF(acs2015_county_data[[#This Row],[PublicWork]]&gt;='Описательные характеристики'!$F$5,"да","нет")</f>
        <v>нет</v>
      </c>
      <c r="N2080" t="str">
        <f>IF(acs2015_county_data[[#This Row],[Unemployment]]&gt;='Описательные характеристики'!$I$5,"да","нет")</f>
        <v>да</v>
      </c>
    </row>
    <row r="2081" spans="1:14" x14ac:dyDescent="0.35">
      <c r="A2081">
        <v>39073</v>
      </c>
      <c r="B2081" t="s">
        <v>578</v>
      </c>
      <c r="C2081" t="s">
        <v>1331</v>
      </c>
      <c r="D2081" s="2">
        <v>28914</v>
      </c>
      <c r="E2081" s="2">
        <v>21360</v>
      </c>
      <c r="F2081" s="3">
        <v>3.1</v>
      </c>
      <c r="G2081" s="3">
        <v>12199</v>
      </c>
      <c r="H2081" s="3">
        <v>76.7</v>
      </c>
      <c r="I2081" s="3">
        <v>16.600000000000001</v>
      </c>
      <c r="J2081" s="3">
        <v>6.2</v>
      </c>
      <c r="K2081" s="3">
        <v>0.6</v>
      </c>
      <c r="L2081" s="3">
        <v>9.5</v>
      </c>
      <c r="M2081" t="str">
        <f>IF(acs2015_county_data[[#This Row],[PublicWork]]&gt;='Описательные характеристики'!$F$5,"да","нет")</f>
        <v>да</v>
      </c>
      <c r="N2081" t="str">
        <f>IF(acs2015_county_data[[#This Row],[Unemployment]]&gt;='Описательные характеристики'!$I$5,"да","нет")</f>
        <v>да</v>
      </c>
    </row>
    <row r="2082" spans="1:14" x14ac:dyDescent="0.35">
      <c r="A2082">
        <v>39075</v>
      </c>
      <c r="B2082" t="s">
        <v>578</v>
      </c>
      <c r="C2082" t="s">
        <v>329</v>
      </c>
      <c r="D2082" s="2">
        <v>43436</v>
      </c>
      <c r="E2082" s="2">
        <v>18906</v>
      </c>
      <c r="F2082" s="3">
        <v>8.9</v>
      </c>
      <c r="G2082" s="3">
        <v>19207</v>
      </c>
      <c r="H2082" s="3">
        <v>81.3</v>
      </c>
      <c r="I2082" s="3">
        <v>5.8</v>
      </c>
      <c r="J2082" s="3">
        <v>12.3</v>
      </c>
      <c r="K2082" s="3">
        <v>0.7</v>
      </c>
      <c r="L2082" s="3">
        <v>4.2</v>
      </c>
      <c r="M2082" t="str">
        <f>IF(acs2015_county_data[[#This Row],[PublicWork]]&gt;='Описательные характеристики'!$F$5,"да","нет")</f>
        <v>нет</v>
      </c>
      <c r="N2082" t="str">
        <f>IF(acs2015_county_data[[#This Row],[Unemployment]]&gt;='Описательные характеристики'!$I$5,"да","нет")</f>
        <v>нет</v>
      </c>
    </row>
    <row r="2083" spans="1:14" x14ac:dyDescent="0.35">
      <c r="A2083">
        <v>39077</v>
      </c>
      <c r="B2083" t="s">
        <v>578</v>
      </c>
      <c r="C2083" t="s">
        <v>877</v>
      </c>
      <c r="D2083" s="2">
        <v>58937</v>
      </c>
      <c r="E2083" s="2">
        <v>23158</v>
      </c>
      <c r="F2083" s="3">
        <v>2.2999999999999998</v>
      </c>
      <c r="G2083" s="3">
        <v>26987</v>
      </c>
      <c r="H2083" s="3">
        <v>84.5</v>
      </c>
      <c r="I2083" s="3">
        <v>10.199999999999999</v>
      </c>
      <c r="J2083" s="3">
        <v>5.0999999999999996</v>
      </c>
      <c r="K2083" s="3">
        <v>0.2</v>
      </c>
      <c r="L2083" s="3">
        <v>7.2</v>
      </c>
      <c r="M2083" t="str">
        <f>IF(acs2015_county_data[[#This Row],[PublicWork]]&gt;='Описательные характеристики'!$F$5,"да","нет")</f>
        <v>нет</v>
      </c>
      <c r="N2083" t="str">
        <f>IF(acs2015_county_data[[#This Row],[Unemployment]]&gt;='Описательные характеристики'!$I$5,"да","нет")</f>
        <v>нет</v>
      </c>
    </row>
    <row r="2084" spans="1:14" x14ac:dyDescent="0.35">
      <c r="A2084">
        <v>39079</v>
      </c>
      <c r="B2084" t="s">
        <v>578</v>
      </c>
      <c r="C2084" t="s">
        <v>49</v>
      </c>
      <c r="D2084" s="2">
        <v>32854</v>
      </c>
      <c r="E2084" s="2">
        <v>20697</v>
      </c>
      <c r="F2084" s="3">
        <v>1.6</v>
      </c>
      <c r="G2084" s="3">
        <v>13191</v>
      </c>
      <c r="H2084" s="3">
        <v>76.400000000000006</v>
      </c>
      <c r="I2084" s="3">
        <v>18.2</v>
      </c>
      <c r="J2084" s="3">
        <v>5</v>
      </c>
      <c r="K2084" s="3">
        <v>0.3</v>
      </c>
      <c r="L2084" s="3">
        <v>11.5</v>
      </c>
      <c r="M2084" t="str">
        <f>IF(acs2015_county_data[[#This Row],[PublicWork]]&gt;='Описательные характеристики'!$F$5,"да","нет")</f>
        <v>да</v>
      </c>
      <c r="N2084" t="str">
        <f>IF(acs2015_county_data[[#This Row],[Unemployment]]&gt;='Описательные характеристики'!$I$5,"да","нет")</f>
        <v>да</v>
      </c>
    </row>
    <row r="2085" spans="1:14" x14ac:dyDescent="0.35">
      <c r="A2085">
        <v>39081</v>
      </c>
      <c r="B2085" t="s">
        <v>578</v>
      </c>
      <c r="C2085" t="s">
        <v>50</v>
      </c>
      <c r="D2085" s="2">
        <v>68053</v>
      </c>
      <c r="E2085" s="2">
        <v>23188</v>
      </c>
      <c r="F2085" s="3">
        <v>3.3</v>
      </c>
      <c r="G2085" s="3">
        <v>27871</v>
      </c>
      <c r="H2085" s="3">
        <v>83.7</v>
      </c>
      <c r="I2085" s="3">
        <v>10.9</v>
      </c>
      <c r="J2085" s="3">
        <v>5.3</v>
      </c>
      <c r="K2085" s="3">
        <v>0.1</v>
      </c>
      <c r="L2085" s="3">
        <v>8.8000000000000007</v>
      </c>
      <c r="M2085" t="str">
        <f>IF(acs2015_county_data[[#This Row],[PublicWork]]&gt;='Описательные характеристики'!$F$5,"да","нет")</f>
        <v>нет</v>
      </c>
      <c r="N2085" t="str">
        <f>IF(acs2015_county_data[[#This Row],[Unemployment]]&gt;='Описательные характеристики'!$I$5,"да","нет")</f>
        <v>да</v>
      </c>
    </row>
    <row r="2086" spans="1:14" x14ac:dyDescent="0.35">
      <c r="A2086">
        <v>39083</v>
      </c>
      <c r="B2086" t="s">
        <v>578</v>
      </c>
      <c r="C2086" t="s">
        <v>529</v>
      </c>
      <c r="D2086" s="2">
        <v>61004</v>
      </c>
      <c r="E2086" s="2">
        <v>23520</v>
      </c>
      <c r="F2086" s="3">
        <v>5.5</v>
      </c>
      <c r="G2086" s="3">
        <v>28165</v>
      </c>
      <c r="H2086" s="3">
        <v>81</v>
      </c>
      <c r="I2086" s="3">
        <v>11.8</v>
      </c>
      <c r="J2086" s="3">
        <v>7.1</v>
      </c>
      <c r="K2086" s="3">
        <v>0.2</v>
      </c>
      <c r="L2086" s="3">
        <v>6.6</v>
      </c>
      <c r="M2086" t="str">
        <f>IF(acs2015_county_data[[#This Row],[PublicWork]]&gt;='Описательные характеристики'!$F$5,"да","нет")</f>
        <v>нет</v>
      </c>
      <c r="N2086" t="str">
        <f>IF(acs2015_county_data[[#This Row],[Unemployment]]&gt;='Описательные характеристики'!$I$5,"да","нет")</f>
        <v>нет</v>
      </c>
    </row>
    <row r="2087" spans="1:14" x14ac:dyDescent="0.35">
      <c r="A2087">
        <v>39085</v>
      </c>
      <c r="B2087" t="s">
        <v>578</v>
      </c>
      <c r="C2087" t="s">
        <v>196</v>
      </c>
      <c r="D2087" s="2">
        <v>229437</v>
      </c>
      <c r="E2087" s="2">
        <v>30094</v>
      </c>
      <c r="F2087" s="3">
        <v>3.1</v>
      </c>
      <c r="G2087" s="3">
        <v>117389</v>
      </c>
      <c r="H2087" s="3">
        <v>86.6</v>
      </c>
      <c r="I2087" s="3">
        <v>9.6</v>
      </c>
      <c r="J2087" s="3">
        <v>3.7</v>
      </c>
      <c r="K2087" s="3">
        <v>0.1</v>
      </c>
      <c r="L2087" s="3">
        <v>6</v>
      </c>
      <c r="M2087" t="str">
        <f>IF(acs2015_county_data[[#This Row],[PublicWork]]&gt;='Описательные характеристики'!$F$5,"да","нет")</f>
        <v>нет</v>
      </c>
      <c r="N2087" t="str">
        <f>IF(acs2015_county_data[[#This Row],[Unemployment]]&gt;='Описательные характеристики'!$I$5,"да","нет")</f>
        <v>нет</v>
      </c>
    </row>
    <row r="2088" spans="1:14" x14ac:dyDescent="0.35">
      <c r="A2088">
        <v>39087</v>
      </c>
      <c r="B2088" t="s">
        <v>578</v>
      </c>
      <c r="C2088" t="s">
        <v>52</v>
      </c>
      <c r="D2088" s="2">
        <v>61827</v>
      </c>
      <c r="E2088" s="2">
        <v>21955</v>
      </c>
      <c r="F2088" s="3">
        <v>1.9</v>
      </c>
      <c r="G2088" s="3">
        <v>24489</v>
      </c>
      <c r="H2088" s="3">
        <v>80.599999999999994</v>
      </c>
      <c r="I2088" s="3">
        <v>15.1</v>
      </c>
      <c r="J2088" s="3">
        <v>4.4000000000000004</v>
      </c>
      <c r="K2088" s="3">
        <v>0</v>
      </c>
      <c r="L2088" s="3">
        <v>8</v>
      </c>
      <c r="M2088" t="str">
        <f>IF(acs2015_county_data[[#This Row],[PublicWork]]&gt;='Описательные характеристики'!$F$5,"да","нет")</f>
        <v>нет</v>
      </c>
      <c r="N2088" t="str">
        <f>IF(acs2015_county_data[[#This Row],[Unemployment]]&gt;='Описательные характеристики'!$I$5,"да","нет")</f>
        <v>да</v>
      </c>
    </row>
    <row r="2089" spans="1:14" x14ac:dyDescent="0.35">
      <c r="A2089">
        <v>39089</v>
      </c>
      <c r="B2089" t="s">
        <v>578</v>
      </c>
      <c r="C2089" t="s">
        <v>1332</v>
      </c>
      <c r="D2089" s="2">
        <v>168693</v>
      </c>
      <c r="E2089" s="2">
        <v>27389</v>
      </c>
      <c r="F2089" s="3">
        <v>4.5999999999999996</v>
      </c>
      <c r="G2089" s="3">
        <v>81446</v>
      </c>
      <c r="H2089" s="3">
        <v>80.400000000000006</v>
      </c>
      <c r="I2089" s="3">
        <v>13.3</v>
      </c>
      <c r="J2089" s="3">
        <v>6.3</v>
      </c>
      <c r="K2089" s="3">
        <v>0.1</v>
      </c>
      <c r="L2089" s="3">
        <v>7.2</v>
      </c>
      <c r="M2089" t="str">
        <f>IF(acs2015_county_data[[#This Row],[PublicWork]]&gt;='Описательные характеристики'!$F$5,"да","нет")</f>
        <v>нет</v>
      </c>
      <c r="N2089" t="str">
        <f>IF(acs2015_county_data[[#This Row],[Unemployment]]&gt;='Описательные характеристики'!$I$5,"да","нет")</f>
        <v>нет</v>
      </c>
    </row>
    <row r="2090" spans="1:14" x14ac:dyDescent="0.35">
      <c r="A2090">
        <v>39091</v>
      </c>
      <c r="B2090" t="s">
        <v>578</v>
      </c>
      <c r="C2090" t="s">
        <v>154</v>
      </c>
      <c r="D2090" s="2">
        <v>45484</v>
      </c>
      <c r="E2090" s="2">
        <v>25428</v>
      </c>
      <c r="F2090" s="3">
        <v>5.0999999999999996</v>
      </c>
      <c r="G2090" s="3">
        <v>20773</v>
      </c>
      <c r="H2090" s="3">
        <v>82.3</v>
      </c>
      <c r="I2090" s="3">
        <v>10</v>
      </c>
      <c r="J2090" s="3">
        <v>7.7</v>
      </c>
      <c r="K2090" s="3">
        <v>0.1</v>
      </c>
      <c r="L2090" s="3">
        <v>7.6</v>
      </c>
      <c r="M2090" t="str">
        <f>IF(acs2015_county_data[[#This Row],[PublicWork]]&gt;='Описательные характеристики'!$F$5,"да","нет")</f>
        <v>нет</v>
      </c>
      <c r="N2090" t="str">
        <f>IF(acs2015_county_data[[#This Row],[Unemployment]]&gt;='Описательные характеристики'!$I$5,"да","нет")</f>
        <v>да</v>
      </c>
    </row>
    <row r="2091" spans="1:14" x14ac:dyDescent="0.35">
      <c r="A2091">
        <v>39093</v>
      </c>
      <c r="B2091" t="s">
        <v>578</v>
      </c>
      <c r="C2091" t="s">
        <v>1333</v>
      </c>
      <c r="D2091" s="2">
        <v>303152</v>
      </c>
      <c r="E2091" s="2">
        <v>26804</v>
      </c>
      <c r="F2091" s="3">
        <v>3.2</v>
      </c>
      <c r="G2091" s="3">
        <v>138469</v>
      </c>
      <c r="H2091" s="3">
        <v>83.3</v>
      </c>
      <c r="I2091" s="3">
        <v>12.5</v>
      </c>
      <c r="J2091" s="3">
        <v>4.0999999999999996</v>
      </c>
      <c r="K2091" s="3">
        <v>0.1</v>
      </c>
      <c r="L2091" s="3">
        <v>8.8000000000000007</v>
      </c>
      <c r="M2091" t="str">
        <f>IF(acs2015_county_data[[#This Row],[PublicWork]]&gt;='Описательные характеристики'!$F$5,"да","нет")</f>
        <v>нет</v>
      </c>
      <c r="N2091" t="str">
        <f>IF(acs2015_county_data[[#This Row],[Unemployment]]&gt;='Описательные характеристики'!$I$5,"да","нет")</f>
        <v>да</v>
      </c>
    </row>
    <row r="2092" spans="1:14" x14ac:dyDescent="0.35">
      <c r="A2092">
        <v>39095</v>
      </c>
      <c r="B2092" t="s">
        <v>578</v>
      </c>
      <c r="C2092" t="s">
        <v>621</v>
      </c>
      <c r="D2092" s="2">
        <v>436261</v>
      </c>
      <c r="E2092" s="2">
        <v>24816</v>
      </c>
      <c r="F2092" s="3">
        <v>2.6</v>
      </c>
      <c r="G2092" s="3">
        <v>193466</v>
      </c>
      <c r="H2092" s="3">
        <v>82.9</v>
      </c>
      <c r="I2092" s="3">
        <v>12.2</v>
      </c>
      <c r="J2092" s="3">
        <v>4.7</v>
      </c>
      <c r="K2092" s="3">
        <v>0.2</v>
      </c>
      <c r="L2092" s="3">
        <v>11.1</v>
      </c>
      <c r="M2092" t="str">
        <f>IF(acs2015_county_data[[#This Row],[PublicWork]]&gt;='Описательные характеристики'!$F$5,"да","нет")</f>
        <v>нет</v>
      </c>
      <c r="N2092" t="str">
        <f>IF(acs2015_county_data[[#This Row],[Unemployment]]&gt;='Описательные характеристики'!$I$5,"да","нет")</f>
        <v>да</v>
      </c>
    </row>
    <row r="2093" spans="1:14" x14ac:dyDescent="0.35">
      <c r="A2093">
        <v>39097</v>
      </c>
      <c r="B2093" t="s">
        <v>578</v>
      </c>
      <c r="C2093" t="s">
        <v>57</v>
      </c>
      <c r="D2093" s="2">
        <v>43456</v>
      </c>
      <c r="E2093" s="2">
        <v>25159</v>
      </c>
      <c r="F2093" s="3">
        <v>3.9</v>
      </c>
      <c r="G2093" s="3">
        <v>18617</v>
      </c>
      <c r="H2093" s="3">
        <v>78.400000000000006</v>
      </c>
      <c r="I2093" s="3">
        <v>14.8</v>
      </c>
      <c r="J2093" s="3">
        <v>6.7</v>
      </c>
      <c r="K2093" s="3">
        <v>0.1</v>
      </c>
      <c r="L2093" s="3">
        <v>5.9</v>
      </c>
      <c r="M2093" t="str">
        <f>IF(acs2015_county_data[[#This Row],[PublicWork]]&gt;='Описательные характеристики'!$F$5,"да","нет")</f>
        <v>нет</v>
      </c>
      <c r="N2093" t="str">
        <f>IF(acs2015_county_data[[#This Row],[Unemployment]]&gt;='Описательные характеристики'!$I$5,"да","нет")</f>
        <v>нет</v>
      </c>
    </row>
    <row r="2094" spans="1:14" x14ac:dyDescent="0.35">
      <c r="A2094">
        <v>39099</v>
      </c>
      <c r="B2094" t="s">
        <v>578</v>
      </c>
      <c r="C2094" t="s">
        <v>1334</v>
      </c>
      <c r="D2094" s="2">
        <v>234550</v>
      </c>
      <c r="E2094" s="2">
        <v>24056</v>
      </c>
      <c r="F2094" s="3">
        <v>2.8</v>
      </c>
      <c r="G2094" s="3">
        <v>103169</v>
      </c>
      <c r="H2094" s="3">
        <v>82.3</v>
      </c>
      <c r="I2094" s="3">
        <v>12.3</v>
      </c>
      <c r="J2094" s="3">
        <v>5.3</v>
      </c>
      <c r="K2094" s="3">
        <v>0.1</v>
      </c>
      <c r="L2094" s="3">
        <v>9.5</v>
      </c>
      <c r="M2094" t="str">
        <f>IF(acs2015_county_data[[#This Row],[PublicWork]]&gt;='Описательные характеристики'!$F$5,"да","нет")</f>
        <v>нет</v>
      </c>
      <c r="N2094" t="str">
        <f>IF(acs2015_county_data[[#This Row],[Unemployment]]&gt;='Описательные характеристики'!$I$5,"да","нет")</f>
        <v>да</v>
      </c>
    </row>
    <row r="2095" spans="1:14" x14ac:dyDescent="0.35">
      <c r="A2095">
        <v>39101</v>
      </c>
      <c r="B2095" t="s">
        <v>578</v>
      </c>
      <c r="C2095" t="s">
        <v>59</v>
      </c>
      <c r="D2095" s="2">
        <v>65943</v>
      </c>
      <c r="E2095" s="2">
        <v>20811</v>
      </c>
      <c r="F2095" s="3">
        <v>1.7</v>
      </c>
      <c r="G2095" s="3">
        <v>25608</v>
      </c>
      <c r="H2095" s="3">
        <v>82.3</v>
      </c>
      <c r="I2095" s="3">
        <v>13.1</v>
      </c>
      <c r="J2095" s="3">
        <v>4.5</v>
      </c>
      <c r="K2095" s="3">
        <v>0.1</v>
      </c>
      <c r="L2095" s="3">
        <v>9.6</v>
      </c>
      <c r="M2095" t="str">
        <f>IF(acs2015_county_data[[#This Row],[PublicWork]]&gt;='Описательные характеристики'!$F$5,"да","нет")</f>
        <v>нет</v>
      </c>
      <c r="N2095" t="str">
        <f>IF(acs2015_county_data[[#This Row],[Unemployment]]&gt;='Описательные характеристики'!$I$5,"да","нет")</f>
        <v>да</v>
      </c>
    </row>
    <row r="2096" spans="1:14" x14ac:dyDescent="0.35">
      <c r="A2096">
        <v>39103</v>
      </c>
      <c r="B2096" t="s">
        <v>578</v>
      </c>
      <c r="C2096" t="s">
        <v>1335</v>
      </c>
      <c r="D2096" s="2">
        <v>174831</v>
      </c>
      <c r="E2096" s="2">
        <v>31760</v>
      </c>
      <c r="F2096" s="3">
        <v>4.2</v>
      </c>
      <c r="G2096" s="3">
        <v>88911</v>
      </c>
      <c r="H2096" s="3">
        <v>83.4</v>
      </c>
      <c r="I2096" s="3">
        <v>11.4</v>
      </c>
      <c r="J2096" s="3">
        <v>5.0999999999999996</v>
      </c>
      <c r="K2096" s="3">
        <v>0.1</v>
      </c>
      <c r="L2096" s="3">
        <v>5</v>
      </c>
      <c r="M2096" t="str">
        <f>IF(acs2015_county_data[[#This Row],[PublicWork]]&gt;='Описательные характеристики'!$F$5,"да","нет")</f>
        <v>нет</v>
      </c>
      <c r="N2096" t="str">
        <f>IF(acs2015_county_data[[#This Row],[Unemployment]]&gt;='Описательные характеристики'!$I$5,"да","нет")</f>
        <v>нет</v>
      </c>
    </row>
    <row r="2097" spans="1:14" x14ac:dyDescent="0.35">
      <c r="A2097">
        <v>39105</v>
      </c>
      <c r="B2097" t="s">
        <v>578</v>
      </c>
      <c r="C2097" t="s">
        <v>1336</v>
      </c>
      <c r="D2097" s="2">
        <v>23473</v>
      </c>
      <c r="E2097" s="2">
        <v>19999</v>
      </c>
      <c r="F2097" s="3">
        <v>2.8</v>
      </c>
      <c r="G2097" s="3">
        <v>8770</v>
      </c>
      <c r="H2097" s="3">
        <v>71.900000000000006</v>
      </c>
      <c r="I2097" s="3">
        <v>20.399999999999999</v>
      </c>
      <c r="J2097" s="3">
        <v>7.5</v>
      </c>
      <c r="K2097" s="3">
        <v>0.2</v>
      </c>
      <c r="L2097" s="3">
        <v>12.1</v>
      </c>
      <c r="M2097" t="str">
        <f>IF(acs2015_county_data[[#This Row],[PublicWork]]&gt;='Описательные характеристики'!$F$5,"да","нет")</f>
        <v>да</v>
      </c>
      <c r="N2097" t="str">
        <f>IF(acs2015_county_data[[#This Row],[Unemployment]]&gt;='Описательные характеристики'!$I$5,"да","нет")</f>
        <v>да</v>
      </c>
    </row>
    <row r="2098" spans="1:14" x14ac:dyDescent="0.35">
      <c r="A2098">
        <v>39107</v>
      </c>
      <c r="B2098" t="s">
        <v>578</v>
      </c>
      <c r="C2098" t="s">
        <v>539</v>
      </c>
      <c r="D2098" s="2">
        <v>40863</v>
      </c>
      <c r="E2098" s="2">
        <v>24978</v>
      </c>
      <c r="F2098" s="3">
        <v>2.2999999999999998</v>
      </c>
      <c r="G2098" s="3">
        <v>20476</v>
      </c>
      <c r="H2098" s="3">
        <v>84.6</v>
      </c>
      <c r="I2098" s="3">
        <v>9.1</v>
      </c>
      <c r="J2098" s="3">
        <v>6.1</v>
      </c>
      <c r="K2098" s="3">
        <v>0.1</v>
      </c>
      <c r="L2098" s="3">
        <v>5.5</v>
      </c>
      <c r="M2098" t="str">
        <f>IF(acs2015_county_data[[#This Row],[PublicWork]]&gt;='Описательные характеристики'!$F$5,"да","нет")</f>
        <v>нет</v>
      </c>
      <c r="N2098" t="str">
        <f>IF(acs2015_county_data[[#This Row],[Unemployment]]&gt;='Описательные характеристики'!$I$5,"да","нет")</f>
        <v>нет</v>
      </c>
    </row>
    <row r="2099" spans="1:14" x14ac:dyDescent="0.35">
      <c r="A2099">
        <v>39109</v>
      </c>
      <c r="B2099" t="s">
        <v>578</v>
      </c>
      <c r="C2099" t="s">
        <v>576</v>
      </c>
      <c r="D2099" s="2">
        <v>103517</v>
      </c>
      <c r="E2099" s="2">
        <v>26320</v>
      </c>
      <c r="F2099" s="3">
        <v>3</v>
      </c>
      <c r="G2099" s="3">
        <v>49186</v>
      </c>
      <c r="H2099" s="3">
        <v>83.4</v>
      </c>
      <c r="I2099" s="3">
        <v>11.4</v>
      </c>
      <c r="J2099" s="3">
        <v>4.8</v>
      </c>
      <c r="K2099" s="3">
        <v>0.4</v>
      </c>
      <c r="L2099" s="3">
        <v>7.6</v>
      </c>
      <c r="M2099" t="str">
        <f>IF(acs2015_county_data[[#This Row],[PublicWork]]&gt;='Описательные характеристики'!$F$5,"да","нет")</f>
        <v>нет</v>
      </c>
      <c r="N2099" t="str">
        <f>IF(acs2015_county_data[[#This Row],[Unemployment]]&gt;='Описательные характеристики'!$I$5,"да","нет")</f>
        <v>да</v>
      </c>
    </row>
    <row r="2100" spans="1:14" x14ac:dyDescent="0.35">
      <c r="A2100">
        <v>39111</v>
      </c>
      <c r="B2100" t="s">
        <v>578</v>
      </c>
      <c r="C2100" t="s">
        <v>62</v>
      </c>
      <c r="D2100" s="2">
        <v>14547</v>
      </c>
      <c r="E2100" s="2">
        <v>22522</v>
      </c>
      <c r="F2100" s="3">
        <v>2.4</v>
      </c>
      <c r="G2100" s="3">
        <v>5571</v>
      </c>
      <c r="H2100" s="3">
        <v>78.3</v>
      </c>
      <c r="I2100" s="3">
        <v>14.3</v>
      </c>
      <c r="J2100" s="3">
        <v>7.3</v>
      </c>
      <c r="K2100" s="3">
        <v>0.1</v>
      </c>
      <c r="L2100" s="3">
        <v>7.4</v>
      </c>
      <c r="M2100" t="str">
        <f>IF(acs2015_county_data[[#This Row],[PublicWork]]&gt;='Описательные характеристики'!$F$5,"да","нет")</f>
        <v>нет</v>
      </c>
      <c r="N2100" t="str">
        <f>IF(acs2015_county_data[[#This Row],[Unemployment]]&gt;='Описательные характеристики'!$I$5,"да","нет")</f>
        <v>нет</v>
      </c>
    </row>
    <row r="2101" spans="1:14" x14ac:dyDescent="0.35">
      <c r="A2101">
        <v>39113</v>
      </c>
      <c r="B2101" t="s">
        <v>578</v>
      </c>
      <c r="C2101" t="s">
        <v>158</v>
      </c>
      <c r="D2101" s="2">
        <v>533763</v>
      </c>
      <c r="E2101" s="2">
        <v>25734</v>
      </c>
      <c r="F2101" s="3">
        <v>3.1</v>
      </c>
      <c r="G2101" s="3">
        <v>236657</v>
      </c>
      <c r="H2101" s="3">
        <v>80.8</v>
      </c>
      <c r="I2101" s="3">
        <v>14.1</v>
      </c>
      <c r="J2101" s="3">
        <v>5</v>
      </c>
      <c r="K2101" s="3">
        <v>0.1</v>
      </c>
      <c r="L2101" s="3">
        <v>9.4</v>
      </c>
      <c r="M2101" t="str">
        <f>IF(acs2015_county_data[[#This Row],[PublicWork]]&gt;='Описательные характеристики'!$F$5,"да","нет")</f>
        <v>нет</v>
      </c>
      <c r="N2101" t="str">
        <f>IF(acs2015_county_data[[#This Row],[Unemployment]]&gt;='Описательные характеристики'!$I$5,"да","нет")</f>
        <v>да</v>
      </c>
    </row>
    <row r="2102" spans="1:14" x14ac:dyDescent="0.35">
      <c r="A2102">
        <v>39115</v>
      </c>
      <c r="B2102" t="s">
        <v>578</v>
      </c>
      <c r="C2102" t="s">
        <v>63</v>
      </c>
      <c r="D2102" s="2">
        <v>14913</v>
      </c>
      <c r="E2102" s="2">
        <v>20180</v>
      </c>
      <c r="F2102" s="3">
        <v>3.2</v>
      </c>
      <c r="G2102" s="3">
        <v>5678</v>
      </c>
      <c r="H2102" s="3">
        <v>73.5</v>
      </c>
      <c r="I2102" s="3">
        <v>16.899999999999999</v>
      </c>
      <c r="J2102" s="3">
        <v>9.1999999999999993</v>
      </c>
      <c r="K2102" s="3">
        <v>0.5</v>
      </c>
      <c r="L2102" s="3">
        <v>9.3000000000000007</v>
      </c>
      <c r="M2102" t="str">
        <f>IF(acs2015_county_data[[#This Row],[PublicWork]]&gt;='Описательные характеристики'!$F$5,"да","нет")</f>
        <v>да</v>
      </c>
      <c r="N2102" t="str">
        <f>IF(acs2015_county_data[[#This Row],[Unemployment]]&gt;='Описательные характеристики'!$I$5,"да","нет")</f>
        <v>да</v>
      </c>
    </row>
    <row r="2103" spans="1:14" x14ac:dyDescent="0.35">
      <c r="A2103">
        <v>39117</v>
      </c>
      <c r="B2103" t="s">
        <v>578</v>
      </c>
      <c r="C2103" t="s">
        <v>1337</v>
      </c>
      <c r="D2103" s="2">
        <v>34996</v>
      </c>
      <c r="E2103" s="2">
        <v>23420</v>
      </c>
      <c r="F2103" s="3">
        <v>3.2</v>
      </c>
      <c r="G2103" s="3">
        <v>16096</v>
      </c>
      <c r="H2103" s="3">
        <v>77.5</v>
      </c>
      <c r="I2103" s="3">
        <v>15</v>
      </c>
      <c r="J2103" s="3">
        <v>6.9</v>
      </c>
      <c r="K2103" s="3">
        <v>0.5</v>
      </c>
      <c r="L2103" s="3">
        <v>7</v>
      </c>
      <c r="M2103" t="str">
        <f>IF(acs2015_county_data[[#This Row],[PublicWork]]&gt;='Описательные характеристики'!$F$5,"да","нет")</f>
        <v>нет</v>
      </c>
      <c r="N2103" t="str">
        <f>IF(acs2015_county_data[[#This Row],[Unemployment]]&gt;='Описательные характеристики'!$I$5,"да","нет")</f>
        <v>нет</v>
      </c>
    </row>
    <row r="2104" spans="1:14" x14ac:dyDescent="0.35">
      <c r="A2104">
        <v>39119</v>
      </c>
      <c r="B2104" t="s">
        <v>578</v>
      </c>
      <c r="C2104" t="s">
        <v>1338</v>
      </c>
      <c r="D2104" s="2">
        <v>86016</v>
      </c>
      <c r="E2104" s="2">
        <v>21274</v>
      </c>
      <c r="F2104" s="3">
        <v>2.7</v>
      </c>
      <c r="G2104" s="3">
        <v>37501</v>
      </c>
      <c r="H2104" s="3">
        <v>83.6</v>
      </c>
      <c r="I2104" s="3">
        <v>11.4</v>
      </c>
      <c r="J2104" s="3">
        <v>4.9000000000000004</v>
      </c>
      <c r="K2104" s="3">
        <v>0.1</v>
      </c>
      <c r="L2104" s="3">
        <v>8.3000000000000007</v>
      </c>
      <c r="M2104" t="str">
        <f>IF(acs2015_county_data[[#This Row],[PublicWork]]&gt;='Описательные характеристики'!$F$5,"да","нет")</f>
        <v>нет</v>
      </c>
      <c r="N2104" t="str">
        <f>IF(acs2015_county_data[[#This Row],[Unemployment]]&gt;='Описательные характеристики'!$I$5,"да","нет")</f>
        <v>да</v>
      </c>
    </row>
    <row r="2105" spans="1:14" x14ac:dyDescent="0.35">
      <c r="A2105">
        <v>39121</v>
      </c>
      <c r="B2105" t="s">
        <v>578</v>
      </c>
      <c r="C2105" t="s">
        <v>577</v>
      </c>
      <c r="D2105" s="2">
        <v>14508</v>
      </c>
      <c r="E2105" s="2">
        <v>21788</v>
      </c>
      <c r="F2105" s="3">
        <v>3.7</v>
      </c>
      <c r="G2105" s="3">
        <v>4641</v>
      </c>
      <c r="H2105" s="3">
        <v>78.7</v>
      </c>
      <c r="I2105" s="3">
        <v>15.2</v>
      </c>
      <c r="J2105" s="3">
        <v>6.1</v>
      </c>
      <c r="K2105" s="3">
        <v>0</v>
      </c>
      <c r="L2105" s="3">
        <v>7</v>
      </c>
      <c r="M2105" t="str">
        <f>IF(acs2015_county_data[[#This Row],[PublicWork]]&gt;='Описательные характеристики'!$F$5,"да","нет")</f>
        <v>нет</v>
      </c>
      <c r="N2105" t="str">
        <f>IF(acs2015_county_data[[#This Row],[Unemployment]]&gt;='Описательные характеристики'!$I$5,"да","нет")</f>
        <v>нет</v>
      </c>
    </row>
    <row r="2106" spans="1:14" x14ac:dyDescent="0.35">
      <c r="A2106">
        <v>39123</v>
      </c>
      <c r="B2106" t="s">
        <v>578</v>
      </c>
      <c r="C2106" t="s">
        <v>684</v>
      </c>
      <c r="D2106" s="2">
        <v>41162</v>
      </c>
      <c r="E2106" s="2">
        <v>29343</v>
      </c>
      <c r="F2106" s="3">
        <v>4.3</v>
      </c>
      <c r="G2106" s="3">
        <v>19539</v>
      </c>
      <c r="H2106" s="3">
        <v>82.2</v>
      </c>
      <c r="I2106" s="3">
        <v>11.6</v>
      </c>
      <c r="J2106" s="3">
        <v>5.8</v>
      </c>
      <c r="K2106" s="3">
        <v>0.3</v>
      </c>
      <c r="L2106" s="3">
        <v>5.5</v>
      </c>
      <c r="M2106" t="str">
        <f>IF(acs2015_county_data[[#This Row],[PublicWork]]&gt;='Описательные характеристики'!$F$5,"да","нет")</f>
        <v>нет</v>
      </c>
      <c r="N2106" t="str">
        <f>IF(acs2015_county_data[[#This Row],[Unemployment]]&gt;='Описательные характеристики'!$I$5,"да","нет")</f>
        <v>нет</v>
      </c>
    </row>
    <row r="2107" spans="1:14" x14ac:dyDescent="0.35">
      <c r="A2107">
        <v>39125</v>
      </c>
      <c r="B2107" t="s">
        <v>578</v>
      </c>
      <c r="C2107" t="s">
        <v>428</v>
      </c>
      <c r="D2107" s="2">
        <v>19165</v>
      </c>
      <c r="E2107" s="2">
        <v>23836</v>
      </c>
      <c r="F2107" s="3">
        <v>4</v>
      </c>
      <c r="G2107" s="3">
        <v>8638</v>
      </c>
      <c r="H2107" s="3">
        <v>81</v>
      </c>
      <c r="I2107" s="3">
        <v>12.9</v>
      </c>
      <c r="J2107" s="3">
        <v>6.1</v>
      </c>
      <c r="K2107" s="3">
        <v>0</v>
      </c>
      <c r="L2107" s="3">
        <v>6.6</v>
      </c>
      <c r="M2107" t="str">
        <f>IF(acs2015_county_data[[#This Row],[PublicWork]]&gt;='Описательные характеристики'!$F$5,"да","нет")</f>
        <v>нет</v>
      </c>
      <c r="N2107" t="str">
        <f>IF(acs2015_county_data[[#This Row],[Unemployment]]&gt;='Описательные характеристики'!$I$5,"да","нет")</f>
        <v>нет</v>
      </c>
    </row>
    <row r="2108" spans="1:14" x14ac:dyDescent="0.35">
      <c r="A2108">
        <v>39127</v>
      </c>
      <c r="B2108" t="s">
        <v>578</v>
      </c>
      <c r="C2108" t="s">
        <v>64</v>
      </c>
      <c r="D2108" s="2">
        <v>36025</v>
      </c>
      <c r="E2108" s="2">
        <v>20302</v>
      </c>
      <c r="F2108" s="3">
        <v>2.2000000000000002</v>
      </c>
      <c r="G2108" s="3">
        <v>14630</v>
      </c>
      <c r="H2108" s="3">
        <v>79.3</v>
      </c>
      <c r="I2108" s="3">
        <v>15.9</v>
      </c>
      <c r="J2108" s="3">
        <v>4.8</v>
      </c>
      <c r="K2108" s="3">
        <v>0</v>
      </c>
      <c r="L2108" s="3">
        <v>9.5</v>
      </c>
      <c r="M2108" t="str">
        <f>IF(acs2015_county_data[[#This Row],[PublicWork]]&gt;='Описательные характеристики'!$F$5,"да","нет")</f>
        <v>нет</v>
      </c>
      <c r="N2108" t="str">
        <f>IF(acs2015_county_data[[#This Row],[Unemployment]]&gt;='Описательные характеристики'!$I$5,"да","нет")</f>
        <v>да</v>
      </c>
    </row>
    <row r="2109" spans="1:14" x14ac:dyDescent="0.35">
      <c r="A2109">
        <v>39129</v>
      </c>
      <c r="B2109" t="s">
        <v>578</v>
      </c>
      <c r="C2109" t="s">
        <v>1339</v>
      </c>
      <c r="D2109" s="2">
        <v>56515</v>
      </c>
      <c r="E2109" s="2">
        <v>24921</v>
      </c>
      <c r="F2109" s="3">
        <v>3.3</v>
      </c>
      <c r="G2109" s="3">
        <v>24777</v>
      </c>
      <c r="H2109" s="3">
        <v>77.5</v>
      </c>
      <c r="I2109" s="3">
        <v>16.899999999999999</v>
      </c>
      <c r="J2109" s="3">
        <v>5.4</v>
      </c>
      <c r="K2109" s="3">
        <v>0.2</v>
      </c>
      <c r="L2109" s="3">
        <v>6.9</v>
      </c>
      <c r="M2109" t="str">
        <f>IF(acs2015_county_data[[#This Row],[PublicWork]]&gt;='Описательные характеристики'!$F$5,"да","нет")</f>
        <v>да</v>
      </c>
      <c r="N2109" t="str">
        <f>IF(acs2015_county_data[[#This Row],[Unemployment]]&gt;='Описательные характеристики'!$I$5,"да","нет")</f>
        <v>нет</v>
      </c>
    </row>
    <row r="2110" spans="1:14" x14ac:dyDescent="0.35">
      <c r="A2110">
        <v>39131</v>
      </c>
      <c r="B2110" t="s">
        <v>578</v>
      </c>
      <c r="C2110" t="s">
        <v>66</v>
      </c>
      <c r="D2110" s="2">
        <v>28396</v>
      </c>
      <c r="E2110" s="2">
        <v>20790</v>
      </c>
      <c r="F2110" s="3">
        <v>3.4</v>
      </c>
      <c r="G2110" s="3">
        <v>9887</v>
      </c>
      <c r="H2110" s="3">
        <v>73.8</v>
      </c>
      <c r="I2110" s="3">
        <v>19.2</v>
      </c>
      <c r="J2110" s="3">
        <v>6.6</v>
      </c>
      <c r="K2110" s="3">
        <v>0.4</v>
      </c>
      <c r="L2110" s="3">
        <v>13.4</v>
      </c>
      <c r="M2110" t="str">
        <f>IF(acs2015_county_data[[#This Row],[PublicWork]]&gt;='Описательные характеристики'!$F$5,"да","нет")</f>
        <v>да</v>
      </c>
      <c r="N2110" t="str">
        <f>IF(acs2015_county_data[[#This Row],[Unemployment]]&gt;='Описательные характеристики'!$I$5,"да","нет")</f>
        <v>да</v>
      </c>
    </row>
    <row r="2111" spans="1:14" x14ac:dyDescent="0.35">
      <c r="A2111">
        <v>39133</v>
      </c>
      <c r="B2111" t="s">
        <v>578</v>
      </c>
      <c r="C2111" t="s">
        <v>1340</v>
      </c>
      <c r="D2111" s="2">
        <v>161897</v>
      </c>
      <c r="E2111" s="2">
        <v>26042</v>
      </c>
      <c r="F2111" s="3">
        <v>4.3</v>
      </c>
      <c r="G2111" s="3">
        <v>81544</v>
      </c>
      <c r="H2111" s="3">
        <v>83.2</v>
      </c>
      <c r="I2111" s="3">
        <v>12</v>
      </c>
      <c r="J2111" s="3">
        <v>4.7</v>
      </c>
      <c r="K2111" s="3">
        <v>0.1</v>
      </c>
      <c r="L2111" s="3">
        <v>8.6999999999999993</v>
      </c>
      <c r="M2111" t="str">
        <f>IF(acs2015_county_data[[#This Row],[PublicWork]]&gt;='Описательные характеристики'!$F$5,"да","нет")</f>
        <v>нет</v>
      </c>
      <c r="N2111" t="str">
        <f>IF(acs2015_county_data[[#This Row],[Unemployment]]&gt;='Описательные характеристики'!$I$5,"да","нет")</f>
        <v>да</v>
      </c>
    </row>
    <row r="2112" spans="1:14" x14ac:dyDescent="0.35">
      <c r="A2112">
        <v>39135</v>
      </c>
      <c r="B2112" t="s">
        <v>578</v>
      </c>
      <c r="C2112" t="s">
        <v>1341</v>
      </c>
      <c r="D2112" s="2">
        <v>41682</v>
      </c>
      <c r="E2112" s="2">
        <v>23414</v>
      </c>
      <c r="F2112" s="3">
        <v>3.1</v>
      </c>
      <c r="G2112" s="3">
        <v>19308</v>
      </c>
      <c r="H2112" s="3">
        <v>82.1</v>
      </c>
      <c r="I2112" s="3">
        <v>11.4</v>
      </c>
      <c r="J2112" s="3">
        <v>6.5</v>
      </c>
      <c r="K2112" s="3">
        <v>0</v>
      </c>
      <c r="L2112" s="3">
        <v>7.3</v>
      </c>
      <c r="M2112" t="str">
        <f>IF(acs2015_county_data[[#This Row],[PublicWork]]&gt;='Описательные характеристики'!$F$5,"да","нет")</f>
        <v>нет</v>
      </c>
      <c r="N2112" t="str">
        <f>IF(acs2015_county_data[[#This Row],[Unemployment]]&gt;='Описательные характеристики'!$I$5,"да","нет")</f>
        <v>нет</v>
      </c>
    </row>
    <row r="2113" spans="1:14" x14ac:dyDescent="0.35">
      <c r="A2113">
        <v>39137</v>
      </c>
      <c r="B2113" t="s">
        <v>578</v>
      </c>
      <c r="C2113" t="s">
        <v>343</v>
      </c>
      <c r="D2113" s="2">
        <v>34184</v>
      </c>
      <c r="E2113" s="2">
        <v>26269</v>
      </c>
      <c r="F2113" s="3">
        <v>2.7</v>
      </c>
      <c r="G2113" s="3">
        <v>17579</v>
      </c>
      <c r="H2113" s="3">
        <v>84.7</v>
      </c>
      <c r="I2113" s="3">
        <v>11</v>
      </c>
      <c r="J2113" s="3">
        <v>4.0999999999999996</v>
      </c>
      <c r="K2113" s="3">
        <v>0.1</v>
      </c>
      <c r="L2113" s="3">
        <v>3.4</v>
      </c>
      <c r="M2113" t="str">
        <f>IF(acs2015_county_data[[#This Row],[PublicWork]]&gt;='Описательные характеристики'!$F$5,"да","нет")</f>
        <v>нет</v>
      </c>
      <c r="N2113" t="str">
        <f>IF(acs2015_county_data[[#This Row],[Unemployment]]&gt;='Описательные характеристики'!$I$5,"да","нет")</f>
        <v>нет</v>
      </c>
    </row>
    <row r="2114" spans="1:14" x14ac:dyDescent="0.35">
      <c r="A2114">
        <v>39139</v>
      </c>
      <c r="B2114" t="s">
        <v>578</v>
      </c>
      <c r="C2114" t="s">
        <v>544</v>
      </c>
      <c r="D2114" s="2">
        <v>122312</v>
      </c>
      <c r="E2114" s="2">
        <v>22367</v>
      </c>
      <c r="F2114" s="3">
        <v>2.9</v>
      </c>
      <c r="G2114" s="3">
        <v>50632</v>
      </c>
      <c r="H2114" s="3">
        <v>81.7</v>
      </c>
      <c r="I2114" s="3">
        <v>12.3</v>
      </c>
      <c r="J2114" s="3">
        <v>5.8</v>
      </c>
      <c r="K2114" s="3">
        <v>0.2</v>
      </c>
      <c r="L2114" s="3">
        <v>8.6999999999999993</v>
      </c>
      <c r="M2114" t="str">
        <f>IF(acs2015_county_data[[#This Row],[PublicWork]]&gt;='Описательные характеристики'!$F$5,"да","нет")</f>
        <v>нет</v>
      </c>
      <c r="N2114" t="str">
        <f>IF(acs2015_county_data[[#This Row],[Unemployment]]&gt;='Описательные характеристики'!$I$5,"да","нет")</f>
        <v>да</v>
      </c>
    </row>
    <row r="2115" spans="1:14" x14ac:dyDescent="0.35">
      <c r="A2115">
        <v>39141</v>
      </c>
      <c r="B2115" t="s">
        <v>578</v>
      </c>
      <c r="C2115" t="s">
        <v>1342</v>
      </c>
      <c r="D2115" s="2">
        <v>77334</v>
      </c>
      <c r="E2115" s="2">
        <v>21365</v>
      </c>
      <c r="F2115" s="3">
        <v>1.8</v>
      </c>
      <c r="G2115" s="3">
        <v>30096</v>
      </c>
      <c r="H2115" s="3">
        <v>78.3</v>
      </c>
      <c r="I2115" s="3">
        <v>17.3</v>
      </c>
      <c r="J2115" s="3">
        <v>4.2</v>
      </c>
      <c r="K2115" s="3">
        <v>0.2</v>
      </c>
      <c r="L2115" s="3">
        <v>11.3</v>
      </c>
      <c r="M2115" t="str">
        <f>IF(acs2015_county_data[[#This Row],[PublicWork]]&gt;='Описательные характеристики'!$F$5,"да","нет")</f>
        <v>да</v>
      </c>
      <c r="N2115" t="str">
        <f>IF(acs2015_county_data[[#This Row],[Unemployment]]&gt;='Описательные характеристики'!$I$5,"да","нет")</f>
        <v>да</v>
      </c>
    </row>
    <row r="2116" spans="1:14" x14ac:dyDescent="0.35">
      <c r="A2116">
        <v>39143</v>
      </c>
      <c r="B2116" t="s">
        <v>578</v>
      </c>
      <c r="C2116" t="s">
        <v>1343</v>
      </c>
      <c r="D2116" s="2">
        <v>60187</v>
      </c>
      <c r="E2116" s="2">
        <v>23782</v>
      </c>
      <c r="F2116" s="3">
        <v>1.9</v>
      </c>
      <c r="G2116" s="3">
        <v>28181</v>
      </c>
      <c r="H2116" s="3">
        <v>85.4</v>
      </c>
      <c r="I2116" s="3">
        <v>9.9</v>
      </c>
      <c r="J2116" s="3">
        <v>4.5999999999999996</v>
      </c>
      <c r="K2116" s="3">
        <v>0.1</v>
      </c>
      <c r="L2116" s="3">
        <v>7.6</v>
      </c>
      <c r="M2116" t="str">
        <f>IF(acs2015_county_data[[#This Row],[PublicWork]]&gt;='Описательные характеристики'!$F$5,"да","нет")</f>
        <v>нет</v>
      </c>
      <c r="N2116" t="str">
        <f>IF(acs2015_county_data[[#This Row],[Unemployment]]&gt;='Описательные характеристики'!$I$5,"да","нет")</f>
        <v>да</v>
      </c>
    </row>
    <row r="2117" spans="1:14" x14ac:dyDescent="0.35">
      <c r="A2117">
        <v>39145</v>
      </c>
      <c r="B2117" t="s">
        <v>578</v>
      </c>
      <c r="C2117" t="s">
        <v>1344</v>
      </c>
      <c r="D2117" s="2">
        <v>78017</v>
      </c>
      <c r="E2117" s="2">
        <v>19769</v>
      </c>
      <c r="F2117" s="3">
        <v>2.5</v>
      </c>
      <c r="G2117" s="3">
        <v>27592</v>
      </c>
      <c r="H2117" s="3">
        <v>75.900000000000006</v>
      </c>
      <c r="I2117" s="3">
        <v>18.8</v>
      </c>
      <c r="J2117" s="3">
        <v>4.9000000000000004</v>
      </c>
      <c r="K2117" s="3">
        <v>0.4</v>
      </c>
      <c r="L2117" s="3">
        <v>9.6</v>
      </c>
      <c r="M2117" t="str">
        <f>IF(acs2015_county_data[[#This Row],[PublicWork]]&gt;='Описательные характеристики'!$F$5,"да","нет")</f>
        <v>да</v>
      </c>
      <c r="N2117" t="str">
        <f>IF(acs2015_county_data[[#This Row],[Unemployment]]&gt;='Описательные характеристики'!$I$5,"да","нет")</f>
        <v>да</v>
      </c>
    </row>
    <row r="2118" spans="1:14" x14ac:dyDescent="0.35">
      <c r="A2118">
        <v>39147</v>
      </c>
      <c r="B2118" t="s">
        <v>578</v>
      </c>
      <c r="C2118" t="s">
        <v>1211</v>
      </c>
      <c r="D2118" s="2">
        <v>55929</v>
      </c>
      <c r="E2118" s="2">
        <v>23020</v>
      </c>
      <c r="F2118" s="3">
        <v>2.2999999999999998</v>
      </c>
      <c r="G2118" s="3">
        <v>25327</v>
      </c>
      <c r="H2118" s="3">
        <v>84</v>
      </c>
      <c r="I2118" s="3">
        <v>11.1</v>
      </c>
      <c r="J2118" s="3">
        <v>4.8</v>
      </c>
      <c r="K2118" s="3">
        <v>0.1</v>
      </c>
      <c r="L2118" s="3">
        <v>8.1</v>
      </c>
      <c r="M2118" t="str">
        <f>IF(acs2015_county_data[[#This Row],[PublicWork]]&gt;='Описательные характеристики'!$F$5,"да","нет")</f>
        <v>нет</v>
      </c>
      <c r="N2118" t="str">
        <f>IF(acs2015_county_data[[#This Row],[Unemployment]]&gt;='Описательные характеристики'!$I$5,"да","нет")</f>
        <v>да</v>
      </c>
    </row>
    <row r="2119" spans="1:14" x14ac:dyDescent="0.35">
      <c r="A2119">
        <v>39149</v>
      </c>
      <c r="B2119" t="s">
        <v>578</v>
      </c>
      <c r="C2119" t="s">
        <v>70</v>
      </c>
      <c r="D2119" s="2">
        <v>49067</v>
      </c>
      <c r="E2119" s="2">
        <v>26741</v>
      </c>
      <c r="F2119" s="3">
        <v>2.6</v>
      </c>
      <c r="G2119" s="3">
        <v>23649</v>
      </c>
      <c r="H2119" s="3">
        <v>85.1</v>
      </c>
      <c r="I2119" s="3">
        <v>9.8000000000000007</v>
      </c>
      <c r="J2119" s="3">
        <v>4.8</v>
      </c>
      <c r="K2119" s="3">
        <v>0.3</v>
      </c>
      <c r="L2119" s="3">
        <v>6.7</v>
      </c>
      <c r="M2119" t="str">
        <f>IF(acs2015_county_data[[#This Row],[PublicWork]]&gt;='Описательные характеристики'!$F$5,"да","нет")</f>
        <v>нет</v>
      </c>
      <c r="N2119" t="str">
        <f>IF(acs2015_county_data[[#This Row],[Unemployment]]&gt;='Описательные характеристики'!$I$5,"да","нет")</f>
        <v>нет</v>
      </c>
    </row>
    <row r="2120" spans="1:14" x14ac:dyDescent="0.35">
      <c r="A2120">
        <v>39151</v>
      </c>
      <c r="B2120" t="s">
        <v>578</v>
      </c>
      <c r="C2120" t="s">
        <v>548</v>
      </c>
      <c r="D2120" s="2">
        <v>374979</v>
      </c>
      <c r="E2120" s="2">
        <v>25547</v>
      </c>
      <c r="F2120" s="3">
        <v>2.8</v>
      </c>
      <c r="G2120" s="3">
        <v>174941</v>
      </c>
      <c r="H2120" s="3">
        <v>84.4</v>
      </c>
      <c r="I2120" s="3">
        <v>10.199999999999999</v>
      </c>
      <c r="J2120" s="3">
        <v>5.3</v>
      </c>
      <c r="K2120" s="3">
        <v>0.1</v>
      </c>
      <c r="L2120" s="3">
        <v>8.5</v>
      </c>
      <c r="M2120" t="str">
        <f>IF(acs2015_county_data[[#This Row],[PublicWork]]&gt;='Описательные характеристики'!$F$5,"да","нет")</f>
        <v>нет</v>
      </c>
      <c r="N2120" t="str">
        <f>IF(acs2015_county_data[[#This Row],[Unemployment]]&gt;='Описательные характеристики'!$I$5,"да","нет")</f>
        <v>да</v>
      </c>
    </row>
    <row r="2121" spans="1:14" x14ac:dyDescent="0.35">
      <c r="A2121">
        <v>39153</v>
      </c>
      <c r="B2121" t="s">
        <v>578</v>
      </c>
      <c r="C2121" t="s">
        <v>288</v>
      </c>
      <c r="D2121" s="2">
        <v>541847</v>
      </c>
      <c r="E2121" s="2">
        <v>28986</v>
      </c>
      <c r="F2121" s="3">
        <v>2.9</v>
      </c>
      <c r="G2121" s="3">
        <v>258416</v>
      </c>
      <c r="H2121" s="3">
        <v>84.2</v>
      </c>
      <c r="I2121" s="3">
        <v>11.2</v>
      </c>
      <c r="J2121" s="3">
        <v>4.5</v>
      </c>
      <c r="K2121" s="3">
        <v>0.1</v>
      </c>
      <c r="L2121" s="3">
        <v>8.4</v>
      </c>
      <c r="M2121" t="str">
        <f>IF(acs2015_county_data[[#This Row],[PublicWork]]&gt;='Описательные характеристики'!$F$5,"да","нет")</f>
        <v>нет</v>
      </c>
      <c r="N2121" t="str">
        <f>IF(acs2015_county_data[[#This Row],[Unemployment]]&gt;='Описательные характеристики'!$I$5,"да","нет")</f>
        <v>да</v>
      </c>
    </row>
    <row r="2122" spans="1:14" x14ac:dyDescent="0.35">
      <c r="A2122">
        <v>39155</v>
      </c>
      <c r="B2122" t="s">
        <v>578</v>
      </c>
      <c r="C2122" t="s">
        <v>1345</v>
      </c>
      <c r="D2122" s="2">
        <v>206373</v>
      </c>
      <c r="E2122" s="2">
        <v>23509</v>
      </c>
      <c r="F2122" s="3">
        <v>2.5</v>
      </c>
      <c r="G2122" s="3">
        <v>88133</v>
      </c>
      <c r="H2122" s="3">
        <v>82.9</v>
      </c>
      <c r="I2122" s="3">
        <v>11.6</v>
      </c>
      <c r="J2122" s="3">
        <v>5.4</v>
      </c>
      <c r="K2122" s="3">
        <v>0.2</v>
      </c>
      <c r="L2122" s="3">
        <v>7.4</v>
      </c>
      <c r="M2122" t="str">
        <f>IF(acs2015_county_data[[#This Row],[PublicWork]]&gt;='Описательные характеристики'!$F$5,"да","нет")</f>
        <v>нет</v>
      </c>
      <c r="N2122" t="str">
        <f>IF(acs2015_county_data[[#This Row],[Unemployment]]&gt;='Описательные характеристики'!$I$5,"да","нет")</f>
        <v>нет</v>
      </c>
    </row>
    <row r="2123" spans="1:14" x14ac:dyDescent="0.35">
      <c r="A2123">
        <v>39157</v>
      </c>
      <c r="B2123" t="s">
        <v>578</v>
      </c>
      <c r="C2123" t="s">
        <v>1346</v>
      </c>
      <c r="D2123" s="2">
        <v>92697</v>
      </c>
      <c r="E2123" s="2">
        <v>23314</v>
      </c>
      <c r="F2123" s="3">
        <v>2.5</v>
      </c>
      <c r="G2123" s="3">
        <v>42879</v>
      </c>
      <c r="H2123" s="3">
        <v>84.5</v>
      </c>
      <c r="I2123" s="3">
        <v>10</v>
      </c>
      <c r="J2123" s="3">
        <v>5.3</v>
      </c>
      <c r="K2123" s="3">
        <v>0.2</v>
      </c>
      <c r="L2123" s="3">
        <v>7</v>
      </c>
      <c r="M2123" t="str">
        <f>IF(acs2015_county_data[[#This Row],[PublicWork]]&gt;='Описательные характеристики'!$F$5,"да","нет")</f>
        <v>нет</v>
      </c>
      <c r="N2123" t="str">
        <f>IF(acs2015_county_data[[#This Row],[Unemployment]]&gt;='Описательные характеристики'!$I$5,"да","нет")</f>
        <v>нет</v>
      </c>
    </row>
    <row r="2124" spans="1:14" x14ac:dyDescent="0.35">
      <c r="A2124">
        <v>39159</v>
      </c>
      <c r="B2124" t="s">
        <v>578</v>
      </c>
      <c r="C2124" t="s">
        <v>175</v>
      </c>
      <c r="D2124" s="2">
        <v>53470</v>
      </c>
      <c r="E2124" s="2">
        <v>28549</v>
      </c>
      <c r="F2124" s="3">
        <v>6.4</v>
      </c>
      <c r="G2124" s="3">
        <v>25357</v>
      </c>
      <c r="H2124" s="3">
        <v>77.7</v>
      </c>
      <c r="I2124" s="3">
        <v>14.2</v>
      </c>
      <c r="J2124" s="3">
        <v>7.6</v>
      </c>
      <c r="K2124" s="3">
        <v>0.4</v>
      </c>
      <c r="L2124" s="3">
        <v>4.2</v>
      </c>
      <c r="M2124" t="str">
        <f>IF(acs2015_county_data[[#This Row],[PublicWork]]&gt;='Описательные характеристики'!$F$5,"да","нет")</f>
        <v>нет</v>
      </c>
      <c r="N2124" t="str">
        <f>IF(acs2015_county_data[[#This Row],[Unemployment]]&gt;='Описательные характеристики'!$I$5,"да","нет")</f>
        <v>нет</v>
      </c>
    </row>
    <row r="2125" spans="1:14" x14ac:dyDescent="0.35">
      <c r="A2125">
        <v>39161</v>
      </c>
      <c r="B2125" t="s">
        <v>578</v>
      </c>
      <c r="C2125" t="s">
        <v>1347</v>
      </c>
      <c r="D2125" s="2">
        <v>28576</v>
      </c>
      <c r="E2125" s="2">
        <v>24422</v>
      </c>
      <c r="F2125" s="3">
        <v>2.5</v>
      </c>
      <c r="G2125" s="3">
        <v>13163</v>
      </c>
      <c r="H2125" s="3">
        <v>83.7</v>
      </c>
      <c r="I2125" s="3">
        <v>9.9</v>
      </c>
      <c r="J2125" s="3">
        <v>6.1</v>
      </c>
      <c r="K2125" s="3">
        <v>0.3</v>
      </c>
      <c r="L2125" s="3">
        <v>7.5</v>
      </c>
      <c r="M2125" t="str">
        <f>IF(acs2015_county_data[[#This Row],[PublicWork]]&gt;='Описательные характеристики'!$F$5,"да","нет")</f>
        <v>нет</v>
      </c>
      <c r="N2125" t="str">
        <f>IF(acs2015_county_data[[#This Row],[Unemployment]]&gt;='Описательные характеристики'!$I$5,"да","нет")</f>
        <v>нет</v>
      </c>
    </row>
    <row r="2126" spans="1:14" x14ac:dyDescent="0.35">
      <c r="A2126">
        <v>39163</v>
      </c>
      <c r="B2126" t="s">
        <v>578</v>
      </c>
      <c r="C2126" t="s">
        <v>1348</v>
      </c>
      <c r="D2126" s="2">
        <v>13234</v>
      </c>
      <c r="E2126" s="2">
        <v>18330</v>
      </c>
      <c r="F2126" s="3">
        <v>1.9</v>
      </c>
      <c r="G2126" s="3">
        <v>5060</v>
      </c>
      <c r="H2126" s="3">
        <v>75.7</v>
      </c>
      <c r="I2126" s="3">
        <v>18.399999999999999</v>
      </c>
      <c r="J2126" s="3">
        <v>5.8</v>
      </c>
      <c r="K2126" s="3">
        <v>0</v>
      </c>
      <c r="L2126" s="3">
        <v>12</v>
      </c>
      <c r="M2126" t="str">
        <f>IF(acs2015_county_data[[#This Row],[PublicWork]]&gt;='Описательные характеристики'!$F$5,"да","нет")</f>
        <v>да</v>
      </c>
      <c r="N2126" t="str">
        <f>IF(acs2015_county_data[[#This Row],[Unemployment]]&gt;='Описательные характеристики'!$I$5,"да","нет")</f>
        <v>да</v>
      </c>
    </row>
    <row r="2127" spans="1:14" x14ac:dyDescent="0.35">
      <c r="A2127">
        <v>39165</v>
      </c>
      <c r="B2127" t="s">
        <v>578</v>
      </c>
      <c r="C2127" t="s">
        <v>456</v>
      </c>
      <c r="D2127" s="2">
        <v>219916</v>
      </c>
      <c r="E2127" s="2">
        <v>34271</v>
      </c>
      <c r="F2127" s="3">
        <v>4.5999999999999996</v>
      </c>
      <c r="G2127" s="3">
        <v>105433</v>
      </c>
      <c r="H2127" s="3">
        <v>83.9</v>
      </c>
      <c r="I2127" s="3">
        <v>10.7</v>
      </c>
      <c r="J2127" s="3">
        <v>5.2</v>
      </c>
      <c r="K2127" s="3">
        <v>0.1</v>
      </c>
      <c r="L2127" s="3">
        <v>6.1</v>
      </c>
      <c r="M2127" t="str">
        <f>IF(acs2015_county_data[[#This Row],[PublicWork]]&gt;='Описательные характеристики'!$F$5,"да","нет")</f>
        <v>нет</v>
      </c>
      <c r="N2127" t="str">
        <f>IF(acs2015_county_data[[#This Row],[Unemployment]]&gt;='Описательные характеристики'!$I$5,"да","нет")</f>
        <v>нет</v>
      </c>
    </row>
    <row r="2128" spans="1:14" x14ac:dyDescent="0.35">
      <c r="A2128">
        <v>39167</v>
      </c>
      <c r="B2128" t="s">
        <v>578</v>
      </c>
      <c r="C2128" t="s">
        <v>75</v>
      </c>
      <c r="D2128" s="2">
        <v>61351</v>
      </c>
      <c r="E2128" s="2">
        <v>24013</v>
      </c>
      <c r="F2128" s="3">
        <v>2.5</v>
      </c>
      <c r="G2128" s="3">
        <v>26082</v>
      </c>
      <c r="H2128" s="3">
        <v>80</v>
      </c>
      <c r="I2128" s="3">
        <v>15</v>
      </c>
      <c r="J2128" s="3">
        <v>4.8</v>
      </c>
      <c r="K2128" s="3">
        <v>0.1</v>
      </c>
      <c r="L2128" s="3">
        <v>6.8</v>
      </c>
      <c r="M2128" t="str">
        <f>IF(acs2015_county_data[[#This Row],[PublicWork]]&gt;='Описательные характеристики'!$F$5,"да","нет")</f>
        <v>нет</v>
      </c>
      <c r="N2128" t="str">
        <f>IF(acs2015_county_data[[#This Row],[Unemployment]]&gt;='Описательные характеристики'!$I$5,"да","нет")</f>
        <v>нет</v>
      </c>
    </row>
    <row r="2129" spans="1:14" x14ac:dyDescent="0.35">
      <c r="A2129">
        <v>39169</v>
      </c>
      <c r="B2129" t="s">
        <v>578</v>
      </c>
      <c r="C2129" t="s">
        <v>457</v>
      </c>
      <c r="D2129" s="2">
        <v>115371</v>
      </c>
      <c r="E2129" s="2">
        <v>23695</v>
      </c>
      <c r="F2129" s="3">
        <v>5</v>
      </c>
      <c r="G2129" s="3">
        <v>54503</v>
      </c>
      <c r="H2129" s="3">
        <v>80.7</v>
      </c>
      <c r="I2129" s="3">
        <v>10.8</v>
      </c>
      <c r="J2129" s="3">
        <v>8.1</v>
      </c>
      <c r="K2129" s="3">
        <v>0.3</v>
      </c>
      <c r="L2129" s="3">
        <v>4.8</v>
      </c>
      <c r="M2129" t="str">
        <f>IF(acs2015_county_data[[#This Row],[PublicWork]]&gt;='Описательные характеристики'!$F$5,"да","нет")</f>
        <v>нет</v>
      </c>
      <c r="N2129" t="str">
        <f>IF(acs2015_county_data[[#This Row],[Unemployment]]&gt;='Описательные характеристики'!$I$5,"да","нет")</f>
        <v>нет</v>
      </c>
    </row>
    <row r="2130" spans="1:14" x14ac:dyDescent="0.35">
      <c r="A2130">
        <v>39171</v>
      </c>
      <c r="B2130" t="s">
        <v>578</v>
      </c>
      <c r="C2130" t="s">
        <v>1315</v>
      </c>
      <c r="D2130" s="2">
        <v>37386</v>
      </c>
      <c r="E2130" s="2">
        <v>22234</v>
      </c>
      <c r="F2130" s="3">
        <v>2.2000000000000002</v>
      </c>
      <c r="G2130" s="3">
        <v>17119</v>
      </c>
      <c r="H2130" s="3">
        <v>82.2</v>
      </c>
      <c r="I2130" s="3">
        <v>12.4</v>
      </c>
      <c r="J2130" s="3">
        <v>5.2</v>
      </c>
      <c r="K2130" s="3">
        <v>0.2</v>
      </c>
      <c r="L2130" s="3">
        <v>7.1</v>
      </c>
      <c r="M2130" t="str">
        <f>IF(acs2015_county_data[[#This Row],[PublicWork]]&gt;='Описательные характеристики'!$F$5,"да","нет")</f>
        <v>нет</v>
      </c>
      <c r="N2130" t="str">
        <f>IF(acs2015_county_data[[#This Row],[Unemployment]]&gt;='Описательные характеристики'!$I$5,"да","нет")</f>
        <v>нет</v>
      </c>
    </row>
    <row r="2131" spans="1:14" x14ac:dyDescent="0.35">
      <c r="A2131">
        <v>39173</v>
      </c>
      <c r="B2131" t="s">
        <v>578</v>
      </c>
      <c r="C2131" t="s">
        <v>1349</v>
      </c>
      <c r="D2131" s="2">
        <v>128885</v>
      </c>
      <c r="E2131" s="2">
        <v>27477</v>
      </c>
      <c r="F2131" s="3">
        <v>2.9</v>
      </c>
      <c r="G2131" s="3">
        <v>65406</v>
      </c>
      <c r="H2131" s="3">
        <v>79.3</v>
      </c>
      <c r="I2131" s="3">
        <v>16.100000000000001</v>
      </c>
      <c r="J2131" s="3">
        <v>4.5</v>
      </c>
      <c r="K2131" s="3">
        <v>0.1</v>
      </c>
      <c r="L2131" s="3">
        <v>7.2</v>
      </c>
      <c r="M2131" t="str">
        <f>IF(acs2015_county_data[[#This Row],[PublicWork]]&gt;='Описательные характеристики'!$F$5,"да","нет")</f>
        <v>нет</v>
      </c>
      <c r="N2131" t="str">
        <f>IF(acs2015_county_data[[#This Row],[Unemployment]]&gt;='Описательные характеристики'!$I$5,"да","нет")</f>
        <v>нет</v>
      </c>
    </row>
    <row r="2132" spans="1:14" x14ac:dyDescent="0.35">
      <c r="A2132">
        <v>39175</v>
      </c>
      <c r="B2132" t="s">
        <v>578</v>
      </c>
      <c r="C2132" t="s">
        <v>1350</v>
      </c>
      <c r="D2132" s="2">
        <v>22467</v>
      </c>
      <c r="E2132" s="2">
        <v>24246</v>
      </c>
      <c r="F2132" s="3">
        <v>2.1</v>
      </c>
      <c r="G2132" s="3">
        <v>11017</v>
      </c>
      <c r="H2132" s="3">
        <v>83.6</v>
      </c>
      <c r="I2132" s="3">
        <v>12</v>
      </c>
      <c r="J2132" s="3">
        <v>4.4000000000000004</v>
      </c>
      <c r="K2132" s="3">
        <v>0</v>
      </c>
      <c r="L2132" s="3">
        <v>6.6</v>
      </c>
      <c r="M2132" t="str">
        <f>IF(acs2015_county_data[[#This Row],[PublicWork]]&gt;='Описательные характеристики'!$F$5,"да","нет")</f>
        <v>нет</v>
      </c>
      <c r="N2132" t="str">
        <f>IF(acs2015_county_data[[#This Row],[Unemployment]]&gt;='Описательные характеристики'!$I$5,"да","нет")</f>
        <v>нет</v>
      </c>
    </row>
    <row r="2133" spans="1:14" x14ac:dyDescent="0.35">
      <c r="A2133">
        <v>40001</v>
      </c>
      <c r="B2133" t="s">
        <v>1351</v>
      </c>
      <c r="C2133" t="s">
        <v>599</v>
      </c>
      <c r="D2133" s="2">
        <v>22236</v>
      </c>
      <c r="E2133" s="2">
        <v>16247</v>
      </c>
      <c r="F2133" s="3">
        <v>2.4</v>
      </c>
      <c r="G2133" s="3">
        <v>8336</v>
      </c>
      <c r="H2133" s="3">
        <v>70.5</v>
      </c>
      <c r="I2133" s="3">
        <v>21.9</v>
      </c>
      <c r="J2133" s="3">
        <v>7.3</v>
      </c>
      <c r="K2133" s="3">
        <v>0.4</v>
      </c>
      <c r="L2133" s="3">
        <v>7.9</v>
      </c>
      <c r="M2133" t="str">
        <f>IF(acs2015_county_data[[#This Row],[PublicWork]]&gt;='Описательные характеристики'!$F$5,"да","нет")</f>
        <v>да</v>
      </c>
      <c r="N2133" t="str">
        <f>IF(acs2015_county_data[[#This Row],[Unemployment]]&gt;='Описательные характеристики'!$I$5,"да","нет")</f>
        <v>да</v>
      </c>
    </row>
    <row r="2134" spans="1:14" x14ac:dyDescent="0.35">
      <c r="A2134">
        <v>40003</v>
      </c>
      <c r="B2134" t="s">
        <v>1351</v>
      </c>
      <c r="C2134" t="s">
        <v>1352</v>
      </c>
      <c r="D2134" s="2">
        <v>5755</v>
      </c>
      <c r="E2134" s="2">
        <v>28233</v>
      </c>
      <c r="F2134" s="3">
        <v>4.5</v>
      </c>
      <c r="G2134" s="3">
        <v>2176</v>
      </c>
      <c r="H2134" s="3">
        <v>64</v>
      </c>
      <c r="I2134" s="3">
        <v>20.100000000000001</v>
      </c>
      <c r="J2134" s="3">
        <v>15.6</v>
      </c>
      <c r="K2134" s="3">
        <v>0.4</v>
      </c>
      <c r="L2134" s="3">
        <v>4.9000000000000004</v>
      </c>
      <c r="M2134" t="str">
        <f>IF(acs2015_county_data[[#This Row],[PublicWork]]&gt;='Описательные характеристики'!$F$5,"да","нет")</f>
        <v>да</v>
      </c>
      <c r="N2134" t="str">
        <f>IF(acs2015_county_data[[#This Row],[Unemployment]]&gt;='Описательные характеристики'!$I$5,"да","нет")</f>
        <v>нет</v>
      </c>
    </row>
    <row r="2135" spans="1:14" x14ac:dyDescent="0.35">
      <c r="A2135">
        <v>40005</v>
      </c>
      <c r="B2135" t="s">
        <v>1351</v>
      </c>
      <c r="C2135" t="s">
        <v>1353</v>
      </c>
      <c r="D2135" s="2">
        <v>13906</v>
      </c>
      <c r="E2135" s="2">
        <v>18810</v>
      </c>
      <c r="F2135" s="3">
        <v>5.2</v>
      </c>
      <c r="G2135" s="3">
        <v>4695</v>
      </c>
      <c r="H2135" s="3">
        <v>68.3</v>
      </c>
      <c r="I2135" s="3">
        <v>22.9</v>
      </c>
      <c r="J2135" s="3">
        <v>8.3000000000000007</v>
      </c>
      <c r="K2135" s="3">
        <v>0.4</v>
      </c>
      <c r="L2135" s="3">
        <v>8.6999999999999993</v>
      </c>
      <c r="M2135" t="str">
        <f>IF(acs2015_county_data[[#This Row],[PublicWork]]&gt;='Описательные характеристики'!$F$5,"да","нет")</f>
        <v>да</v>
      </c>
      <c r="N2135" t="str">
        <f>IF(acs2015_county_data[[#This Row],[Unemployment]]&gt;='Описательные характеристики'!$I$5,"да","нет")</f>
        <v>да</v>
      </c>
    </row>
    <row r="2136" spans="1:14" x14ac:dyDescent="0.35">
      <c r="A2136">
        <v>40007</v>
      </c>
      <c r="B2136" t="s">
        <v>1351</v>
      </c>
      <c r="C2136" t="s">
        <v>1354</v>
      </c>
      <c r="D2136" s="2">
        <v>5530</v>
      </c>
      <c r="E2136" s="2">
        <v>26258</v>
      </c>
      <c r="F2136" s="3">
        <v>3.9</v>
      </c>
      <c r="G2136" s="3">
        <v>2555</v>
      </c>
      <c r="H2136" s="3">
        <v>73.3</v>
      </c>
      <c r="I2136" s="3">
        <v>17.2</v>
      </c>
      <c r="J2136" s="3">
        <v>9.3000000000000007</v>
      </c>
      <c r="K2136" s="3">
        <v>0.2</v>
      </c>
      <c r="L2136" s="3">
        <v>3</v>
      </c>
      <c r="M2136" t="str">
        <f>IF(acs2015_county_data[[#This Row],[PublicWork]]&gt;='Описательные характеристики'!$F$5,"да","нет")</f>
        <v>да</v>
      </c>
      <c r="N2136" t="str">
        <f>IF(acs2015_county_data[[#This Row],[Unemployment]]&gt;='Описательные характеристики'!$I$5,"да","нет")</f>
        <v>нет</v>
      </c>
    </row>
    <row r="2137" spans="1:14" x14ac:dyDescent="0.35">
      <c r="A2137">
        <v>40009</v>
      </c>
      <c r="B2137" t="s">
        <v>1351</v>
      </c>
      <c r="C2137" t="s">
        <v>1355</v>
      </c>
      <c r="D2137" s="2">
        <v>23300</v>
      </c>
      <c r="E2137" s="2">
        <v>25156</v>
      </c>
      <c r="F2137" s="3">
        <v>2.4</v>
      </c>
      <c r="G2137" s="3">
        <v>9611</v>
      </c>
      <c r="H2137" s="3">
        <v>78</v>
      </c>
      <c r="I2137" s="3">
        <v>12.4</v>
      </c>
      <c r="J2137" s="3">
        <v>9.1999999999999993</v>
      </c>
      <c r="K2137" s="3">
        <v>0.4</v>
      </c>
      <c r="L2137" s="3">
        <v>2.9</v>
      </c>
      <c r="M2137" t="str">
        <f>IF(acs2015_county_data[[#This Row],[PublicWork]]&gt;='Описательные характеристики'!$F$5,"да","нет")</f>
        <v>нет</v>
      </c>
      <c r="N2137" t="str">
        <f>IF(acs2015_county_data[[#This Row],[Unemployment]]&gt;='Описательные характеристики'!$I$5,"да","нет")</f>
        <v>нет</v>
      </c>
    </row>
    <row r="2138" spans="1:14" x14ac:dyDescent="0.35">
      <c r="A2138">
        <v>40011</v>
      </c>
      <c r="B2138" t="s">
        <v>1351</v>
      </c>
      <c r="C2138" t="s">
        <v>475</v>
      </c>
      <c r="D2138" s="2">
        <v>9810</v>
      </c>
      <c r="E2138" s="2">
        <v>19576</v>
      </c>
      <c r="F2138" s="3">
        <v>5.4</v>
      </c>
      <c r="G2138" s="3">
        <v>3270</v>
      </c>
      <c r="H2138" s="3">
        <v>65.599999999999994</v>
      </c>
      <c r="I2138" s="3">
        <v>22.6</v>
      </c>
      <c r="J2138" s="3">
        <v>10.8</v>
      </c>
      <c r="K2138" s="3">
        <v>1.1000000000000001</v>
      </c>
      <c r="L2138" s="3">
        <v>3</v>
      </c>
      <c r="M2138" t="str">
        <f>IF(acs2015_county_data[[#This Row],[PublicWork]]&gt;='Описательные характеристики'!$F$5,"да","нет")</f>
        <v>да</v>
      </c>
      <c r="N2138" t="str">
        <f>IF(acs2015_county_data[[#This Row],[Unemployment]]&gt;='Описательные характеристики'!$I$5,"да","нет")</f>
        <v>нет</v>
      </c>
    </row>
    <row r="2139" spans="1:14" x14ac:dyDescent="0.35">
      <c r="A2139">
        <v>40013</v>
      </c>
      <c r="B2139" t="s">
        <v>1351</v>
      </c>
      <c r="C2139" t="s">
        <v>366</v>
      </c>
      <c r="D2139" s="2">
        <v>44003</v>
      </c>
      <c r="E2139" s="2">
        <v>20688</v>
      </c>
      <c r="F2139" s="3">
        <v>2.9</v>
      </c>
      <c r="G2139" s="3">
        <v>18472</v>
      </c>
      <c r="H2139" s="3">
        <v>72.3</v>
      </c>
      <c r="I2139" s="3">
        <v>21.5</v>
      </c>
      <c r="J2139" s="3">
        <v>6.1</v>
      </c>
      <c r="K2139" s="3">
        <v>0.1</v>
      </c>
      <c r="L2139" s="3">
        <v>8.1</v>
      </c>
      <c r="M2139" t="str">
        <f>IF(acs2015_county_data[[#This Row],[PublicWork]]&gt;='Описательные характеристики'!$F$5,"да","нет")</f>
        <v>да</v>
      </c>
      <c r="N2139" t="str">
        <f>IF(acs2015_county_data[[#This Row],[Unemployment]]&gt;='Описательные характеристики'!$I$5,"да","нет")</f>
        <v>да</v>
      </c>
    </row>
    <row r="2140" spans="1:14" x14ac:dyDescent="0.35">
      <c r="A2140">
        <v>40015</v>
      </c>
      <c r="B2140" t="s">
        <v>1351</v>
      </c>
      <c r="C2140" t="s">
        <v>774</v>
      </c>
      <c r="D2140" s="2">
        <v>29495</v>
      </c>
      <c r="E2140" s="2">
        <v>20003</v>
      </c>
      <c r="F2140" s="3">
        <v>1.8</v>
      </c>
      <c r="G2140" s="3">
        <v>11208</v>
      </c>
      <c r="H2140" s="3">
        <v>67.2</v>
      </c>
      <c r="I2140" s="3">
        <v>25.1</v>
      </c>
      <c r="J2140" s="3">
        <v>7.7</v>
      </c>
      <c r="K2140" s="3">
        <v>0.1</v>
      </c>
      <c r="L2140" s="3">
        <v>9.5</v>
      </c>
      <c r="M2140" t="str">
        <f>IF(acs2015_county_data[[#This Row],[PublicWork]]&gt;='Описательные характеристики'!$F$5,"да","нет")</f>
        <v>да</v>
      </c>
      <c r="N2140" t="str">
        <f>IF(acs2015_county_data[[#This Row],[Unemployment]]&gt;='Описательные характеристики'!$I$5,"да","нет")</f>
        <v>да</v>
      </c>
    </row>
    <row r="2141" spans="1:14" x14ac:dyDescent="0.35">
      <c r="A2141">
        <v>40017</v>
      </c>
      <c r="B2141" t="s">
        <v>1351</v>
      </c>
      <c r="C2141" t="s">
        <v>1356</v>
      </c>
      <c r="D2141" s="2">
        <v>126193</v>
      </c>
      <c r="E2141" s="2">
        <v>28246</v>
      </c>
      <c r="F2141" s="3">
        <v>3</v>
      </c>
      <c r="G2141" s="3">
        <v>63025</v>
      </c>
      <c r="H2141" s="3">
        <v>77.7</v>
      </c>
      <c r="I2141" s="3">
        <v>16.3</v>
      </c>
      <c r="J2141" s="3">
        <v>5.9</v>
      </c>
      <c r="K2141" s="3">
        <v>0.1</v>
      </c>
      <c r="L2141" s="3">
        <v>4.5</v>
      </c>
      <c r="M2141" t="str">
        <f>IF(acs2015_county_data[[#This Row],[PublicWork]]&gt;='Описательные характеристики'!$F$5,"да","нет")</f>
        <v>да</v>
      </c>
      <c r="N2141" t="str">
        <f>IF(acs2015_county_data[[#This Row],[Unemployment]]&gt;='Описательные характеристики'!$I$5,"да","нет")</f>
        <v>нет</v>
      </c>
    </row>
    <row r="2142" spans="1:14" x14ac:dyDescent="0.35">
      <c r="A2142">
        <v>40019</v>
      </c>
      <c r="B2142" t="s">
        <v>1351</v>
      </c>
      <c r="C2142" t="s">
        <v>725</v>
      </c>
      <c r="D2142" s="2">
        <v>48442</v>
      </c>
      <c r="E2142" s="2">
        <v>22870</v>
      </c>
      <c r="F2142" s="3">
        <v>3</v>
      </c>
      <c r="G2142" s="3">
        <v>20820</v>
      </c>
      <c r="H2142" s="3">
        <v>82</v>
      </c>
      <c r="I2142" s="3">
        <v>12.2</v>
      </c>
      <c r="J2142" s="3">
        <v>5.6</v>
      </c>
      <c r="K2142" s="3">
        <v>0.2</v>
      </c>
      <c r="L2142" s="3">
        <v>6.1</v>
      </c>
      <c r="M2142" t="str">
        <f>IF(acs2015_county_data[[#This Row],[PublicWork]]&gt;='Описательные характеристики'!$F$5,"да","нет")</f>
        <v>нет</v>
      </c>
      <c r="N2142" t="str">
        <f>IF(acs2015_county_data[[#This Row],[Unemployment]]&gt;='Описательные характеристики'!$I$5,"да","нет")</f>
        <v>нет</v>
      </c>
    </row>
    <row r="2143" spans="1:14" x14ac:dyDescent="0.35">
      <c r="A2143">
        <v>40021</v>
      </c>
      <c r="B2143" t="s">
        <v>1351</v>
      </c>
      <c r="C2143" t="s">
        <v>24</v>
      </c>
      <c r="D2143" s="2">
        <v>48097</v>
      </c>
      <c r="E2143" s="2">
        <v>19509</v>
      </c>
      <c r="F2143" s="3">
        <v>2.8</v>
      </c>
      <c r="G2143" s="3">
        <v>19314</v>
      </c>
      <c r="H2143" s="3">
        <v>64.400000000000006</v>
      </c>
      <c r="I2143" s="3">
        <v>28.8</v>
      </c>
      <c r="J2143" s="3">
        <v>6.5</v>
      </c>
      <c r="K2143" s="3">
        <v>0.2</v>
      </c>
      <c r="L2143" s="3">
        <v>7.9</v>
      </c>
      <c r="M2143" t="str">
        <f>IF(acs2015_county_data[[#This Row],[PublicWork]]&gt;='Описательные характеристики'!$F$5,"да","нет")</f>
        <v>да</v>
      </c>
      <c r="N2143" t="str">
        <f>IF(acs2015_county_data[[#This Row],[Unemployment]]&gt;='Описательные характеристики'!$I$5,"да","нет")</f>
        <v>да</v>
      </c>
    </row>
    <row r="2144" spans="1:14" x14ac:dyDescent="0.35">
      <c r="A2144">
        <v>40023</v>
      </c>
      <c r="B2144" t="s">
        <v>1351</v>
      </c>
      <c r="C2144" t="s">
        <v>26</v>
      </c>
      <c r="D2144" s="2">
        <v>15120</v>
      </c>
      <c r="E2144" s="2">
        <v>18269</v>
      </c>
      <c r="F2144" s="3">
        <v>2.8</v>
      </c>
      <c r="G2144" s="3">
        <v>5308</v>
      </c>
      <c r="H2144" s="3">
        <v>71.599999999999994</v>
      </c>
      <c r="I2144" s="3">
        <v>20.399999999999999</v>
      </c>
      <c r="J2144" s="3">
        <v>7.8</v>
      </c>
      <c r="K2144" s="3">
        <v>0.1</v>
      </c>
      <c r="L2144" s="3">
        <v>8.9</v>
      </c>
      <c r="M2144" t="str">
        <f>IF(acs2015_county_data[[#This Row],[PublicWork]]&gt;='Описательные характеристики'!$F$5,"да","нет")</f>
        <v>да</v>
      </c>
      <c r="N2144" t="str">
        <f>IF(acs2015_county_data[[#This Row],[Unemployment]]&gt;='Описательные характеристики'!$I$5,"да","нет")</f>
        <v>да</v>
      </c>
    </row>
    <row r="2145" spans="1:14" x14ac:dyDescent="0.35">
      <c r="A2145">
        <v>40025</v>
      </c>
      <c r="B2145" t="s">
        <v>1351</v>
      </c>
      <c r="C2145" t="s">
        <v>1357</v>
      </c>
      <c r="D2145" s="2">
        <v>2341</v>
      </c>
      <c r="E2145" s="2">
        <v>26981</v>
      </c>
      <c r="F2145" s="3">
        <v>6.1</v>
      </c>
      <c r="G2145" s="3">
        <v>1131</v>
      </c>
      <c r="H2145" s="3">
        <v>63.1</v>
      </c>
      <c r="I2145" s="3">
        <v>23.5</v>
      </c>
      <c r="J2145" s="3">
        <v>13</v>
      </c>
      <c r="K2145" s="3">
        <v>0.4</v>
      </c>
      <c r="L2145" s="3">
        <v>2.2000000000000002</v>
      </c>
      <c r="M2145" t="str">
        <f>IF(acs2015_county_data[[#This Row],[PublicWork]]&gt;='Описательные характеристики'!$F$5,"да","нет")</f>
        <v>да</v>
      </c>
      <c r="N2145" t="str">
        <f>IF(acs2015_county_data[[#This Row],[Unemployment]]&gt;='Описательные характеристики'!$I$5,"да","нет")</f>
        <v>нет</v>
      </c>
    </row>
    <row r="2146" spans="1:14" x14ac:dyDescent="0.35">
      <c r="A2146">
        <v>40027</v>
      </c>
      <c r="B2146" t="s">
        <v>1351</v>
      </c>
      <c r="C2146" t="s">
        <v>132</v>
      </c>
      <c r="D2146" s="2">
        <v>268614</v>
      </c>
      <c r="E2146" s="2">
        <v>27745</v>
      </c>
      <c r="F2146" s="3">
        <v>3.1</v>
      </c>
      <c r="G2146" s="3">
        <v>133949</v>
      </c>
      <c r="H2146" s="3">
        <v>73.3</v>
      </c>
      <c r="I2146" s="3">
        <v>21.7</v>
      </c>
      <c r="J2146" s="3">
        <v>4.9000000000000004</v>
      </c>
      <c r="K2146" s="3">
        <v>0.1</v>
      </c>
      <c r="L2146" s="3">
        <v>4.9000000000000004</v>
      </c>
      <c r="M2146" t="str">
        <f>IF(acs2015_county_data[[#This Row],[PublicWork]]&gt;='Описательные характеристики'!$F$5,"да","нет")</f>
        <v>да</v>
      </c>
      <c r="N2146" t="str">
        <f>IF(acs2015_county_data[[#This Row],[Unemployment]]&gt;='Описательные характеристики'!$I$5,"да","нет")</f>
        <v>нет</v>
      </c>
    </row>
    <row r="2147" spans="1:14" x14ac:dyDescent="0.35">
      <c r="A2147">
        <v>40029</v>
      </c>
      <c r="B2147" t="s">
        <v>1351</v>
      </c>
      <c r="C2147" t="s">
        <v>1358</v>
      </c>
      <c r="D2147" s="2">
        <v>5812</v>
      </c>
      <c r="E2147" s="2">
        <v>22977</v>
      </c>
      <c r="F2147" s="3">
        <v>5.3</v>
      </c>
      <c r="G2147" s="3">
        <v>2296</v>
      </c>
      <c r="H2147" s="3">
        <v>64.599999999999994</v>
      </c>
      <c r="I2147" s="3">
        <v>25.2</v>
      </c>
      <c r="J2147" s="3">
        <v>9.5</v>
      </c>
      <c r="K2147" s="3">
        <v>0.7</v>
      </c>
      <c r="L2147" s="3">
        <v>9.1</v>
      </c>
      <c r="M2147" t="str">
        <f>IF(acs2015_county_data[[#This Row],[PublicWork]]&gt;='Описательные характеристики'!$F$5,"да","нет")</f>
        <v>да</v>
      </c>
      <c r="N2147" t="str">
        <f>IF(acs2015_county_data[[#This Row],[Unemployment]]&gt;='Описательные характеристики'!$I$5,"да","нет")</f>
        <v>да</v>
      </c>
    </row>
    <row r="2148" spans="1:14" x14ac:dyDescent="0.35">
      <c r="A2148">
        <v>40031</v>
      </c>
      <c r="B2148" t="s">
        <v>1351</v>
      </c>
      <c r="C2148" t="s">
        <v>653</v>
      </c>
      <c r="D2148" s="2">
        <v>125531</v>
      </c>
      <c r="E2148" s="2">
        <v>23264</v>
      </c>
      <c r="F2148" s="3">
        <v>7.7</v>
      </c>
      <c r="G2148" s="3">
        <v>49641</v>
      </c>
      <c r="H2148" s="3">
        <v>66.099999999999994</v>
      </c>
      <c r="I2148" s="3">
        <v>27.8</v>
      </c>
      <c r="J2148" s="3">
        <v>5.9</v>
      </c>
      <c r="K2148" s="3">
        <v>0.2</v>
      </c>
      <c r="L2148" s="3">
        <v>8.6</v>
      </c>
      <c r="M2148" t="str">
        <f>IF(acs2015_county_data[[#This Row],[PublicWork]]&gt;='Описательные характеристики'!$F$5,"да","нет")</f>
        <v>да</v>
      </c>
      <c r="N2148" t="str">
        <f>IF(acs2015_county_data[[#This Row],[Unemployment]]&gt;='Описательные характеристики'!$I$5,"да","нет")</f>
        <v>да</v>
      </c>
    </row>
    <row r="2149" spans="1:14" x14ac:dyDescent="0.35">
      <c r="A2149">
        <v>40033</v>
      </c>
      <c r="B2149" t="s">
        <v>1351</v>
      </c>
      <c r="C2149" t="s">
        <v>1359</v>
      </c>
      <c r="D2149" s="2">
        <v>6112</v>
      </c>
      <c r="E2149" s="2">
        <v>21640</v>
      </c>
      <c r="F2149" s="3">
        <v>4.5999999999999996</v>
      </c>
      <c r="G2149" s="3">
        <v>2607</v>
      </c>
      <c r="H2149" s="3">
        <v>68.400000000000006</v>
      </c>
      <c r="I2149" s="3">
        <v>20.8</v>
      </c>
      <c r="J2149" s="3">
        <v>10.8</v>
      </c>
      <c r="K2149" s="3">
        <v>0</v>
      </c>
      <c r="L2149" s="3">
        <v>9.1999999999999993</v>
      </c>
      <c r="M2149" t="str">
        <f>IF(acs2015_county_data[[#This Row],[PublicWork]]&gt;='Описательные характеристики'!$F$5,"да","нет")</f>
        <v>да</v>
      </c>
      <c r="N2149" t="str">
        <f>IF(acs2015_county_data[[#This Row],[Unemployment]]&gt;='Описательные характеристики'!$I$5,"да","нет")</f>
        <v>да</v>
      </c>
    </row>
    <row r="2150" spans="1:14" x14ac:dyDescent="0.35">
      <c r="A2150">
        <v>40035</v>
      </c>
      <c r="B2150" t="s">
        <v>1351</v>
      </c>
      <c r="C2150" t="s">
        <v>1360</v>
      </c>
      <c r="D2150" s="2">
        <v>14744</v>
      </c>
      <c r="E2150" s="2">
        <v>19623</v>
      </c>
      <c r="F2150" s="3">
        <v>3.6</v>
      </c>
      <c r="G2150" s="3">
        <v>5781</v>
      </c>
      <c r="H2150" s="3">
        <v>67.7</v>
      </c>
      <c r="I2150" s="3">
        <v>21.6</v>
      </c>
      <c r="J2150" s="3">
        <v>10.199999999999999</v>
      </c>
      <c r="K2150" s="3">
        <v>0.5</v>
      </c>
      <c r="L2150" s="3">
        <v>6.4</v>
      </c>
      <c r="M2150" t="str">
        <f>IF(acs2015_county_data[[#This Row],[PublicWork]]&gt;='Описательные характеристики'!$F$5,"да","нет")</f>
        <v>да</v>
      </c>
      <c r="N2150" t="str">
        <f>IF(acs2015_county_data[[#This Row],[Unemployment]]&gt;='Описательные характеристики'!$I$5,"да","нет")</f>
        <v>нет</v>
      </c>
    </row>
    <row r="2151" spans="1:14" x14ac:dyDescent="0.35">
      <c r="A2151">
        <v>40037</v>
      </c>
      <c r="B2151" t="s">
        <v>1351</v>
      </c>
      <c r="C2151" t="s">
        <v>1361</v>
      </c>
      <c r="D2151" s="2">
        <v>70761</v>
      </c>
      <c r="E2151" s="2">
        <v>23010</v>
      </c>
      <c r="F2151" s="3">
        <v>4.2</v>
      </c>
      <c r="G2151" s="3">
        <v>29749</v>
      </c>
      <c r="H2151" s="3">
        <v>81.7</v>
      </c>
      <c r="I2151" s="3">
        <v>12.4</v>
      </c>
      <c r="J2151" s="3">
        <v>5.7</v>
      </c>
      <c r="K2151" s="3">
        <v>0.2</v>
      </c>
      <c r="L2151" s="3">
        <v>5.7</v>
      </c>
      <c r="M2151" t="str">
        <f>IF(acs2015_county_data[[#This Row],[PublicWork]]&gt;='Описательные характеристики'!$F$5,"да","нет")</f>
        <v>нет</v>
      </c>
      <c r="N2151" t="str">
        <f>IF(acs2015_county_data[[#This Row],[Unemployment]]&gt;='Описательные характеристики'!$I$5,"да","нет")</f>
        <v>нет</v>
      </c>
    </row>
    <row r="2152" spans="1:14" x14ac:dyDescent="0.35">
      <c r="A2152">
        <v>40039</v>
      </c>
      <c r="B2152" t="s">
        <v>1351</v>
      </c>
      <c r="C2152" t="s">
        <v>485</v>
      </c>
      <c r="D2152" s="2">
        <v>28978</v>
      </c>
      <c r="E2152" s="2">
        <v>23044</v>
      </c>
      <c r="F2152" s="3">
        <v>3.4</v>
      </c>
      <c r="G2152" s="3">
        <v>14072</v>
      </c>
      <c r="H2152" s="3">
        <v>71.2</v>
      </c>
      <c r="I2152" s="3">
        <v>19.8</v>
      </c>
      <c r="J2152" s="3">
        <v>8.1</v>
      </c>
      <c r="K2152" s="3">
        <v>0.8</v>
      </c>
      <c r="L2152" s="3">
        <v>3.7</v>
      </c>
      <c r="M2152" t="str">
        <f>IF(acs2015_county_data[[#This Row],[PublicWork]]&gt;='Описательные характеристики'!$F$5,"да","нет")</f>
        <v>да</v>
      </c>
      <c r="N2152" t="str">
        <f>IF(acs2015_county_data[[#This Row],[Unemployment]]&gt;='Описательные характеристики'!$I$5,"да","нет")</f>
        <v>нет</v>
      </c>
    </row>
    <row r="2153" spans="1:14" x14ac:dyDescent="0.35">
      <c r="A2153">
        <v>40041</v>
      </c>
      <c r="B2153" t="s">
        <v>1351</v>
      </c>
      <c r="C2153" t="s">
        <v>300</v>
      </c>
      <c r="D2153" s="2">
        <v>41409</v>
      </c>
      <c r="E2153" s="2">
        <v>21736</v>
      </c>
      <c r="F2153" s="3">
        <v>3.7</v>
      </c>
      <c r="G2153" s="3">
        <v>15991</v>
      </c>
      <c r="H2153" s="3">
        <v>72.599999999999994</v>
      </c>
      <c r="I2153" s="3">
        <v>18.399999999999999</v>
      </c>
      <c r="J2153" s="3">
        <v>8.6</v>
      </c>
      <c r="K2153" s="3">
        <v>0.3</v>
      </c>
      <c r="L2153" s="3">
        <v>9.1999999999999993</v>
      </c>
      <c r="M2153" t="str">
        <f>IF(acs2015_county_data[[#This Row],[PublicWork]]&gt;='Описательные характеристики'!$F$5,"да","нет")</f>
        <v>да</v>
      </c>
      <c r="N2153" t="str">
        <f>IF(acs2015_county_data[[#This Row],[Unemployment]]&gt;='Описательные характеристики'!$I$5,"да","нет")</f>
        <v>да</v>
      </c>
    </row>
    <row r="2154" spans="1:14" x14ac:dyDescent="0.35">
      <c r="A2154">
        <v>40043</v>
      </c>
      <c r="B2154" t="s">
        <v>1351</v>
      </c>
      <c r="C2154" t="s">
        <v>1362</v>
      </c>
      <c r="D2154" s="2">
        <v>4863</v>
      </c>
      <c r="E2154" s="2">
        <v>25942</v>
      </c>
      <c r="F2154" s="3">
        <v>6.2</v>
      </c>
      <c r="G2154" s="3">
        <v>2061</v>
      </c>
      <c r="H2154" s="3">
        <v>65.900000000000006</v>
      </c>
      <c r="I2154" s="3">
        <v>17.600000000000001</v>
      </c>
      <c r="J2154" s="3">
        <v>15</v>
      </c>
      <c r="K2154" s="3">
        <v>1.5</v>
      </c>
      <c r="L2154" s="3">
        <v>2.7</v>
      </c>
      <c r="M2154" t="str">
        <f>IF(acs2015_county_data[[#This Row],[PublicWork]]&gt;='Описательные характеристики'!$F$5,"да","нет")</f>
        <v>да</v>
      </c>
      <c r="N2154" t="str">
        <f>IF(acs2015_county_data[[#This Row],[Unemployment]]&gt;='Описательные характеристики'!$I$5,"да","нет")</f>
        <v>нет</v>
      </c>
    </row>
    <row r="2155" spans="1:14" x14ac:dyDescent="0.35">
      <c r="A2155">
        <v>40045</v>
      </c>
      <c r="B2155" t="s">
        <v>1351</v>
      </c>
      <c r="C2155" t="s">
        <v>656</v>
      </c>
      <c r="D2155" s="2">
        <v>4121</v>
      </c>
      <c r="E2155" s="2">
        <v>28417</v>
      </c>
      <c r="F2155" s="3">
        <v>4.9000000000000004</v>
      </c>
      <c r="G2155" s="3">
        <v>1824</v>
      </c>
      <c r="H2155" s="3">
        <v>66.5</v>
      </c>
      <c r="I2155" s="3">
        <v>20.8</v>
      </c>
      <c r="J2155" s="3">
        <v>11.5</v>
      </c>
      <c r="K2155" s="3">
        <v>1.2</v>
      </c>
      <c r="L2155" s="3">
        <v>5</v>
      </c>
      <c r="M2155" t="str">
        <f>IF(acs2015_county_data[[#This Row],[PublicWork]]&gt;='Описательные характеристики'!$F$5,"да","нет")</f>
        <v>да</v>
      </c>
      <c r="N2155" t="str">
        <f>IF(acs2015_county_data[[#This Row],[Unemployment]]&gt;='Описательные характеристики'!$I$5,"да","нет")</f>
        <v>нет</v>
      </c>
    </row>
    <row r="2156" spans="1:14" x14ac:dyDescent="0.35">
      <c r="A2156">
        <v>40047</v>
      </c>
      <c r="B2156" t="s">
        <v>1351</v>
      </c>
      <c r="C2156" t="s">
        <v>259</v>
      </c>
      <c r="D2156" s="2">
        <v>62192</v>
      </c>
      <c r="E2156" s="2">
        <v>24928</v>
      </c>
      <c r="F2156" s="3">
        <v>2.8</v>
      </c>
      <c r="G2156" s="3">
        <v>28056</v>
      </c>
      <c r="H2156" s="3">
        <v>77.599999999999994</v>
      </c>
      <c r="I2156" s="3">
        <v>15.4</v>
      </c>
      <c r="J2156" s="3">
        <v>6.7</v>
      </c>
      <c r="K2156" s="3">
        <v>0.2</v>
      </c>
      <c r="L2156" s="3">
        <v>5.6</v>
      </c>
      <c r="M2156" t="str">
        <f>IF(acs2015_county_data[[#This Row],[PublicWork]]&gt;='Описательные характеристики'!$F$5,"да","нет")</f>
        <v>нет</v>
      </c>
      <c r="N2156" t="str">
        <f>IF(acs2015_county_data[[#This Row],[Unemployment]]&gt;='Описательные характеристики'!$I$5,"да","нет")</f>
        <v>нет</v>
      </c>
    </row>
    <row r="2157" spans="1:14" x14ac:dyDescent="0.35">
      <c r="A2157">
        <v>40049</v>
      </c>
      <c r="B2157" t="s">
        <v>1351</v>
      </c>
      <c r="C2157" t="s">
        <v>1363</v>
      </c>
      <c r="D2157" s="2">
        <v>27455</v>
      </c>
      <c r="E2157" s="2">
        <v>21644</v>
      </c>
      <c r="F2157" s="3">
        <v>3.1</v>
      </c>
      <c r="G2157" s="3">
        <v>10668</v>
      </c>
      <c r="H2157" s="3">
        <v>77.2</v>
      </c>
      <c r="I2157" s="3">
        <v>14.6</v>
      </c>
      <c r="J2157" s="3">
        <v>7.8</v>
      </c>
      <c r="K2157" s="3">
        <v>0.4</v>
      </c>
      <c r="L2157" s="3">
        <v>4.4000000000000004</v>
      </c>
      <c r="M2157" t="str">
        <f>IF(acs2015_county_data[[#This Row],[PublicWork]]&gt;='Описательные характеристики'!$F$5,"да","нет")</f>
        <v>нет</v>
      </c>
      <c r="N2157" t="str">
        <f>IF(acs2015_county_data[[#This Row],[Unemployment]]&gt;='Описательные характеристики'!$I$5,"да","нет")</f>
        <v>нет</v>
      </c>
    </row>
    <row r="2158" spans="1:14" x14ac:dyDescent="0.35">
      <c r="A2158">
        <v>40051</v>
      </c>
      <c r="B2158" t="s">
        <v>1351</v>
      </c>
      <c r="C2158" t="s">
        <v>402</v>
      </c>
      <c r="D2158" s="2">
        <v>53612</v>
      </c>
      <c r="E2158" s="2">
        <v>24965</v>
      </c>
      <c r="F2158" s="3">
        <v>2.7</v>
      </c>
      <c r="G2158" s="3">
        <v>24086</v>
      </c>
      <c r="H2158" s="3">
        <v>76.2</v>
      </c>
      <c r="I2158" s="3">
        <v>17.2</v>
      </c>
      <c r="J2158" s="3">
        <v>6.4</v>
      </c>
      <c r="K2158" s="3">
        <v>0.1</v>
      </c>
      <c r="L2158" s="3">
        <v>4.3</v>
      </c>
      <c r="M2158" t="str">
        <f>IF(acs2015_county_data[[#This Row],[PublicWork]]&gt;='Описательные характеристики'!$F$5,"да","нет")</f>
        <v>да</v>
      </c>
      <c r="N2158" t="str">
        <f>IF(acs2015_county_data[[#This Row],[Unemployment]]&gt;='Описательные характеристики'!$I$5,"да","нет")</f>
        <v>нет</v>
      </c>
    </row>
    <row r="2159" spans="1:14" x14ac:dyDescent="0.35">
      <c r="A2159">
        <v>40053</v>
      </c>
      <c r="B2159" t="s">
        <v>1351</v>
      </c>
      <c r="C2159" t="s">
        <v>144</v>
      </c>
      <c r="D2159" s="2">
        <v>4517</v>
      </c>
      <c r="E2159" s="2">
        <v>28552</v>
      </c>
      <c r="F2159" s="3">
        <v>3.3</v>
      </c>
      <c r="G2159" s="3">
        <v>2098</v>
      </c>
      <c r="H2159" s="3">
        <v>64.7</v>
      </c>
      <c r="I2159" s="3">
        <v>17.5</v>
      </c>
      <c r="J2159" s="3">
        <v>17.7</v>
      </c>
      <c r="K2159" s="3">
        <v>0.1</v>
      </c>
      <c r="L2159" s="3">
        <v>3.6</v>
      </c>
      <c r="M2159" t="str">
        <f>IF(acs2015_county_data[[#This Row],[PublicWork]]&gt;='Описательные характеристики'!$F$5,"да","нет")</f>
        <v>да</v>
      </c>
      <c r="N2159" t="str">
        <f>IF(acs2015_county_data[[#This Row],[Unemployment]]&gt;='Описательные характеристики'!$I$5,"да","нет")</f>
        <v>нет</v>
      </c>
    </row>
    <row r="2160" spans="1:14" x14ac:dyDescent="0.35">
      <c r="A2160">
        <v>40055</v>
      </c>
      <c r="B2160" t="s">
        <v>1351</v>
      </c>
      <c r="C2160" t="s">
        <v>1364</v>
      </c>
      <c r="D2160" s="2">
        <v>6117</v>
      </c>
      <c r="E2160" s="2">
        <v>19552</v>
      </c>
      <c r="F2160" s="3">
        <v>4.8</v>
      </c>
      <c r="G2160" s="3">
        <v>2344</v>
      </c>
      <c r="H2160" s="3">
        <v>61.9</v>
      </c>
      <c r="I2160" s="3">
        <v>27</v>
      </c>
      <c r="J2160" s="3">
        <v>10.8</v>
      </c>
      <c r="K2160" s="3">
        <v>0.4</v>
      </c>
      <c r="L2160" s="3">
        <v>4.4000000000000004</v>
      </c>
      <c r="M2160" t="str">
        <f>IF(acs2015_county_data[[#This Row],[PublicWork]]&gt;='Описательные характеристики'!$F$5,"да","нет")</f>
        <v>да</v>
      </c>
      <c r="N2160" t="str">
        <f>IF(acs2015_county_data[[#This Row],[Unemployment]]&gt;='Описательные характеристики'!$I$5,"да","нет")</f>
        <v>нет</v>
      </c>
    </row>
    <row r="2161" spans="1:14" x14ac:dyDescent="0.35">
      <c r="A2161">
        <v>40057</v>
      </c>
      <c r="B2161" t="s">
        <v>1351</v>
      </c>
      <c r="C2161" t="s">
        <v>1365</v>
      </c>
      <c r="D2161" s="2">
        <v>2866</v>
      </c>
      <c r="E2161" s="2">
        <v>20891</v>
      </c>
      <c r="F2161" s="3">
        <v>5</v>
      </c>
      <c r="G2161" s="3">
        <v>1139</v>
      </c>
      <c r="H2161" s="3">
        <v>62.9</v>
      </c>
      <c r="I2161" s="3">
        <v>23.6</v>
      </c>
      <c r="J2161" s="3">
        <v>12.9</v>
      </c>
      <c r="K2161" s="3">
        <v>0.6</v>
      </c>
      <c r="L2161" s="3">
        <v>8.6999999999999993</v>
      </c>
      <c r="M2161" t="str">
        <f>IF(acs2015_county_data[[#This Row],[PublicWork]]&gt;='Описательные характеристики'!$F$5,"да","нет")</f>
        <v>да</v>
      </c>
      <c r="N2161" t="str">
        <f>IF(acs2015_county_data[[#This Row],[Unemployment]]&gt;='Описательные характеристики'!$I$5,"да","нет")</f>
        <v>да</v>
      </c>
    </row>
    <row r="2162" spans="1:14" x14ac:dyDescent="0.35">
      <c r="A2162">
        <v>40059</v>
      </c>
      <c r="B2162" t="s">
        <v>1351</v>
      </c>
      <c r="C2162" t="s">
        <v>664</v>
      </c>
      <c r="D2162" s="2">
        <v>3766</v>
      </c>
      <c r="E2162" s="2">
        <v>24364</v>
      </c>
      <c r="F2162" s="3">
        <v>3</v>
      </c>
      <c r="G2162" s="3">
        <v>1779</v>
      </c>
      <c r="H2162" s="3">
        <v>64.8</v>
      </c>
      <c r="I2162" s="3">
        <v>24.5</v>
      </c>
      <c r="J2162" s="3">
        <v>10.199999999999999</v>
      </c>
      <c r="K2162" s="3">
        <v>0.6</v>
      </c>
      <c r="L2162" s="3">
        <v>1.6</v>
      </c>
      <c r="M2162" t="str">
        <f>IF(acs2015_county_data[[#This Row],[PublicWork]]&gt;='Описательные характеристики'!$F$5,"да","нет")</f>
        <v>да</v>
      </c>
      <c r="N2162" t="str">
        <f>IF(acs2015_county_data[[#This Row],[Unemployment]]&gt;='Описательные характеристики'!$I$5,"да","нет")</f>
        <v>нет</v>
      </c>
    </row>
    <row r="2163" spans="1:14" x14ac:dyDescent="0.35">
      <c r="A2163">
        <v>40061</v>
      </c>
      <c r="B2163" t="s">
        <v>1351</v>
      </c>
      <c r="C2163" t="s">
        <v>666</v>
      </c>
      <c r="D2163" s="2">
        <v>12850</v>
      </c>
      <c r="E2163" s="2">
        <v>18858</v>
      </c>
      <c r="F2163" s="3">
        <v>4.8</v>
      </c>
      <c r="G2163" s="3">
        <v>4585</v>
      </c>
      <c r="H2163" s="3">
        <v>78.3</v>
      </c>
      <c r="I2163" s="3">
        <v>12.1</v>
      </c>
      <c r="J2163" s="3">
        <v>9.4</v>
      </c>
      <c r="K2163" s="3">
        <v>0.2</v>
      </c>
      <c r="L2163" s="3">
        <v>8.6999999999999993</v>
      </c>
      <c r="M2163" t="str">
        <f>IF(acs2015_county_data[[#This Row],[PublicWork]]&gt;='Описательные характеристики'!$F$5,"да","нет")</f>
        <v>нет</v>
      </c>
      <c r="N2163" t="str">
        <f>IF(acs2015_county_data[[#This Row],[Unemployment]]&gt;='Описательные характеристики'!$I$5,"да","нет")</f>
        <v>да</v>
      </c>
    </row>
    <row r="2164" spans="1:14" x14ac:dyDescent="0.35">
      <c r="A2164">
        <v>40063</v>
      </c>
      <c r="B2164" t="s">
        <v>1351</v>
      </c>
      <c r="C2164" t="s">
        <v>1366</v>
      </c>
      <c r="D2164" s="2">
        <v>13785</v>
      </c>
      <c r="E2164" s="2">
        <v>17723</v>
      </c>
      <c r="F2164" s="3">
        <v>9.4</v>
      </c>
      <c r="G2164" s="3">
        <v>4546</v>
      </c>
      <c r="H2164" s="3">
        <v>67.8</v>
      </c>
      <c r="I2164" s="3">
        <v>24.2</v>
      </c>
      <c r="J2164" s="3">
        <v>7.4</v>
      </c>
      <c r="K2164" s="3">
        <v>0.6</v>
      </c>
      <c r="L2164" s="3">
        <v>7.1</v>
      </c>
      <c r="M2164" t="str">
        <f>IF(acs2015_county_data[[#This Row],[PublicWork]]&gt;='Описательные характеристики'!$F$5,"да","нет")</f>
        <v>да</v>
      </c>
      <c r="N2164" t="str">
        <f>IF(acs2015_county_data[[#This Row],[Unemployment]]&gt;='Описательные характеристики'!$I$5,"да","нет")</f>
        <v>нет</v>
      </c>
    </row>
    <row r="2165" spans="1:14" x14ac:dyDescent="0.35">
      <c r="A2165">
        <v>40065</v>
      </c>
      <c r="B2165" t="s">
        <v>1351</v>
      </c>
      <c r="C2165" t="s">
        <v>49</v>
      </c>
      <c r="D2165" s="2">
        <v>26056</v>
      </c>
      <c r="E2165" s="2">
        <v>21923</v>
      </c>
      <c r="F2165" s="3">
        <v>2.1</v>
      </c>
      <c r="G2165" s="3">
        <v>10388</v>
      </c>
      <c r="H2165" s="3">
        <v>65.099999999999994</v>
      </c>
      <c r="I2165" s="3">
        <v>29.2</v>
      </c>
      <c r="J2165" s="3">
        <v>5.7</v>
      </c>
      <c r="K2165" s="3">
        <v>0.1</v>
      </c>
      <c r="L2165" s="3">
        <v>7.6</v>
      </c>
      <c r="M2165" t="str">
        <f>IF(acs2015_county_data[[#This Row],[PublicWork]]&gt;='Описательные характеристики'!$F$5,"да","нет")</f>
        <v>да</v>
      </c>
      <c r="N2165" t="str">
        <f>IF(acs2015_county_data[[#This Row],[Unemployment]]&gt;='Описательные характеристики'!$I$5,"да","нет")</f>
        <v>да</v>
      </c>
    </row>
    <row r="2166" spans="1:14" x14ac:dyDescent="0.35">
      <c r="A2166">
        <v>40067</v>
      </c>
      <c r="B2166" t="s">
        <v>1351</v>
      </c>
      <c r="C2166" t="s">
        <v>50</v>
      </c>
      <c r="D2166" s="2">
        <v>6333</v>
      </c>
      <c r="E2166" s="2">
        <v>19409</v>
      </c>
      <c r="F2166" s="3">
        <v>3.6</v>
      </c>
      <c r="G2166" s="3">
        <v>2497</v>
      </c>
      <c r="H2166" s="3">
        <v>71.8</v>
      </c>
      <c r="I2166" s="3">
        <v>16.899999999999999</v>
      </c>
      <c r="J2166" s="3">
        <v>11.1</v>
      </c>
      <c r="K2166" s="3">
        <v>0.1</v>
      </c>
      <c r="L2166" s="3">
        <v>6.5</v>
      </c>
      <c r="M2166" t="str">
        <f>IF(acs2015_county_data[[#This Row],[PublicWork]]&gt;='Описательные характеристики'!$F$5,"да","нет")</f>
        <v>да</v>
      </c>
      <c r="N2166" t="str">
        <f>IF(acs2015_county_data[[#This Row],[Unemployment]]&gt;='Описательные характеристики'!$I$5,"да","нет")</f>
        <v>нет</v>
      </c>
    </row>
    <row r="2167" spans="1:14" x14ac:dyDescent="0.35">
      <c r="A2167">
        <v>40069</v>
      </c>
      <c r="B2167" t="s">
        <v>1351</v>
      </c>
      <c r="C2167" t="s">
        <v>1254</v>
      </c>
      <c r="D2167" s="2">
        <v>11022</v>
      </c>
      <c r="E2167" s="2">
        <v>20425</v>
      </c>
      <c r="F2167" s="3">
        <v>3.9</v>
      </c>
      <c r="G2167" s="3">
        <v>4078</v>
      </c>
      <c r="H2167" s="3">
        <v>69.599999999999994</v>
      </c>
      <c r="I2167" s="3">
        <v>23.2</v>
      </c>
      <c r="J2167" s="3">
        <v>6.9</v>
      </c>
      <c r="K2167" s="3">
        <v>0.2</v>
      </c>
      <c r="L2167" s="3">
        <v>6.7</v>
      </c>
      <c r="M2167" t="str">
        <f>IF(acs2015_county_data[[#This Row],[PublicWork]]&gt;='Описательные характеристики'!$F$5,"да","нет")</f>
        <v>да</v>
      </c>
      <c r="N2167" t="str">
        <f>IF(acs2015_county_data[[#This Row],[Unemployment]]&gt;='Описательные характеристики'!$I$5,"да","нет")</f>
        <v>нет</v>
      </c>
    </row>
    <row r="2168" spans="1:14" x14ac:dyDescent="0.35">
      <c r="A2168">
        <v>40071</v>
      </c>
      <c r="B2168" t="s">
        <v>1351</v>
      </c>
      <c r="C2168" t="s">
        <v>1367</v>
      </c>
      <c r="D2168" s="2">
        <v>45587</v>
      </c>
      <c r="E2168" s="2">
        <v>23044</v>
      </c>
      <c r="F2168" s="3">
        <v>1.8</v>
      </c>
      <c r="G2168" s="3">
        <v>19588</v>
      </c>
      <c r="H2168" s="3">
        <v>78.099999999999994</v>
      </c>
      <c r="I2168" s="3">
        <v>15.8</v>
      </c>
      <c r="J2168" s="3">
        <v>5.9</v>
      </c>
      <c r="K2168" s="3">
        <v>0.2</v>
      </c>
      <c r="L2168" s="3">
        <v>7.8</v>
      </c>
      <c r="M2168" t="str">
        <f>IF(acs2015_county_data[[#This Row],[PublicWork]]&gt;='Описательные характеристики'!$F$5,"да","нет")</f>
        <v>нет</v>
      </c>
      <c r="N2168" t="str">
        <f>IF(acs2015_county_data[[#This Row],[Unemployment]]&gt;='Описательные характеристики'!$I$5,"да","нет")</f>
        <v>да</v>
      </c>
    </row>
    <row r="2169" spans="1:14" x14ac:dyDescent="0.35">
      <c r="A2169">
        <v>40073</v>
      </c>
      <c r="B2169" t="s">
        <v>1351</v>
      </c>
      <c r="C2169" t="s">
        <v>1368</v>
      </c>
      <c r="D2169" s="2">
        <v>15302</v>
      </c>
      <c r="E2169" s="2">
        <v>27733</v>
      </c>
      <c r="F2169" s="3">
        <v>6.4</v>
      </c>
      <c r="G2169" s="3">
        <v>7289</v>
      </c>
      <c r="H2169" s="3">
        <v>77.400000000000006</v>
      </c>
      <c r="I2169" s="3">
        <v>13</v>
      </c>
      <c r="J2169" s="3">
        <v>9.3000000000000007</v>
      </c>
      <c r="K2169" s="3">
        <v>0.3</v>
      </c>
      <c r="L2169" s="3">
        <v>3.6</v>
      </c>
      <c r="M2169" t="str">
        <f>IF(acs2015_county_data[[#This Row],[PublicWork]]&gt;='Описательные характеристики'!$F$5,"да","нет")</f>
        <v>нет</v>
      </c>
      <c r="N2169" t="str">
        <f>IF(acs2015_county_data[[#This Row],[Unemployment]]&gt;='Описательные характеристики'!$I$5,"да","нет")</f>
        <v>нет</v>
      </c>
    </row>
    <row r="2170" spans="1:14" x14ac:dyDescent="0.35">
      <c r="A2170">
        <v>40075</v>
      </c>
      <c r="B2170" t="s">
        <v>1351</v>
      </c>
      <c r="C2170" t="s">
        <v>265</v>
      </c>
      <c r="D2170" s="2">
        <v>9302</v>
      </c>
      <c r="E2170" s="2">
        <v>23260</v>
      </c>
      <c r="F2170" s="3">
        <v>6.2</v>
      </c>
      <c r="G2170" s="3">
        <v>4037</v>
      </c>
      <c r="H2170" s="3">
        <v>67.8</v>
      </c>
      <c r="I2170" s="3">
        <v>19.899999999999999</v>
      </c>
      <c r="J2170" s="3">
        <v>11.7</v>
      </c>
      <c r="K2170" s="3">
        <v>0.5</v>
      </c>
      <c r="L2170" s="3">
        <v>5.5</v>
      </c>
      <c r="M2170" t="str">
        <f>IF(acs2015_county_data[[#This Row],[PublicWork]]&gt;='Описательные характеристики'!$F$5,"да","нет")</f>
        <v>да</v>
      </c>
      <c r="N2170" t="str">
        <f>IF(acs2015_county_data[[#This Row],[Unemployment]]&gt;='Описательные характеристики'!$I$5,"да","нет")</f>
        <v>нет</v>
      </c>
    </row>
    <row r="2171" spans="1:14" x14ac:dyDescent="0.35">
      <c r="A2171">
        <v>40077</v>
      </c>
      <c r="B2171" t="s">
        <v>1351</v>
      </c>
      <c r="C2171" t="s">
        <v>1369</v>
      </c>
      <c r="D2171" s="2">
        <v>10774</v>
      </c>
      <c r="E2171" s="2">
        <v>22343</v>
      </c>
      <c r="F2171" s="3">
        <v>2.5</v>
      </c>
      <c r="G2171" s="3">
        <v>4068</v>
      </c>
      <c r="H2171" s="3">
        <v>66.8</v>
      </c>
      <c r="I2171" s="3">
        <v>25.2</v>
      </c>
      <c r="J2171" s="3">
        <v>7.7</v>
      </c>
      <c r="K2171" s="3">
        <v>0.3</v>
      </c>
      <c r="L2171" s="3">
        <v>7.8</v>
      </c>
      <c r="M2171" t="str">
        <f>IF(acs2015_county_data[[#This Row],[PublicWork]]&gt;='Описательные характеристики'!$F$5,"да","нет")</f>
        <v>да</v>
      </c>
      <c r="N2171" t="str">
        <f>IF(acs2015_county_data[[#This Row],[Unemployment]]&gt;='Описательные характеристики'!$I$5,"да","нет")</f>
        <v>да</v>
      </c>
    </row>
    <row r="2172" spans="1:14" x14ac:dyDescent="0.35">
      <c r="A2172">
        <v>40079</v>
      </c>
      <c r="B2172" t="s">
        <v>1351</v>
      </c>
      <c r="C2172" t="s">
        <v>1370</v>
      </c>
      <c r="D2172" s="2">
        <v>49899</v>
      </c>
      <c r="E2172" s="2">
        <v>18881</v>
      </c>
      <c r="F2172" s="3">
        <v>2.8</v>
      </c>
      <c r="G2172" s="3">
        <v>18311</v>
      </c>
      <c r="H2172" s="3">
        <v>74.3</v>
      </c>
      <c r="I2172" s="3">
        <v>18.600000000000001</v>
      </c>
      <c r="J2172" s="3">
        <v>6.8</v>
      </c>
      <c r="K2172" s="3">
        <v>0.2</v>
      </c>
      <c r="L2172" s="3">
        <v>9.4</v>
      </c>
      <c r="M2172" t="str">
        <f>IF(acs2015_county_data[[#This Row],[PublicWork]]&gt;='Описательные характеристики'!$F$5,"да","нет")</f>
        <v>да</v>
      </c>
      <c r="N2172" t="str">
        <f>IF(acs2015_county_data[[#This Row],[Unemployment]]&gt;='Описательные характеристики'!$I$5,"да","нет")</f>
        <v>да</v>
      </c>
    </row>
    <row r="2173" spans="1:14" x14ac:dyDescent="0.35">
      <c r="A2173">
        <v>40081</v>
      </c>
      <c r="B2173" t="s">
        <v>1351</v>
      </c>
      <c r="C2173" t="s">
        <v>152</v>
      </c>
      <c r="D2173" s="2">
        <v>34504</v>
      </c>
      <c r="E2173" s="2">
        <v>23072</v>
      </c>
      <c r="F2173" s="3">
        <v>3</v>
      </c>
      <c r="G2173" s="3">
        <v>14625</v>
      </c>
      <c r="H2173" s="3">
        <v>73.099999999999994</v>
      </c>
      <c r="I2173" s="3">
        <v>17.399999999999999</v>
      </c>
      <c r="J2173" s="3">
        <v>9.3000000000000007</v>
      </c>
      <c r="K2173" s="3">
        <v>0.1</v>
      </c>
      <c r="L2173" s="3">
        <v>7.1</v>
      </c>
      <c r="M2173" t="str">
        <f>IF(acs2015_county_data[[#This Row],[PublicWork]]&gt;='Описательные характеристики'!$F$5,"да","нет")</f>
        <v>да</v>
      </c>
      <c r="N2173" t="str">
        <f>IF(acs2015_county_data[[#This Row],[Unemployment]]&gt;='Описательные характеристики'!$I$5,"да","нет")</f>
        <v>нет</v>
      </c>
    </row>
    <row r="2174" spans="1:14" x14ac:dyDescent="0.35">
      <c r="A2174">
        <v>40083</v>
      </c>
      <c r="B2174" t="s">
        <v>1351</v>
      </c>
      <c r="C2174" t="s">
        <v>154</v>
      </c>
      <c r="D2174" s="2">
        <v>44493</v>
      </c>
      <c r="E2174" s="2">
        <v>27402</v>
      </c>
      <c r="F2174" s="3">
        <v>4</v>
      </c>
      <c r="G2174" s="3">
        <v>20281</v>
      </c>
      <c r="H2174" s="3">
        <v>76</v>
      </c>
      <c r="I2174" s="3">
        <v>18</v>
      </c>
      <c r="J2174" s="3">
        <v>5.8</v>
      </c>
      <c r="K2174" s="3">
        <v>0.2</v>
      </c>
      <c r="L2174" s="3">
        <v>6</v>
      </c>
      <c r="M2174" t="str">
        <f>IF(acs2015_county_data[[#This Row],[PublicWork]]&gt;='Описательные характеристики'!$F$5,"да","нет")</f>
        <v>да</v>
      </c>
      <c r="N2174" t="str">
        <f>IF(acs2015_county_data[[#This Row],[Unemployment]]&gt;='Описательные характеристики'!$I$5,"да","нет")</f>
        <v>нет</v>
      </c>
    </row>
    <row r="2175" spans="1:14" x14ac:dyDescent="0.35">
      <c r="A2175">
        <v>40085</v>
      </c>
      <c r="B2175" t="s">
        <v>1351</v>
      </c>
      <c r="C2175" t="s">
        <v>1371</v>
      </c>
      <c r="D2175" s="2">
        <v>9663</v>
      </c>
      <c r="E2175" s="2">
        <v>20589</v>
      </c>
      <c r="F2175" s="3">
        <v>4</v>
      </c>
      <c r="G2175" s="3">
        <v>4127</v>
      </c>
      <c r="H2175" s="3">
        <v>78.599999999999994</v>
      </c>
      <c r="I2175" s="3">
        <v>13.2</v>
      </c>
      <c r="J2175" s="3">
        <v>8</v>
      </c>
      <c r="K2175" s="3">
        <v>0.2</v>
      </c>
      <c r="L2175" s="3">
        <v>4</v>
      </c>
      <c r="M2175" t="str">
        <f>IF(acs2015_county_data[[#This Row],[PublicWork]]&gt;='Описательные характеристики'!$F$5,"да","нет")</f>
        <v>нет</v>
      </c>
      <c r="N2175" t="str">
        <f>IF(acs2015_county_data[[#This Row],[Unemployment]]&gt;='Описательные характеристики'!$I$5,"да","нет")</f>
        <v>нет</v>
      </c>
    </row>
    <row r="2176" spans="1:14" x14ac:dyDescent="0.35">
      <c r="A2176">
        <v>40087</v>
      </c>
      <c r="B2176" t="s">
        <v>1351</v>
      </c>
      <c r="C2176" t="s">
        <v>1372</v>
      </c>
      <c r="D2176" s="2">
        <v>36512</v>
      </c>
      <c r="E2176" s="2">
        <v>26562</v>
      </c>
      <c r="F2176" s="3">
        <v>4.3</v>
      </c>
      <c r="G2176" s="3">
        <v>16746</v>
      </c>
      <c r="H2176" s="3">
        <v>71.5</v>
      </c>
      <c r="I2176" s="3">
        <v>19.899999999999999</v>
      </c>
      <c r="J2176" s="3">
        <v>8.4</v>
      </c>
      <c r="K2176" s="3">
        <v>0.2</v>
      </c>
      <c r="L2176" s="3">
        <v>3.9</v>
      </c>
      <c r="M2176" t="str">
        <f>IF(acs2015_county_data[[#This Row],[PublicWork]]&gt;='Описательные характеристики'!$F$5,"да","нет")</f>
        <v>да</v>
      </c>
      <c r="N2176" t="str">
        <f>IF(acs2015_county_data[[#This Row],[Unemployment]]&gt;='Описательные характеристики'!$I$5,"да","нет")</f>
        <v>нет</v>
      </c>
    </row>
    <row r="2177" spans="1:14" x14ac:dyDescent="0.35">
      <c r="A2177">
        <v>40089</v>
      </c>
      <c r="B2177" t="s">
        <v>1351</v>
      </c>
      <c r="C2177" t="s">
        <v>1373</v>
      </c>
      <c r="D2177" s="2">
        <v>33143</v>
      </c>
      <c r="E2177" s="2">
        <v>17898</v>
      </c>
      <c r="F2177" s="3">
        <v>2.2999999999999998</v>
      </c>
      <c r="G2177" s="3">
        <v>12348</v>
      </c>
      <c r="H2177" s="3">
        <v>75.099999999999994</v>
      </c>
      <c r="I2177" s="3">
        <v>16.600000000000001</v>
      </c>
      <c r="J2177" s="3">
        <v>8.1999999999999993</v>
      </c>
      <c r="K2177" s="3">
        <v>0.2</v>
      </c>
      <c r="L2177" s="3">
        <v>8.3000000000000007</v>
      </c>
      <c r="M2177" t="str">
        <f>IF(acs2015_county_data[[#This Row],[PublicWork]]&gt;='Описательные характеристики'!$F$5,"да","нет")</f>
        <v>да</v>
      </c>
      <c r="N2177" t="str">
        <f>IF(acs2015_county_data[[#This Row],[Unemployment]]&gt;='Описательные характеристики'!$I$5,"да","нет")</f>
        <v>да</v>
      </c>
    </row>
    <row r="2178" spans="1:14" x14ac:dyDescent="0.35">
      <c r="A2178">
        <v>40091</v>
      </c>
      <c r="B2178" t="s">
        <v>1351</v>
      </c>
      <c r="C2178" t="s">
        <v>421</v>
      </c>
      <c r="D2178" s="2">
        <v>20280</v>
      </c>
      <c r="E2178" s="2">
        <v>20599</v>
      </c>
      <c r="F2178" s="3">
        <v>4</v>
      </c>
      <c r="G2178" s="3">
        <v>6944</v>
      </c>
      <c r="H2178" s="3">
        <v>74.2</v>
      </c>
      <c r="I2178" s="3">
        <v>19.399999999999999</v>
      </c>
      <c r="J2178" s="3">
        <v>6.4</v>
      </c>
      <c r="K2178" s="3">
        <v>0</v>
      </c>
      <c r="L2178" s="3">
        <v>10.8</v>
      </c>
      <c r="M2178" t="str">
        <f>IF(acs2015_county_data[[#This Row],[PublicWork]]&gt;='Описательные характеристики'!$F$5,"да","нет")</f>
        <v>да</v>
      </c>
      <c r="N2178" t="str">
        <f>IF(acs2015_county_data[[#This Row],[Unemployment]]&gt;='Описательные характеристики'!$I$5,"да","нет")</f>
        <v>да</v>
      </c>
    </row>
    <row r="2179" spans="1:14" x14ac:dyDescent="0.35">
      <c r="A2179">
        <v>40093</v>
      </c>
      <c r="B2179" t="s">
        <v>1351</v>
      </c>
      <c r="C2179" t="s">
        <v>1374</v>
      </c>
      <c r="D2179" s="2">
        <v>7700</v>
      </c>
      <c r="E2179" s="2">
        <v>27877</v>
      </c>
      <c r="F2179" s="3">
        <v>3.3</v>
      </c>
      <c r="G2179" s="3">
        <v>3518</v>
      </c>
      <c r="H2179" s="3">
        <v>72.599999999999994</v>
      </c>
      <c r="I2179" s="3">
        <v>15.1</v>
      </c>
      <c r="J2179" s="3">
        <v>11.5</v>
      </c>
      <c r="K2179" s="3">
        <v>0.9</v>
      </c>
      <c r="L2179" s="3">
        <v>5.4</v>
      </c>
      <c r="M2179" t="str">
        <f>IF(acs2015_county_data[[#This Row],[PublicWork]]&gt;='Описательные характеристики'!$F$5,"да","нет")</f>
        <v>нет</v>
      </c>
      <c r="N2179" t="str">
        <f>IF(acs2015_county_data[[#This Row],[Unemployment]]&gt;='Описательные характеристики'!$I$5,"да","нет")</f>
        <v>нет</v>
      </c>
    </row>
    <row r="2180" spans="1:14" x14ac:dyDescent="0.35">
      <c r="A2180">
        <v>40095</v>
      </c>
      <c r="B2180" t="s">
        <v>1351</v>
      </c>
      <c r="C2180" t="s">
        <v>60</v>
      </c>
      <c r="D2180" s="2">
        <v>16014</v>
      </c>
      <c r="E2180" s="2">
        <v>20339</v>
      </c>
      <c r="F2180" s="3">
        <v>2.6</v>
      </c>
      <c r="G2180" s="3">
        <v>6038</v>
      </c>
      <c r="H2180" s="3">
        <v>76.2</v>
      </c>
      <c r="I2180" s="3">
        <v>16.899999999999999</v>
      </c>
      <c r="J2180" s="3">
        <v>5.6</v>
      </c>
      <c r="K2180" s="3">
        <v>1.2</v>
      </c>
      <c r="L2180" s="3">
        <v>7.6</v>
      </c>
      <c r="M2180" t="str">
        <f>IF(acs2015_county_data[[#This Row],[PublicWork]]&gt;='Описательные характеристики'!$F$5,"да","нет")</f>
        <v>да</v>
      </c>
      <c r="N2180" t="str">
        <f>IF(acs2015_county_data[[#This Row],[Unemployment]]&gt;='Описательные характеристики'!$I$5,"да","нет")</f>
        <v>да</v>
      </c>
    </row>
    <row r="2181" spans="1:14" x14ac:dyDescent="0.35">
      <c r="A2181">
        <v>40097</v>
      </c>
      <c r="B2181" t="s">
        <v>1351</v>
      </c>
      <c r="C2181" t="s">
        <v>1375</v>
      </c>
      <c r="D2181" s="2">
        <v>41007</v>
      </c>
      <c r="E2181" s="2">
        <v>20884</v>
      </c>
      <c r="F2181" s="3">
        <v>5</v>
      </c>
      <c r="G2181" s="3">
        <v>16849</v>
      </c>
      <c r="H2181" s="3">
        <v>73.2</v>
      </c>
      <c r="I2181" s="3">
        <v>18.600000000000001</v>
      </c>
      <c r="J2181" s="3">
        <v>7.8</v>
      </c>
      <c r="K2181" s="3">
        <v>0.4</v>
      </c>
      <c r="L2181" s="3">
        <v>7</v>
      </c>
      <c r="M2181" t="str">
        <f>IF(acs2015_county_data[[#This Row],[PublicWork]]&gt;='Описательные характеристики'!$F$5,"да","нет")</f>
        <v>да</v>
      </c>
      <c r="N2181" t="str">
        <f>IF(acs2015_county_data[[#This Row],[Unemployment]]&gt;='Описательные характеристики'!$I$5,"да","нет")</f>
        <v>нет</v>
      </c>
    </row>
    <row r="2182" spans="1:14" x14ac:dyDescent="0.35">
      <c r="A2182">
        <v>40099</v>
      </c>
      <c r="B2182" t="s">
        <v>1351</v>
      </c>
      <c r="C2182" t="s">
        <v>424</v>
      </c>
      <c r="D2182" s="2">
        <v>13733</v>
      </c>
      <c r="E2182" s="2">
        <v>23146</v>
      </c>
      <c r="F2182" s="3">
        <v>3.1</v>
      </c>
      <c r="G2182" s="3">
        <v>6115</v>
      </c>
      <c r="H2182" s="3">
        <v>70.8</v>
      </c>
      <c r="I2182" s="3">
        <v>22</v>
      </c>
      <c r="J2182" s="3">
        <v>6.2</v>
      </c>
      <c r="K2182" s="3">
        <v>1</v>
      </c>
      <c r="L2182" s="3">
        <v>3.6</v>
      </c>
      <c r="M2182" t="str">
        <f>IF(acs2015_county_data[[#This Row],[PublicWork]]&gt;='Описательные характеристики'!$F$5,"да","нет")</f>
        <v>да</v>
      </c>
      <c r="N2182" t="str">
        <f>IF(acs2015_county_data[[#This Row],[Unemployment]]&gt;='Описательные характеристики'!$I$5,"да","нет")</f>
        <v>нет</v>
      </c>
    </row>
    <row r="2183" spans="1:14" x14ac:dyDescent="0.35">
      <c r="A2183">
        <v>40101</v>
      </c>
      <c r="B2183" t="s">
        <v>1351</v>
      </c>
      <c r="C2183" t="s">
        <v>1376</v>
      </c>
      <c r="D2183" s="2">
        <v>70224</v>
      </c>
      <c r="E2183" s="2">
        <v>20516</v>
      </c>
      <c r="F2183" s="3">
        <v>2.9</v>
      </c>
      <c r="G2183" s="3">
        <v>27158</v>
      </c>
      <c r="H2183" s="3">
        <v>72.400000000000006</v>
      </c>
      <c r="I2183" s="3">
        <v>21.5</v>
      </c>
      <c r="J2183" s="3">
        <v>6</v>
      </c>
      <c r="K2183" s="3">
        <v>0.1</v>
      </c>
      <c r="L2183" s="3">
        <v>8.1999999999999993</v>
      </c>
      <c r="M2183" t="str">
        <f>IF(acs2015_county_data[[#This Row],[PublicWork]]&gt;='Описательные характеристики'!$F$5,"да","нет")</f>
        <v>да</v>
      </c>
      <c r="N2183" t="str">
        <f>IF(acs2015_county_data[[#This Row],[Unemployment]]&gt;='Описательные характеристики'!$I$5,"да","нет")</f>
        <v>да</v>
      </c>
    </row>
    <row r="2184" spans="1:14" x14ac:dyDescent="0.35">
      <c r="A2184">
        <v>40103</v>
      </c>
      <c r="B2184" t="s">
        <v>1351</v>
      </c>
      <c r="C2184" t="s">
        <v>577</v>
      </c>
      <c r="D2184" s="2">
        <v>11506</v>
      </c>
      <c r="E2184" s="2">
        <v>25368</v>
      </c>
      <c r="F2184" s="3">
        <v>3.3</v>
      </c>
      <c r="G2184" s="3">
        <v>5141</v>
      </c>
      <c r="H2184" s="3">
        <v>68.3</v>
      </c>
      <c r="I2184" s="3">
        <v>25.2</v>
      </c>
      <c r="J2184" s="3">
        <v>5.9</v>
      </c>
      <c r="K2184" s="3">
        <v>0.7</v>
      </c>
      <c r="L2184" s="3">
        <v>5.9</v>
      </c>
      <c r="M2184" t="str">
        <f>IF(acs2015_county_data[[#This Row],[PublicWork]]&gt;='Описательные характеристики'!$F$5,"да","нет")</f>
        <v>да</v>
      </c>
      <c r="N2184" t="str">
        <f>IF(acs2015_county_data[[#This Row],[Unemployment]]&gt;='Описательные характеристики'!$I$5,"да","нет")</f>
        <v>нет</v>
      </c>
    </row>
    <row r="2185" spans="1:14" x14ac:dyDescent="0.35">
      <c r="A2185">
        <v>40105</v>
      </c>
      <c r="B2185" t="s">
        <v>1351</v>
      </c>
      <c r="C2185" t="s">
        <v>1377</v>
      </c>
      <c r="D2185" s="2">
        <v>10555</v>
      </c>
      <c r="E2185" s="2">
        <v>20524</v>
      </c>
      <c r="F2185" s="3">
        <v>3.4</v>
      </c>
      <c r="G2185" s="3">
        <v>4248</v>
      </c>
      <c r="H2185" s="3">
        <v>79.2</v>
      </c>
      <c r="I2185" s="3">
        <v>15.1</v>
      </c>
      <c r="J2185" s="3">
        <v>5.5</v>
      </c>
      <c r="K2185" s="3">
        <v>0.3</v>
      </c>
      <c r="L2185" s="3">
        <v>8.4</v>
      </c>
      <c r="M2185" t="str">
        <f>IF(acs2015_county_data[[#This Row],[PublicWork]]&gt;='Описательные характеристики'!$F$5,"да","нет")</f>
        <v>нет</v>
      </c>
      <c r="N2185" t="str">
        <f>IF(acs2015_county_data[[#This Row],[Unemployment]]&gt;='Описательные характеристики'!$I$5,"да","нет")</f>
        <v>да</v>
      </c>
    </row>
    <row r="2186" spans="1:14" x14ac:dyDescent="0.35">
      <c r="A2186">
        <v>40107</v>
      </c>
      <c r="B2186" t="s">
        <v>1351</v>
      </c>
      <c r="C2186" t="s">
        <v>1378</v>
      </c>
      <c r="D2186" s="2">
        <v>12248</v>
      </c>
      <c r="E2186" s="2">
        <v>16818</v>
      </c>
      <c r="F2186" s="3">
        <v>4</v>
      </c>
      <c r="G2186" s="3">
        <v>3942</v>
      </c>
      <c r="H2186" s="3">
        <v>67.900000000000006</v>
      </c>
      <c r="I2186" s="3">
        <v>24.4</v>
      </c>
      <c r="J2186" s="3">
        <v>7.3</v>
      </c>
      <c r="K2186" s="3">
        <v>0.5</v>
      </c>
      <c r="L2186" s="3">
        <v>9.6</v>
      </c>
      <c r="M2186" t="str">
        <f>IF(acs2015_county_data[[#This Row],[PublicWork]]&gt;='Описательные характеристики'!$F$5,"да","нет")</f>
        <v>да</v>
      </c>
      <c r="N2186" t="str">
        <f>IF(acs2015_county_data[[#This Row],[Unemployment]]&gt;='Описательные характеристики'!$I$5,"да","нет")</f>
        <v>да</v>
      </c>
    </row>
    <row r="2187" spans="1:14" x14ac:dyDescent="0.35">
      <c r="A2187">
        <v>40109</v>
      </c>
      <c r="B2187" t="s">
        <v>1351</v>
      </c>
      <c r="C2187" t="s">
        <v>1351</v>
      </c>
      <c r="D2187" s="2">
        <v>754480</v>
      </c>
      <c r="E2187" s="2">
        <v>27401</v>
      </c>
      <c r="F2187" s="3">
        <v>3.4</v>
      </c>
      <c r="G2187" s="3">
        <v>353043</v>
      </c>
      <c r="H2187" s="3">
        <v>78.599999999999994</v>
      </c>
      <c r="I2187" s="3">
        <v>15.1</v>
      </c>
      <c r="J2187" s="3">
        <v>6.1</v>
      </c>
      <c r="K2187" s="3">
        <v>0.2</v>
      </c>
      <c r="L2187" s="3">
        <v>6</v>
      </c>
      <c r="M2187" t="str">
        <f>IF(acs2015_county_data[[#This Row],[PublicWork]]&gt;='Описательные характеристики'!$F$5,"да","нет")</f>
        <v>нет</v>
      </c>
      <c r="N2187" t="str">
        <f>IF(acs2015_county_data[[#This Row],[Unemployment]]&gt;='Описательные характеристики'!$I$5,"да","нет")</f>
        <v>нет</v>
      </c>
    </row>
    <row r="2188" spans="1:14" x14ac:dyDescent="0.35">
      <c r="A2188">
        <v>40111</v>
      </c>
      <c r="B2188" t="s">
        <v>1351</v>
      </c>
      <c r="C2188" t="s">
        <v>1379</v>
      </c>
      <c r="D2188" s="2">
        <v>39446</v>
      </c>
      <c r="E2188" s="2">
        <v>20313</v>
      </c>
      <c r="F2188" s="3">
        <v>3.2</v>
      </c>
      <c r="G2188" s="3">
        <v>14956</v>
      </c>
      <c r="H2188" s="3">
        <v>73.7</v>
      </c>
      <c r="I2188" s="3">
        <v>19.8</v>
      </c>
      <c r="J2188" s="3">
        <v>6</v>
      </c>
      <c r="K2188" s="3">
        <v>0.4</v>
      </c>
      <c r="L2188" s="3">
        <v>10.4</v>
      </c>
      <c r="M2188" t="str">
        <f>IF(acs2015_county_data[[#This Row],[PublicWork]]&gt;='Описательные характеристики'!$F$5,"да","нет")</f>
        <v>да</v>
      </c>
      <c r="N2188" t="str">
        <f>IF(acs2015_county_data[[#This Row],[Unemployment]]&gt;='Описательные характеристики'!$I$5,"да","нет")</f>
        <v>да</v>
      </c>
    </row>
    <row r="2189" spans="1:14" x14ac:dyDescent="0.35">
      <c r="A2189">
        <v>40113</v>
      </c>
      <c r="B2189" t="s">
        <v>1351</v>
      </c>
      <c r="C2189" t="s">
        <v>682</v>
      </c>
      <c r="D2189" s="2">
        <v>48054</v>
      </c>
      <c r="E2189" s="2">
        <v>22935</v>
      </c>
      <c r="F2189" s="3">
        <v>2.2000000000000002</v>
      </c>
      <c r="G2189" s="3">
        <v>19274</v>
      </c>
      <c r="H2189" s="3">
        <v>77</v>
      </c>
      <c r="I2189" s="3">
        <v>17.100000000000001</v>
      </c>
      <c r="J2189" s="3">
        <v>5.9</v>
      </c>
      <c r="K2189" s="3">
        <v>0</v>
      </c>
      <c r="L2189" s="3">
        <v>7.1</v>
      </c>
      <c r="M2189" t="str">
        <f>IF(acs2015_county_data[[#This Row],[PublicWork]]&gt;='Описательные характеристики'!$F$5,"да","нет")</f>
        <v>да</v>
      </c>
      <c r="N2189" t="str">
        <f>IF(acs2015_county_data[[#This Row],[Unemployment]]&gt;='Описательные характеристики'!$I$5,"да","нет")</f>
        <v>нет</v>
      </c>
    </row>
    <row r="2190" spans="1:14" x14ac:dyDescent="0.35">
      <c r="A2190">
        <v>40115</v>
      </c>
      <c r="B2190" t="s">
        <v>1351</v>
      </c>
      <c r="C2190" t="s">
        <v>684</v>
      </c>
      <c r="D2190" s="2">
        <v>32085</v>
      </c>
      <c r="E2190" s="2">
        <v>18136</v>
      </c>
      <c r="F2190" s="3">
        <v>1.6</v>
      </c>
      <c r="G2190" s="3">
        <v>12922</v>
      </c>
      <c r="H2190" s="3">
        <v>73.7</v>
      </c>
      <c r="I2190" s="3">
        <v>20.9</v>
      </c>
      <c r="J2190" s="3">
        <v>5.0999999999999996</v>
      </c>
      <c r="K2190" s="3">
        <v>0.3</v>
      </c>
      <c r="L2190" s="3">
        <v>9.4</v>
      </c>
      <c r="M2190" t="str">
        <f>IF(acs2015_county_data[[#This Row],[PublicWork]]&gt;='Описательные характеристики'!$F$5,"да","нет")</f>
        <v>да</v>
      </c>
      <c r="N2190" t="str">
        <f>IF(acs2015_county_data[[#This Row],[Unemployment]]&gt;='Описательные характеристики'!$I$5,"да","нет")</f>
        <v>да</v>
      </c>
    </row>
    <row r="2191" spans="1:14" x14ac:dyDescent="0.35">
      <c r="A2191">
        <v>40117</v>
      </c>
      <c r="B2191" t="s">
        <v>1351</v>
      </c>
      <c r="C2191" t="s">
        <v>685</v>
      </c>
      <c r="D2191" s="2">
        <v>16499</v>
      </c>
      <c r="E2191" s="2">
        <v>22603</v>
      </c>
      <c r="F2191" s="3">
        <v>2.5</v>
      </c>
      <c r="G2191" s="3">
        <v>6890</v>
      </c>
      <c r="H2191" s="3">
        <v>74.3</v>
      </c>
      <c r="I2191" s="3">
        <v>16.600000000000001</v>
      </c>
      <c r="J2191" s="3">
        <v>9</v>
      </c>
      <c r="K2191" s="3">
        <v>0.1</v>
      </c>
      <c r="L2191" s="3">
        <v>6.3</v>
      </c>
      <c r="M2191" t="str">
        <f>IF(acs2015_county_data[[#This Row],[PublicWork]]&gt;='Описательные характеристики'!$F$5,"да","нет")</f>
        <v>да</v>
      </c>
      <c r="N2191" t="str">
        <f>IF(acs2015_county_data[[#This Row],[Unemployment]]&gt;='Описательные характеристики'!$I$5,"да","нет")</f>
        <v>нет</v>
      </c>
    </row>
    <row r="2192" spans="1:14" x14ac:dyDescent="0.35">
      <c r="A2192">
        <v>40119</v>
      </c>
      <c r="B2192" t="s">
        <v>1351</v>
      </c>
      <c r="C2192" t="s">
        <v>1380</v>
      </c>
      <c r="D2192" s="2">
        <v>79423</v>
      </c>
      <c r="E2192" s="2">
        <v>21469</v>
      </c>
      <c r="F2192" s="3">
        <v>3</v>
      </c>
      <c r="G2192" s="3">
        <v>36780</v>
      </c>
      <c r="H2192" s="3">
        <v>67</v>
      </c>
      <c r="I2192" s="3">
        <v>27.4</v>
      </c>
      <c r="J2192" s="3">
        <v>5.2</v>
      </c>
      <c r="K2192" s="3">
        <v>0.5</v>
      </c>
      <c r="L2192" s="3">
        <v>6.3</v>
      </c>
      <c r="M2192" t="str">
        <f>IF(acs2015_county_data[[#This Row],[PublicWork]]&gt;='Описательные характеристики'!$F$5,"да","нет")</f>
        <v>да</v>
      </c>
      <c r="N2192" t="str">
        <f>IF(acs2015_county_data[[#This Row],[Unemployment]]&gt;='Описательные характеристики'!$I$5,"да","нет")</f>
        <v>нет</v>
      </c>
    </row>
    <row r="2193" spans="1:14" x14ac:dyDescent="0.35">
      <c r="A2193">
        <v>40121</v>
      </c>
      <c r="B2193" t="s">
        <v>1351</v>
      </c>
      <c r="C2193" t="s">
        <v>1381</v>
      </c>
      <c r="D2193" s="2">
        <v>44961</v>
      </c>
      <c r="E2193" s="2">
        <v>23311</v>
      </c>
      <c r="F2193" s="3">
        <v>2.7</v>
      </c>
      <c r="G2193" s="3">
        <v>18459</v>
      </c>
      <c r="H2193" s="3">
        <v>69.5</v>
      </c>
      <c r="I2193" s="3">
        <v>24.7</v>
      </c>
      <c r="J2193" s="3">
        <v>5.8</v>
      </c>
      <c r="K2193" s="3">
        <v>0</v>
      </c>
      <c r="L2193" s="3">
        <v>6.2</v>
      </c>
      <c r="M2193" t="str">
        <f>IF(acs2015_county_data[[#This Row],[PublicWork]]&gt;='Описательные характеристики'!$F$5,"да","нет")</f>
        <v>да</v>
      </c>
      <c r="N2193" t="str">
        <f>IF(acs2015_county_data[[#This Row],[Unemployment]]&gt;='Описательные характеристики'!$I$5,"да","нет")</f>
        <v>нет</v>
      </c>
    </row>
    <row r="2194" spans="1:14" x14ac:dyDescent="0.35">
      <c r="A2194">
        <v>40123</v>
      </c>
      <c r="B2194" t="s">
        <v>1351</v>
      </c>
      <c r="C2194" t="s">
        <v>1001</v>
      </c>
      <c r="D2194" s="2">
        <v>38055</v>
      </c>
      <c r="E2194" s="2">
        <v>21827</v>
      </c>
      <c r="F2194" s="3">
        <v>2.5</v>
      </c>
      <c r="G2194" s="3">
        <v>17465</v>
      </c>
      <c r="H2194" s="3">
        <v>65</v>
      </c>
      <c r="I2194" s="3">
        <v>29.3</v>
      </c>
      <c r="J2194" s="3">
        <v>5.7</v>
      </c>
      <c r="K2194" s="3">
        <v>0.1</v>
      </c>
      <c r="L2194" s="3">
        <v>6.2</v>
      </c>
      <c r="M2194" t="str">
        <f>IF(acs2015_county_data[[#This Row],[PublicWork]]&gt;='Описательные характеристики'!$F$5,"да","нет")</f>
        <v>да</v>
      </c>
      <c r="N2194" t="str">
        <f>IF(acs2015_county_data[[#This Row],[Unemployment]]&gt;='Описательные характеристики'!$I$5,"да","нет")</f>
        <v>нет</v>
      </c>
    </row>
    <row r="2195" spans="1:14" x14ac:dyDescent="0.35">
      <c r="A2195">
        <v>40125</v>
      </c>
      <c r="B2195" t="s">
        <v>1351</v>
      </c>
      <c r="C2195" t="s">
        <v>686</v>
      </c>
      <c r="D2195" s="2">
        <v>71136</v>
      </c>
      <c r="E2195" s="2">
        <v>21974</v>
      </c>
      <c r="F2195" s="3">
        <v>3.4</v>
      </c>
      <c r="G2195" s="3">
        <v>29366</v>
      </c>
      <c r="H2195" s="3">
        <v>67.900000000000006</v>
      </c>
      <c r="I2195" s="3">
        <v>25.6</v>
      </c>
      <c r="J2195" s="3">
        <v>6.3</v>
      </c>
      <c r="K2195" s="3">
        <v>0.2</v>
      </c>
      <c r="L2195" s="3">
        <v>6.8</v>
      </c>
      <c r="M2195" t="str">
        <f>IF(acs2015_county_data[[#This Row],[PublicWork]]&gt;='Описательные характеристики'!$F$5,"да","нет")</f>
        <v>да</v>
      </c>
      <c r="N2195" t="str">
        <f>IF(acs2015_county_data[[#This Row],[Unemployment]]&gt;='Описательные характеристики'!$I$5,"да","нет")</f>
        <v>нет</v>
      </c>
    </row>
    <row r="2196" spans="1:14" x14ac:dyDescent="0.35">
      <c r="A2196">
        <v>40127</v>
      </c>
      <c r="B2196" t="s">
        <v>1351</v>
      </c>
      <c r="C2196" t="s">
        <v>1382</v>
      </c>
      <c r="D2196" s="2">
        <v>11226</v>
      </c>
      <c r="E2196" s="2">
        <v>20802</v>
      </c>
      <c r="F2196" s="3">
        <v>2.8</v>
      </c>
      <c r="G2196" s="3">
        <v>4074</v>
      </c>
      <c r="H2196" s="3">
        <v>66.5</v>
      </c>
      <c r="I2196" s="3">
        <v>23.4</v>
      </c>
      <c r="J2196" s="3">
        <v>10</v>
      </c>
      <c r="K2196" s="3">
        <v>0.1</v>
      </c>
      <c r="L2196" s="3">
        <v>10.6</v>
      </c>
      <c r="M2196" t="str">
        <f>IF(acs2015_county_data[[#This Row],[PublicWork]]&gt;='Описательные характеристики'!$F$5,"да","нет")</f>
        <v>да</v>
      </c>
      <c r="N2196" t="str">
        <f>IF(acs2015_county_data[[#This Row],[Unemployment]]&gt;='Описательные характеристики'!$I$5,"да","нет")</f>
        <v>да</v>
      </c>
    </row>
    <row r="2197" spans="1:14" x14ac:dyDescent="0.35">
      <c r="A2197">
        <v>40129</v>
      </c>
      <c r="B2197" t="s">
        <v>1351</v>
      </c>
      <c r="C2197" t="s">
        <v>1383</v>
      </c>
      <c r="D2197" s="2">
        <v>3780</v>
      </c>
      <c r="E2197" s="2">
        <v>26257</v>
      </c>
      <c r="F2197" s="3">
        <v>9.9</v>
      </c>
      <c r="G2197" s="3">
        <v>1698</v>
      </c>
      <c r="H2197" s="3">
        <v>59.1</v>
      </c>
      <c r="I2197" s="3">
        <v>26.6</v>
      </c>
      <c r="J2197" s="3">
        <v>11.7</v>
      </c>
      <c r="K2197" s="3">
        <v>2.5</v>
      </c>
      <c r="L2197" s="3">
        <v>0.8</v>
      </c>
      <c r="M2197" t="str">
        <f>IF(acs2015_county_data[[#This Row],[PublicWork]]&gt;='Описательные характеристики'!$F$5,"да","нет")</f>
        <v>да</v>
      </c>
      <c r="N2197" t="str">
        <f>IF(acs2015_county_data[[#This Row],[Unemployment]]&gt;='Описательные характеристики'!$I$5,"да","нет")</f>
        <v>нет</v>
      </c>
    </row>
    <row r="2198" spans="1:14" x14ac:dyDescent="0.35">
      <c r="A2198">
        <v>40131</v>
      </c>
      <c r="B2198" t="s">
        <v>1351</v>
      </c>
      <c r="C2198" t="s">
        <v>1384</v>
      </c>
      <c r="D2198" s="2">
        <v>89190</v>
      </c>
      <c r="E2198" s="2">
        <v>28057</v>
      </c>
      <c r="F2198" s="3">
        <v>3.1</v>
      </c>
      <c r="G2198" s="3">
        <v>42093</v>
      </c>
      <c r="H2198" s="3">
        <v>80.5</v>
      </c>
      <c r="I2198" s="3">
        <v>14.2</v>
      </c>
      <c r="J2198" s="3">
        <v>5.2</v>
      </c>
      <c r="K2198" s="3">
        <v>0.2</v>
      </c>
      <c r="L2198" s="3">
        <v>5.5</v>
      </c>
      <c r="M2198" t="str">
        <f>IF(acs2015_county_data[[#This Row],[PublicWork]]&gt;='Описательные характеристики'!$F$5,"да","нет")</f>
        <v>нет</v>
      </c>
      <c r="N2198" t="str">
        <f>IF(acs2015_county_data[[#This Row],[Unemployment]]&gt;='Описательные характеристики'!$I$5,"да","нет")</f>
        <v>нет</v>
      </c>
    </row>
    <row r="2199" spans="1:14" x14ac:dyDescent="0.35">
      <c r="A2199">
        <v>40133</v>
      </c>
      <c r="B2199" t="s">
        <v>1351</v>
      </c>
      <c r="C2199" t="s">
        <v>348</v>
      </c>
      <c r="D2199" s="2">
        <v>25481</v>
      </c>
      <c r="E2199" s="2">
        <v>19141</v>
      </c>
      <c r="F2199" s="3">
        <v>3.7</v>
      </c>
      <c r="G2199" s="3">
        <v>9379</v>
      </c>
      <c r="H2199" s="3">
        <v>72.599999999999994</v>
      </c>
      <c r="I2199" s="3">
        <v>21.2</v>
      </c>
      <c r="J2199" s="3">
        <v>6.1</v>
      </c>
      <c r="K2199" s="3">
        <v>0.1</v>
      </c>
      <c r="L2199" s="3">
        <v>8.4</v>
      </c>
      <c r="M2199" t="str">
        <f>IF(acs2015_county_data[[#This Row],[PublicWork]]&gt;='Описательные характеристики'!$F$5,"да","нет")</f>
        <v>да</v>
      </c>
      <c r="N2199" t="str">
        <f>IF(acs2015_county_data[[#This Row],[Unemployment]]&gt;='Описательные характеристики'!$I$5,"да","нет")</f>
        <v>да</v>
      </c>
    </row>
    <row r="2200" spans="1:14" x14ac:dyDescent="0.35">
      <c r="A2200">
        <v>40135</v>
      </c>
      <c r="B2200" t="s">
        <v>1351</v>
      </c>
      <c r="C2200" t="s">
        <v>1385</v>
      </c>
      <c r="D2200" s="2">
        <v>41464</v>
      </c>
      <c r="E2200" s="2">
        <v>18451</v>
      </c>
      <c r="F2200" s="3">
        <v>2.8</v>
      </c>
      <c r="G2200" s="3">
        <v>15545</v>
      </c>
      <c r="H2200" s="3">
        <v>72.900000000000006</v>
      </c>
      <c r="I2200" s="3">
        <v>20.2</v>
      </c>
      <c r="J2200" s="3">
        <v>6.6</v>
      </c>
      <c r="K2200" s="3">
        <v>0.3</v>
      </c>
      <c r="L2200" s="3">
        <v>9.8000000000000007</v>
      </c>
      <c r="M2200" t="str">
        <f>IF(acs2015_county_data[[#This Row],[PublicWork]]&gt;='Описательные характеристики'!$F$5,"да","нет")</f>
        <v>да</v>
      </c>
      <c r="N2200" t="str">
        <f>IF(acs2015_county_data[[#This Row],[Unemployment]]&gt;='Описательные характеристики'!$I$5,"да","нет")</f>
        <v>да</v>
      </c>
    </row>
    <row r="2201" spans="1:14" x14ac:dyDescent="0.35">
      <c r="A2201">
        <v>40137</v>
      </c>
      <c r="B2201" t="s">
        <v>1351</v>
      </c>
      <c r="C2201" t="s">
        <v>438</v>
      </c>
      <c r="D2201" s="2">
        <v>44806</v>
      </c>
      <c r="E2201" s="2">
        <v>24291</v>
      </c>
      <c r="F2201" s="3">
        <v>2</v>
      </c>
      <c r="G2201" s="3">
        <v>19029</v>
      </c>
      <c r="H2201" s="3">
        <v>78</v>
      </c>
      <c r="I2201" s="3">
        <v>14.6</v>
      </c>
      <c r="J2201" s="3">
        <v>7</v>
      </c>
      <c r="K2201" s="3">
        <v>0.4</v>
      </c>
      <c r="L2201" s="3">
        <v>6.6</v>
      </c>
      <c r="M2201" t="str">
        <f>IF(acs2015_county_data[[#This Row],[PublicWork]]&gt;='Описательные характеристики'!$F$5,"да","нет")</f>
        <v>нет</v>
      </c>
      <c r="N2201" t="str">
        <f>IF(acs2015_county_data[[#This Row],[Unemployment]]&gt;='Описательные характеристики'!$I$5,"да","нет")</f>
        <v>нет</v>
      </c>
    </row>
    <row r="2202" spans="1:14" x14ac:dyDescent="0.35">
      <c r="A2202">
        <v>40139</v>
      </c>
      <c r="B2202" t="s">
        <v>1351</v>
      </c>
      <c r="C2202" t="s">
        <v>1051</v>
      </c>
      <c r="D2202" s="2">
        <v>21588</v>
      </c>
      <c r="E2202" s="2">
        <v>21809</v>
      </c>
      <c r="F2202" s="3">
        <v>1.6</v>
      </c>
      <c r="G2202" s="3">
        <v>11144</v>
      </c>
      <c r="H2202" s="3">
        <v>78.7</v>
      </c>
      <c r="I2202" s="3">
        <v>15.5</v>
      </c>
      <c r="J2202" s="3">
        <v>5.4</v>
      </c>
      <c r="K2202" s="3">
        <v>0.3</v>
      </c>
      <c r="L2202" s="3">
        <v>3.5</v>
      </c>
      <c r="M2202" t="str">
        <f>IF(acs2015_county_data[[#This Row],[PublicWork]]&gt;='Описательные характеристики'!$F$5,"да","нет")</f>
        <v>нет</v>
      </c>
      <c r="N2202" t="str">
        <f>IF(acs2015_county_data[[#This Row],[Unemployment]]&gt;='Описательные характеристики'!$I$5,"да","нет")</f>
        <v>нет</v>
      </c>
    </row>
    <row r="2203" spans="1:14" x14ac:dyDescent="0.35">
      <c r="A2203">
        <v>40141</v>
      </c>
      <c r="B2203" t="s">
        <v>1351</v>
      </c>
      <c r="C2203" t="s">
        <v>1386</v>
      </c>
      <c r="D2203" s="2">
        <v>7715</v>
      </c>
      <c r="E2203" s="2">
        <v>19057</v>
      </c>
      <c r="F2203" s="3">
        <v>4.3</v>
      </c>
      <c r="G2203" s="3">
        <v>3098</v>
      </c>
      <c r="H2203" s="3">
        <v>65.8</v>
      </c>
      <c r="I2203" s="3">
        <v>24.5</v>
      </c>
      <c r="J2203" s="3">
        <v>9.1</v>
      </c>
      <c r="K2203" s="3">
        <v>0.6</v>
      </c>
      <c r="L2203" s="3">
        <v>7.1</v>
      </c>
      <c r="M2203" t="str">
        <f>IF(acs2015_county_data[[#This Row],[PublicWork]]&gt;='Описательные характеристики'!$F$5,"да","нет")</f>
        <v>да</v>
      </c>
      <c r="N2203" t="str">
        <f>IF(acs2015_county_data[[#This Row],[Unemployment]]&gt;='Описательные характеристики'!$I$5,"да","нет")</f>
        <v>нет</v>
      </c>
    </row>
    <row r="2204" spans="1:14" x14ac:dyDescent="0.35">
      <c r="A2204">
        <v>40143</v>
      </c>
      <c r="B2204" t="s">
        <v>1351</v>
      </c>
      <c r="C2204" t="s">
        <v>1387</v>
      </c>
      <c r="D2204" s="2">
        <v>623335</v>
      </c>
      <c r="E2204" s="2">
        <v>28350</v>
      </c>
      <c r="F2204" s="3">
        <v>3.8</v>
      </c>
      <c r="G2204" s="3">
        <v>302471</v>
      </c>
      <c r="H2204" s="3">
        <v>84.5</v>
      </c>
      <c r="I2204" s="3">
        <v>9.6999999999999993</v>
      </c>
      <c r="J2204" s="3">
        <v>5.6</v>
      </c>
      <c r="K2204" s="3">
        <v>0.2</v>
      </c>
      <c r="L2204" s="3">
        <v>6.5</v>
      </c>
      <c r="M2204" t="str">
        <f>IF(acs2015_county_data[[#This Row],[PublicWork]]&gt;='Описательные характеристики'!$F$5,"да","нет")</f>
        <v>нет</v>
      </c>
      <c r="N2204" t="str">
        <f>IF(acs2015_county_data[[#This Row],[Unemployment]]&gt;='Описательные характеристики'!$I$5,"да","нет")</f>
        <v>нет</v>
      </c>
    </row>
    <row r="2205" spans="1:14" x14ac:dyDescent="0.35">
      <c r="A2205">
        <v>40145</v>
      </c>
      <c r="B2205" t="s">
        <v>1351</v>
      </c>
      <c r="C2205" t="s">
        <v>1388</v>
      </c>
      <c r="D2205" s="2">
        <v>75391</v>
      </c>
      <c r="E2205" s="2">
        <v>25535</v>
      </c>
      <c r="F2205" s="3">
        <v>3.3</v>
      </c>
      <c r="G2205" s="3">
        <v>34531</v>
      </c>
      <c r="H2205" s="3">
        <v>81.2</v>
      </c>
      <c r="I2205" s="3">
        <v>13.1</v>
      </c>
      <c r="J2205" s="3">
        <v>5.5</v>
      </c>
      <c r="K2205" s="3">
        <v>0.2</v>
      </c>
      <c r="L2205" s="3">
        <v>6</v>
      </c>
      <c r="M2205" t="str">
        <f>IF(acs2015_county_data[[#This Row],[PublicWork]]&gt;='Описательные характеристики'!$F$5,"да","нет")</f>
        <v>нет</v>
      </c>
      <c r="N2205" t="str">
        <f>IF(acs2015_county_data[[#This Row],[Unemployment]]&gt;='Описательные характеристики'!$I$5,"да","нет")</f>
        <v>нет</v>
      </c>
    </row>
    <row r="2206" spans="1:14" x14ac:dyDescent="0.35">
      <c r="A2206">
        <v>40147</v>
      </c>
      <c r="B2206" t="s">
        <v>1351</v>
      </c>
      <c r="C2206" t="s">
        <v>75</v>
      </c>
      <c r="D2206" s="2">
        <v>51760</v>
      </c>
      <c r="E2206" s="2">
        <v>28145</v>
      </c>
      <c r="F2206" s="3">
        <v>3.1</v>
      </c>
      <c r="G2206" s="3">
        <v>23028</v>
      </c>
      <c r="H2206" s="3">
        <v>80.5</v>
      </c>
      <c r="I2206" s="3">
        <v>13.4</v>
      </c>
      <c r="J2206" s="3">
        <v>5.9</v>
      </c>
      <c r="K2206" s="3">
        <v>0.2</v>
      </c>
      <c r="L2206" s="3">
        <v>5.3</v>
      </c>
      <c r="M2206" t="str">
        <f>IF(acs2015_county_data[[#This Row],[PublicWork]]&gt;='Описательные характеристики'!$F$5,"да","нет")</f>
        <v>нет</v>
      </c>
      <c r="N2206" t="str">
        <f>IF(acs2015_county_data[[#This Row],[Unemployment]]&gt;='Описательные характеристики'!$I$5,"да","нет")</f>
        <v>нет</v>
      </c>
    </row>
    <row r="2207" spans="1:14" x14ac:dyDescent="0.35">
      <c r="A2207">
        <v>40149</v>
      </c>
      <c r="B2207" t="s">
        <v>1351</v>
      </c>
      <c r="C2207" t="s">
        <v>1389</v>
      </c>
      <c r="D2207" s="2">
        <v>11649</v>
      </c>
      <c r="E2207" s="2">
        <v>25493</v>
      </c>
      <c r="F2207" s="3">
        <v>5.3</v>
      </c>
      <c r="G2207" s="3">
        <v>5057</v>
      </c>
      <c r="H2207" s="3">
        <v>71.599999999999994</v>
      </c>
      <c r="I2207" s="3">
        <v>17.3</v>
      </c>
      <c r="J2207" s="3">
        <v>10.7</v>
      </c>
      <c r="K2207" s="3">
        <v>0.4</v>
      </c>
      <c r="L2207" s="3">
        <v>3.5</v>
      </c>
      <c r="M2207" t="str">
        <f>IF(acs2015_county_data[[#This Row],[PublicWork]]&gt;='Описательные характеристики'!$F$5,"да","нет")</f>
        <v>да</v>
      </c>
      <c r="N2207" t="str">
        <f>IF(acs2015_county_data[[#This Row],[Unemployment]]&gt;='Описательные характеристики'!$I$5,"да","нет")</f>
        <v>нет</v>
      </c>
    </row>
    <row r="2208" spans="1:14" x14ac:dyDescent="0.35">
      <c r="A2208">
        <v>40151</v>
      </c>
      <c r="B2208" t="s">
        <v>1351</v>
      </c>
      <c r="C2208" t="s">
        <v>1390</v>
      </c>
      <c r="D2208" s="2">
        <v>9033</v>
      </c>
      <c r="E2208" s="2">
        <v>26700</v>
      </c>
      <c r="F2208" s="3">
        <v>5</v>
      </c>
      <c r="G2208" s="3">
        <v>4365</v>
      </c>
      <c r="H2208" s="3">
        <v>69</v>
      </c>
      <c r="I2208" s="3">
        <v>21.4</v>
      </c>
      <c r="J2208" s="3">
        <v>9.5</v>
      </c>
      <c r="K2208" s="3">
        <v>0.1</v>
      </c>
      <c r="L2208" s="3">
        <v>2.8</v>
      </c>
      <c r="M2208" t="str">
        <f>IF(acs2015_county_data[[#This Row],[PublicWork]]&gt;='Описательные характеристики'!$F$5,"да","нет")</f>
        <v>да</v>
      </c>
      <c r="N2208" t="str">
        <f>IF(acs2015_county_data[[#This Row],[Unemployment]]&gt;='Описательные характеристики'!$I$5,"да","нет")</f>
        <v>нет</v>
      </c>
    </row>
    <row r="2209" spans="1:14" x14ac:dyDescent="0.35">
      <c r="A2209">
        <v>40153</v>
      </c>
      <c r="B2209" t="s">
        <v>1351</v>
      </c>
      <c r="C2209" t="s">
        <v>1391</v>
      </c>
      <c r="D2209" s="2">
        <v>20986</v>
      </c>
      <c r="E2209" s="2">
        <v>26124</v>
      </c>
      <c r="F2209" s="3">
        <v>1.6</v>
      </c>
      <c r="G2209" s="3">
        <v>9345</v>
      </c>
      <c r="H2209" s="3">
        <v>78.900000000000006</v>
      </c>
      <c r="I2209" s="3">
        <v>14.3</v>
      </c>
      <c r="J2209" s="3">
        <v>6.6</v>
      </c>
      <c r="K2209" s="3">
        <v>0.2</v>
      </c>
      <c r="L2209" s="3">
        <v>5.0999999999999996</v>
      </c>
      <c r="M2209" t="str">
        <f>IF(acs2015_county_data[[#This Row],[PublicWork]]&gt;='Описательные характеристики'!$F$5,"да","нет")</f>
        <v>нет</v>
      </c>
      <c r="N2209" t="str">
        <f>IF(acs2015_county_data[[#This Row],[Unemployment]]&gt;='Описательные характеристики'!$I$5,"да","нет")</f>
        <v>нет</v>
      </c>
    </row>
    <row r="2210" spans="1:14" x14ac:dyDescent="0.35">
      <c r="A2210">
        <v>41001</v>
      </c>
      <c r="B2210" t="s">
        <v>1036</v>
      </c>
      <c r="C2210" t="s">
        <v>307</v>
      </c>
      <c r="D2210" s="2">
        <v>16052</v>
      </c>
      <c r="E2210" s="2">
        <v>24360</v>
      </c>
      <c r="F2210" s="3">
        <v>7.3</v>
      </c>
      <c r="G2210" s="3">
        <v>6376</v>
      </c>
      <c r="H2210" s="3">
        <v>71.2</v>
      </c>
      <c r="I2210" s="3">
        <v>19.100000000000001</v>
      </c>
      <c r="J2210" s="3">
        <v>9.5</v>
      </c>
      <c r="K2210" s="3">
        <v>0.3</v>
      </c>
      <c r="L2210" s="3">
        <v>10.1</v>
      </c>
      <c r="M2210" t="str">
        <f>IF(acs2015_county_data[[#This Row],[PublicWork]]&gt;='Описательные характеристики'!$F$5,"да","нет")</f>
        <v>да</v>
      </c>
      <c r="N2210" t="str">
        <f>IF(acs2015_county_data[[#This Row],[Unemployment]]&gt;='Описательные характеристики'!$I$5,"да","нет")</f>
        <v>да</v>
      </c>
    </row>
    <row r="2211" spans="1:14" x14ac:dyDescent="0.35">
      <c r="A2211">
        <v>41003</v>
      </c>
      <c r="B2211" t="s">
        <v>1036</v>
      </c>
      <c r="C2211" t="s">
        <v>127</v>
      </c>
      <c r="D2211" s="2">
        <v>86495</v>
      </c>
      <c r="E2211" s="2">
        <v>27888</v>
      </c>
      <c r="F2211" s="3">
        <v>7.6</v>
      </c>
      <c r="G2211" s="3">
        <v>39915</v>
      </c>
      <c r="H2211" s="3">
        <v>64.8</v>
      </c>
      <c r="I2211" s="3">
        <v>28.4</v>
      </c>
      <c r="J2211" s="3">
        <v>6.7</v>
      </c>
      <c r="K2211" s="3">
        <v>0.1</v>
      </c>
      <c r="L2211" s="3">
        <v>8.6</v>
      </c>
      <c r="M2211" t="str">
        <f>IF(acs2015_county_data[[#This Row],[PublicWork]]&gt;='Описательные характеристики'!$F$5,"да","нет")</f>
        <v>да</v>
      </c>
      <c r="N2211" t="str">
        <f>IF(acs2015_county_data[[#This Row],[Unemployment]]&gt;='Описательные характеристики'!$I$5,"да","нет")</f>
        <v>да</v>
      </c>
    </row>
    <row r="2212" spans="1:14" x14ac:dyDescent="0.35">
      <c r="A2212">
        <v>41005</v>
      </c>
      <c r="B2212" t="s">
        <v>1036</v>
      </c>
      <c r="C2212" t="s">
        <v>1392</v>
      </c>
      <c r="D2212" s="2">
        <v>389438</v>
      </c>
      <c r="E2212" s="2">
        <v>34047</v>
      </c>
      <c r="F2212" s="3">
        <v>7.2</v>
      </c>
      <c r="G2212" s="3">
        <v>185660</v>
      </c>
      <c r="H2212" s="3">
        <v>80.900000000000006</v>
      </c>
      <c r="I2212" s="3">
        <v>11.1</v>
      </c>
      <c r="J2212" s="3">
        <v>7.8</v>
      </c>
      <c r="K2212" s="3">
        <v>0.2</v>
      </c>
      <c r="L2212" s="3">
        <v>8.3000000000000007</v>
      </c>
      <c r="M2212" t="str">
        <f>IF(acs2015_county_data[[#This Row],[PublicWork]]&gt;='Описательные характеристики'!$F$5,"да","нет")</f>
        <v>нет</v>
      </c>
      <c r="N2212" t="str">
        <f>IF(acs2015_county_data[[#This Row],[Unemployment]]&gt;='Описательные характеристики'!$I$5,"да","нет")</f>
        <v>да</v>
      </c>
    </row>
    <row r="2213" spans="1:14" x14ac:dyDescent="0.35">
      <c r="A2213">
        <v>41007</v>
      </c>
      <c r="B2213" t="s">
        <v>1036</v>
      </c>
      <c r="C2213" t="s">
        <v>1393</v>
      </c>
      <c r="D2213" s="2">
        <v>37382</v>
      </c>
      <c r="E2213" s="2">
        <v>26294</v>
      </c>
      <c r="F2213" s="3">
        <v>6</v>
      </c>
      <c r="G2213" s="3">
        <v>16843</v>
      </c>
      <c r="H2213" s="3">
        <v>74.900000000000006</v>
      </c>
      <c r="I2213" s="3">
        <v>15.9</v>
      </c>
      <c r="J2213" s="3">
        <v>8.9</v>
      </c>
      <c r="K2213" s="3">
        <v>0.3</v>
      </c>
      <c r="L2213" s="3">
        <v>7.6</v>
      </c>
      <c r="M2213" t="str">
        <f>IF(acs2015_county_data[[#This Row],[PublicWork]]&gt;='Описательные характеристики'!$F$5,"да","нет")</f>
        <v>нет</v>
      </c>
      <c r="N2213" t="str">
        <f>IF(acs2015_county_data[[#This Row],[Unemployment]]&gt;='Описательные характеристики'!$I$5,"да","нет")</f>
        <v>да</v>
      </c>
    </row>
    <row r="2214" spans="1:14" x14ac:dyDescent="0.35">
      <c r="A2214">
        <v>41009</v>
      </c>
      <c r="B2214" t="s">
        <v>1036</v>
      </c>
      <c r="C2214" t="s">
        <v>133</v>
      </c>
      <c r="D2214" s="2">
        <v>49389</v>
      </c>
      <c r="E2214" s="2">
        <v>25885</v>
      </c>
      <c r="F2214" s="3">
        <v>5.4</v>
      </c>
      <c r="G2214" s="3">
        <v>20362</v>
      </c>
      <c r="H2214" s="3">
        <v>79.5</v>
      </c>
      <c r="I2214" s="3">
        <v>12.7</v>
      </c>
      <c r="J2214" s="3">
        <v>7.7</v>
      </c>
      <c r="K2214" s="3">
        <v>0.2</v>
      </c>
      <c r="L2214" s="3">
        <v>9.8000000000000007</v>
      </c>
      <c r="M2214" t="str">
        <f>IF(acs2015_county_data[[#This Row],[PublicWork]]&gt;='Описательные характеристики'!$F$5,"да","нет")</f>
        <v>нет</v>
      </c>
      <c r="N2214" t="str">
        <f>IF(acs2015_county_data[[#This Row],[Unemployment]]&gt;='Описательные характеристики'!$I$5,"да","нет")</f>
        <v>да</v>
      </c>
    </row>
    <row r="2215" spans="1:14" x14ac:dyDescent="0.35">
      <c r="A2215">
        <v>41011</v>
      </c>
      <c r="B2215" t="s">
        <v>1036</v>
      </c>
      <c r="C2215" t="s">
        <v>1146</v>
      </c>
      <c r="D2215" s="2">
        <v>62775</v>
      </c>
      <c r="E2215" s="2">
        <v>22667</v>
      </c>
      <c r="F2215" s="3">
        <v>6.3</v>
      </c>
      <c r="G2215" s="3">
        <v>23458</v>
      </c>
      <c r="H2215" s="3">
        <v>71.8</v>
      </c>
      <c r="I2215" s="3">
        <v>17.7</v>
      </c>
      <c r="J2215" s="3">
        <v>9.9</v>
      </c>
      <c r="K2215" s="3">
        <v>0.5</v>
      </c>
      <c r="L2215" s="3">
        <v>11.7</v>
      </c>
      <c r="M2215" t="str">
        <f>IF(acs2015_county_data[[#This Row],[PublicWork]]&gt;='Описательные характеристики'!$F$5,"да","нет")</f>
        <v>да</v>
      </c>
      <c r="N2215" t="str">
        <f>IF(acs2015_county_data[[#This Row],[Unemployment]]&gt;='Описательные характеристики'!$I$5,"да","нет")</f>
        <v>да</v>
      </c>
    </row>
    <row r="2216" spans="1:14" x14ac:dyDescent="0.35">
      <c r="A2216">
        <v>41013</v>
      </c>
      <c r="B2216" t="s">
        <v>1036</v>
      </c>
      <c r="C2216" t="s">
        <v>1394</v>
      </c>
      <c r="D2216" s="2">
        <v>20956</v>
      </c>
      <c r="E2216" s="2">
        <v>21496</v>
      </c>
      <c r="F2216" s="3">
        <v>6</v>
      </c>
      <c r="G2216" s="3">
        <v>8014</v>
      </c>
      <c r="H2216" s="3">
        <v>74.7</v>
      </c>
      <c r="I2216" s="3">
        <v>15.1</v>
      </c>
      <c r="J2216" s="3">
        <v>10</v>
      </c>
      <c r="K2216" s="3">
        <v>0.1</v>
      </c>
      <c r="L2216" s="3">
        <v>13.5</v>
      </c>
      <c r="M2216" t="str">
        <f>IF(acs2015_county_data[[#This Row],[PublicWork]]&gt;='Описательные характеристики'!$F$5,"да","нет")</f>
        <v>нет</v>
      </c>
      <c r="N2216" t="str">
        <f>IF(acs2015_county_data[[#This Row],[Unemployment]]&gt;='Описательные характеристики'!$I$5,"да","нет")</f>
        <v>да</v>
      </c>
    </row>
    <row r="2217" spans="1:14" x14ac:dyDescent="0.35">
      <c r="A2217">
        <v>41015</v>
      </c>
      <c r="B2217" t="s">
        <v>1036</v>
      </c>
      <c r="C2217" t="s">
        <v>1168</v>
      </c>
      <c r="D2217" s="2">
        <v>22338</v>
      </c>
      <c r="E2217" s="2">
        <v>24682</v>
      </c>
      <c r="F2217" s="3">
        <v>6.2</v>
      </c>
      <c r="G2217" s="3">
        <v>7930</v>
      </c>
      <c r="H2217" s="3">
        <v>67.7</v>
      </c>
      <c r="I2217" s="3">
        <v>19.399999999999999</v>
      </c>
      <c r="J2217" s="3">
        <v>12.9</v>
      </c>
      <c r="K2217" s="3">
        <v>0</v>
      </c>
      <c r="L2217" s="3">
        <v>11.3</v>
      </c>
      <c r="M2217" t="str">
        <f>IF(acs2015_county_data[[#This Row],[PublicWork]]&gt;='Описательные характеристики'!$F$5,"да","нет")</f>
        <v>да</v>
      </c>
      <c r="N2217" t="str">
        <f>IF(acs2015_county_data[[#This Row],[Unemployment]]&gt;='Описательные характеристики'!$I$5,"да","нет")</f>
        <v>да</v>
      </c>
    </row>
    <row r="2218" spans="1:14" x14ac:dyDescent="0.35">
      <c r="A2218">
        <v>41017</v>
      </c>
      <c r="B2218" t="s">
        <v>1036</v>
      </c>
      <c r="C2218" t="s">
        <v>1395</v>
      </c>
      <c r="D2218" s="2">
        <v>166622</v>
      </c>
      <c r="E2218" s="2">
        <v>29158</v>
      </c>
      <c r="F2218" s="3">
        <v>9.4</v>
      </c>
      <c r="G2218" s="3">
        <v>74599</v>
      </c>
      <c r="H2218" s="3">
        <v>77.2</v>
      </c>
      <c r="I2218" s="3">
        <v>11.7</v>
      </c>
      <c r="J2218" s="3">
        <v>10.9</v>
      </c>
      <c r="K2218" s="3">
        <v>0.2</v>
      </c>
      <c r="L2218" s="3">
        <v>9.4</v>
      </c>
      <c r="M2218" t="str">
        <f>IF(acs2015_county_data[[#This Row],[PublicWork]]&gt;='Описательные характеристики'!$F$5,"да","нет")</f>
        <v>нет</v>
      </c>
      <c r="N2218" t="str">
        <f>IF(acs2015_county_data[[#This Row],[Unemployment]]&gt;='Описательные характеристики'!$I$5,"да","нет")</f>
        <v>да</v>
      </c>
    </row>
    <row r="2219" spans="1:14" x14ac:dyDescent="0.35">
      <c r="A2219">
        <v>41019</v>
      </c>
      <c r="B2219" t="s">
        <v>1036</v>
      </c>
      <c r="C2219" t="s">
        <v>254</v>
      </c>
      <c r="D2219" s="2">
        <v>107194</v>
      </c>
      <c r="E2219" s="2">
        <v>22591</v>
      </c>
      <c r="F2219" s="3">
        <v>6.2</v>
      </c>
      <c r="G2219" s="3">
        <v>39563</v>
      </c>
      <c r="H2219" s="3">
        <v>72</v>
      </c>
      <c r="I2219" s="3">
        <v>19.5</v>
      </c>
      <c r="J2219" s="3">
        <v>8.1999999999999993</v>
      </c>
      <c r="K2219" s="3">
        <v>0.3</v>
      </c>
      <c r="L2219" s="3">
        <v>12.2</v>
      </c>
      <c r="M2219" t="str">
        <f>IF(acs2015_county_data[[#This Row],[PublicWork]]&gt;='Описательные характеристики'!$F$5,"да","нет")</f>
        <v>да</v>
      </c>
      <c r="N2219" t="str">
        <f>IF(acs2015_county_data[[#This Row],[Unemployment]]&gt;='Описательные характеристики'!$I$5,"да","нет")</f>
        <v>да</v>
      </c>
    </row>
    <row r="2220" spans="1:14" x14ac:dyDescent="0.35">
      <c r="A2220">
        <v>41021</v>
      </c>
      <c r="B2220" t="s">
        <v>1036</v>
      </c>
      <c r="C2220" t="s">
        <v>1396</v>
      </c>
      <c r="D2220" s="2">
        <v>1883</v>
      </c>
      <c r="E2220" s="2">
        <v>25227</v>
      </c>
      <c r="F2220" s="3">
        <v>7.5</v>
      </c>
      <c r="G2220" s="3">
        <v>783</v>
      </c>
      <c r="H2220" s="3">
        <v>67.7</v>
      </c>
      <c r="I2220" s="3">
        <v>24.4</v>
      </c>
      <c r="J2220" s="3">
        <v>7.5</v>
      </c>
      <c r="K2220" s="3">
        <v>0.4</v>
      </c>
      <c r="L2220" s="3">
        <v>9.1999999999999993</v>
      </c>
      <c r="M2220" t="str">
        <f>IF(acs2015_county_data[[#This Row],[PublicWork]]&gt;='Описательные характеристики'!$F$5,"да","нет")</f>
        <v>да</v>
      </c>
      <c r="N2220" t="str">
        <f>IF(acs2015_county_data[[#This Row],[Unemployment]]&gt;='Описательные характеристики'!$I$5,"да","нет")</f>
        <v>да</v>
      </c>
    </row>
    <row r="2221" spans="1:14" x14ac:dyDescent="0.35">
      <c r="A2221">
        <v>41023</v>
      </c>
      <c r="B2221" t="s">
        <v>1036</v>
      </c>
      <c r="C2221" t="s">
        <v>144</v>
      </c>
      <c r="D2221" s="2">
        <v>7276</v>
      </c>
      <c r="E2221" s="2">
        <v>22538</v>
      </c>
      <c r="F2221" s="3">
        <v>8.1</v>
      </c>
      <c r="G2221" s="3">
        <v>2878</v>
      </c>
      <c r="H2221" s="3">
        <v>57.7</v>
      </c>
      <c r="I2221" s="3">
        <v>29.3</v>
      </c>
      <c r="J2221" s="3">
        <v>12.4</v>
      </c>
      <c r="K2221" s="3">
        <v>0.6</v>
      </c>
      <c r="L2221" s="3">
        <v>9</v>
      </c>
      <c r="M2221" t="str">
        <f>IF(acs2015_county_data[[#This Row],[PublicWork]]&gt;='Описательные характеристики'!$F$5,"да","нет")</f>
        <v>да</v>
      </c>
      <c r="N2221" t="str">
        <f>IF(acs2015_county_data[[#This Row],[Unemployment]]&gt;='Описательные характеристики'!$I$5,"да","нет")</f>
        <v>да</v>
      </c>
    </row>
    <row r="2222" spans="1:14" x14ac:dyDescent="0.35">
      <c r="A2222">
        <v>41025</v>
      </c>
      <c r="B2222" t="s">
        <v>1036</v>
      </c>
      <c r="C2222" t="s">
        <v>1397</v>
      </c>
      <c r="D2222" s="2">
        <v>7229</v>
      </c>
      <c r="E2222" s="2">
        <v>21040</v>
      </c>
      <c r="F2222" s="3">
        <v>12.6</v>
      </c>
      <c r="G2222" s="3">
        <v>2901</v>
      </c>
      <c r="H2222" s="3">
        <v>53.4</v>
      </c>
      <c r="I2222" s="3">
        <v>29.5</v>
      </c>
      <c r="J2222" s="3">
        <v>16.2</v>
      </c>
      <c r="K2222" s="3">
        <v>1</v>
      </c>
      <c r="L2222" s="3">
        <v>16.100000000000001</v>
      </c>
      <c r="M2222" t="str">
        <f>IF(acs2015_county_data[[#This Row],[PublicWork]]&gt;='Описательные характеристики'!$F$5,"да","нет")</f>
        <v>да</v>
      </c>
      <c r="N2222" t="str">
        <f>IF(acs2015_county_data[[#This Row],[Unemployment]]&gt;='Описательные характеристики'!$I$5,"да","нет")</f>
        <v>да</v>
      </c>
    </row>
    <row r="2223" spans="1:14" x14ac:dyDescent="0.35">
      <c r="A2223">
        <v>41027</v>
      </c>
      <c r="B2223" t="s">
        <v>1036</v>
      </c>
      <c r="C2223" t="s">
        <v>1398</v>
      </c>
      <c r="D2223" s="2">
        <v>22749</v>
      </c>
      <c r="E2223" s="2">
        <v>27719</v>
      </c>
      <c r="F2223" s="3">
        <v>9.3000000000000007</v>
      </c>
      <c r="G2223" s="3">
        <v>11251</v>
      </c>
      <c r="H2223" s="3">
        <v>79</v>
      </c>
      <c r="I2223" s="3">
        <v>13.3</v>
      </c>
      <c r="J2223" s="3">
        <v>7.7</v>
      </c>
      <c r="K2223" s="3">
        <v>0</v>
      </c>
      <c r="L2223" s="3">
        <v>5.0999999999999996</v>
      </c>
      <c r="M2223" t="str">
        <f>IF(acs2015_county_data[[#This Row],[PublicWork]]&gt;='Описательные характеристики'!$F$5,"да","нет")</f>
        <v>нет</v>
      </c>
      <c r="N2223" t="str">
        <f>IF(acs2015_county_data[[#This Row],[Unemployment]]&gt;='Описательные характеристики'!$I$5,"да","нет")</f>
        <v>нет</v>
      </c>
    </row>
    <row r="2224" spans="1:14" x14ac:dyDescent="0.35">
      <c r="A2224">
        <v>41029</v>
      </c>
      <c r="B2224" t="s">
        <v>1036</v>
      </c>
      <c r="C2224" t="s">
        <v>49</v>
      </c>
      <c r="D2224" s="2">
        <v>208363</v>
      </c>
      <c r="E2224" s="2">
        <v>24605</v>
      </c>
      <c r="F2224" s="3">
        <v>7.3</v>
      </c>
      <c r="G2224" s="3">
        <v>87699</v>
      </c>
      <c r="H2224" s="3">
        <v>75.599999999999994</v>
      </c>
      <c r="I2224" s="3">
        <v>13.7</v>
      </c>
      <c r="J2224" s="3">
        <v>10.6</v>
      </c>
      <c r="K2224" s="3">
        <v>0.1</v>
      </c>
      <c r="L2224" s="3">
        <v>10.8</v>
      </c>
      <c r="M2224" t="str">
        <f>IF(acs2015_county_data[[#This Row],[PublicWork]]&gt;='Описательные характеристики'!$F$5,"да","нет")</f>
        <v>нет</v>
      </c>
      <c r="N2224" t="str">
        <f>IF(acs2015_county_data[[#This Row],[Unemployment]]&gt;='Описательные характеристики'!$I$5,"да","нет")</f>
        <v>да</v>
      </c>
    </row>
    <row r="2225" spans="1:14" x14ac:dyDescent="0.35">
      <c r="A2225">
        <v>41031</v>
      </c>
      <c r="B2225" t="s">
        <v>1036</v>
      </c>
      <c r="C2225" t="s">
        <v>50</v>
      </c>
      <c r="D2225" s="2">
        <v>22061</v>
      </c>
      <c r="E2225" s="2">
        <v>21341</v>
      </c>
      <c r="F2225" s="3">
        <v>4</v>
      </c>
      <c r="G2225" s="3">
        <v>8167</v>
      </c>
      <c r="H2225" s="3">
        <v>69.900000000000006</v>
      </c>
      <c r="I2225" s="3">
        <v>23.3</v>
      </c>
      <c r="J2225" s="3">
        <v>6.7</v>
      </c>
      <c r="K2225" s="3">
        <v>0.1</v>
      </c>
      <c r="L2225" s="3">
        <v>14.4</v>
      </c>
      <c r="M2225" t="str">
        <f>IF(acs2015_county_data[[#This Row],[PublicWork]]&gt;='Описательные характеристики'!$F$5,"да","нет")</f>
        <v>да</v>
      </c>
      <c r="N2225" t="str">
        <f>IF(acs2015_county_data[[#This Row],[Unemployment]]&gt;='Описательные характеристики'!$I$5,"да","нет")</f>
        <v>да</v>
      </c>
    </row>
    <row r="2226" spans="1:14" x14ac:dyDescent="0.35">
      <c r="A2226">
        <v>41033</v>
      </c>
      <c r="B2226" t="s">
        <v>1036</v>
      </c>
      <c r="C2226" t="s">
        <v>1399</v>
      </c>
      <c r="D2226" s="2">
        <v>83409</v>
      </c>
      <c r="E2226" s="2">
        <v>22470</v>
      </c>
      <c r="F2226" s="3">
        <v>5.8</v>
      </c>
      <c r="G2226" s="3">
        <v>28510</v>
      </c>
      <c r="H2226" s="3">
        <v>76</v>
      </c>
      <c r="I2226" s="3">
        <v>13.2</v>
      </c>
      <c r="J2226" s="3">
        <v>10.7</v>
      </c>
      <c r="K2226" s="3">
        <v>0.1</v>
      </c>
      <c r="L2226" s="3">
        <v>12.3</v>
      </c>
      <c r="M2226" t="str">
        <f>IF(acs2015_county_data[[#This Row],[PublicWork]]&gt;='Описательные характеристики'!$F$5,"да","нет")</f>
        <v>нет</v>
      </c>
      <c r="N2226" t="str">
        <f>IF(acs2015_county_data[[#This Row],[Unemployment]]&gt;='Описательные характеристики'!$I$5,"да","нет")</f>
        <v>да</v>
      </c>
    </row>
    <row r="2227" spans="1:14" x14ac:dyDescent="0.35">
      <c r="A2227">
        <v>41035</v>
      </c>
      <c r="B2227" t="s">
        <v>1036</v>
      </c>
      <c r="C2227" t="s">
        <v>1400</v>
      </c>
      <c r="D2227" s="2">
        <v>65972</v>
      </c>
      <c r="E2227" s="2">
        <v>22177</v>
      </c>
      <c r="F2227" s="3">
        <v>5.7</v>
      </c>
      <c r="G2227" s="3">
        <v>25753</v>
      </c>
      <c r="H2227" s="3">
        <v>73.3</v>
      </c>
      <c r="I2227" s="3">
        <v>19.3</v>
      </c>
      <c r="J2227" s="3">
        <v>7.1</v>
      </c>
      <c r="K2227" s="3">
        <v>0.4</v>
      </c>
      <c r="L2227" s="3">
        <v>12.4</v>
      </c>
      <c r="M2227" t="str">
        <f>IF(acs2015_county_data[[#This Row],[PublicWork]]&gt;='Описательные характеристики'!$F$5,"да","нет")</f>
        <v>да</v>
      </c>
      <c r="N2227" t="str">
        <f>IF(acs2015_county_data[[#This Row],[Unemployment]]&gt;='Описательные характеристики'!$I$5,"да","нет")</f>
        <v>да</v>
      </c>
    </row>
    <row r="2228" spans="1:14" x14ac:dyDescent="0.35">
      <c r="A2228">
        <v>41037</v>
      </c>
      <c r="B2228" t="s">
        <v>1036</v>
      </c>
      <c r="C2228" t="s">
        <v>196</v>
      </c>
      <c r="D2228" s="2">
        <v>7842</v>
      </c>
      <c r="E2228" s="2">
        <v>20142</v>
      </c>
      <c r="F2228" s="3">
        <v>8.9</v>
      </c>
      <c r="G2228" s="3">
        <v>3037</v>
      </c>
      <c r="H2228" s="3">
        <v>59.4</v>
      </c>
      <c r="I2228" s="3">
        <v>27.8</v>
      </c>
      <c r="J2228" s="3">
        <v>11.5</v>
      </c>
      <c r="K2228" s="3">
        <v>1.3</v>
      </c>
      <c r="L2228" s="3">
        <v>10.6</v>
      </c>
      <c r="M2228" t="str">
        <f>IF(acs2015_county_data[[#This Row],[PublicWork]]&gt;='Описательные характеристики'!$F$5,"да","нет")</f>
        <v>да</v>
      </c>
      <c r="N2228" t="str">
        <f>IF(acs2015_county_data[[#This Row],[Unemployment]]&gt;='Описательные характеристики'!$I$5,"да","нет")</f>
        <v>да</v>
      </c>
    </row>
    <row r="2229" spans="1:14" x14ac:dyDescent="0.35">
      <c r="A2229">
        <v>41039</v>
      </c>
      <c r="B2229" t="s">
        <v>1036</v>
      </c>
      <c r="C2229" t="s">
        <v>672</v>
      </c>
      <c r="D2229" s="2">
        <v>357060</v>
      </c>
      <c r="E2229" s="2">
        <v>24960</v>
      </c>
      <c r="F2229" s="3">
        <v>5.8</v>
      </c>
      <c r="G2229" s="3">
        <v>158490</v>
      </c>
      <c r="H2229" s="3">
        <v>75.900000000000006</v>
      </c>
      <c r="I2229" s="3">
        <v>15.8</v>
      </c>
      <c r="J2229" s="3">
        <v>8</v>
      </c>
      <c r="K2229" s="3">
        <v>0.2</v>
      </c>
      <c r="L2229" s="3">
        <v>9.9</v>
      </c>
      <c r="M2229" t="str">
        <f>IF(acs2015_county_data[[#This Row],[PublicWork]]&gt;='Описательные характеристики'!$F$5,"да","нет")</f>
        <v>нет</v>
      </c>
      <c r="N2229" t="str">
        <f>IF(acs2015_county_data[[#This Row],[Unemployment]]&gt;='Описательные характеристики'!$I$5,"да","нет")</f>
        <v>да</v>
      </c>
    </row>
    <row r="2230" spans="1:14" x14ac:dyDescent="0.35">
      <c r="A2230">
        <v>41041</v>
      </c>
      <c r="B2230" t="s">
        <v>1036</v>
      </c>
      <c r="C2230" t="s">
        <v>152</v>
      </c>
      <c r="D2230" s="2">
        <v>46347</v>
      </c>
      <c r="E2230" s="2">
        <v>25124</v>
      </c>
      <c r="F2230" s="3">
        <v>6.2</v>
      </c>
      <c r="G2230" s="3">
        <v>19454</v>
      </c>
      <c r="H2230" s="3">
        <v>72.3</v>
      </c>
      <c r="I2230" s="3">
        <v>16.2</v>
      </c>
      <c r="J2230" s="3">
        <v>11.3</v>
      </c>
      <c r="K2230" s="3">
        <v>0.2</v>
      </c>
      <c r="L2230" s="3">
        <v>7.9</v>
      </c>
      <c r="M2230" t="str">
        <f>IF(acs2015_county_data[[#This Row],[PublicWork]]&gt;='Описательные характеристики'!$F$5,"да","нет")</f>
        <v>да</v>
      </c>
      <c r="N2230" t="str">
        <f>IF(acs2015_county_data[[#This Row],[Unemployment]]&gt;='Описательные характеристики'!$I$5,"да","нет")</f>
        <v>да</v>
      </c>
    </row>
    <row r="2231" spans="1:14" x14ac:dyDescent="0.35">
      <c r="A2231">
        <v>41043</v>
      </c>
      <c r="B2231" t="s">
        <v>1036</v>
      </c>
      <c r="C2231" t="s">
        <v>619</v>
      </c>
      <c r="D2231" s="2">
        <v>118971</v>
      </c>
      <c r="E2231" s="2">
        <v>21706</v>
      </c>
      <c r="F2231" s="3">
        <v>5.8</v>
      </c>
      <c r="G2231" s="3">
        <v>48892</v>
      </c>
      <c r="H2231" s="3">
        <v>77.7</v>
      </c>
      <c r="I2231" s="3">
        <v>15.5</v>
      </c>
      <c r="J2231" s="3">
        <v>6.6</v>
      </c>
      <c r="K2231" s="3">
        <v>0.1</v>
      </c>
      <c r="L2231" s="3">
        <v>10.6</v>
      </c>
      <c r="M2231" t="str">
        <f>IF(acs2015_county_data[[#This Row],[PublicWork]]&gt;='Описательные характеристики'!$F$5,"да","нет")</f>
        <v>нет</v>
      </c>
      <c r="N2231" t="str">
        <f>IF(acs2015_county_data[[#This Row],[Unemployment]]&gt;='Описательные характеристики'!$I$5,"да","нет")</f>
        <v>да</v>
      </c>
    </row>
    <row r="2232" spans="1:14" x14ac:dyDescent="0.35">
      <c r="A2232">
        <v>41045</v>
      </c>
      <c r="B2232" t="s">
        <v>1036</v>
      </c>
      <c r="C2232" t="s">
        <v>1401</v>
      </c>
      <c r="D2232" s="2">
        <v>30551</v>
      </c>
      <c r="E2232" s="2">
        <v>16867</v>
      </c>
      <c r="F2232" s="3">
        <v>6</v>
      </c>
      <c r="G2232" s="3">
        <v>10595</v>
      </c>
      <c r="H2232" s="3">
        <v>70.599999999999994</v>
      </c>
      <c r="I2232" s="3">
        <v>19.100000000000001</v>
      </c>
      <c r="J2232" s="3">
        <v>9.8000000000000007</v>
      </c>
      <c r="K2232" s="3">
        <v>0.5</v>
      </c>
      <c r="L2232" s="3">
        <v>11.2</v>
      </c>
      <c r="M2232" t="str">
        <f>IF(acs2015_county_data[[#This Row],[PublicWork]]&gt;='Описательные характеристики'!$F$5,"да","нет")</f>
        <v>да</v>
      </c>
      <c r="N2232" t="str">
        <f>IF(acs2015_county_data[[#This Row],[Unemployment]]&gt;='Описательные характеристики'!$I$5,"да","нет")</f>
        <v>да</v>
      </c>
    </row>
    <row r="2233" spans="1:14" x14ac:dyDescent="0.35">
      <c r="A2233">
        <v>41047</v>
      </c>
      <c r="B2233" t="s">
        <v>1036</v>
      </c>
      <c r="C2233" t="s">
        <v>59</v>
      </c>
      <c r="D2233" s="2">
        <v>323259</v>
      </c>
      <c r="E2233" s="2">
        <v>22490</v>
      </c>
      <c r="F2233" s="3">
        <v>4.0999999999999996</v>
      </c>
      <c r="G2233" s="3">
        <v>137706</v>
      </c>
      <c r="H2233" s="3">
        <v>75.400000000000006</v>
      </c>
      <c r="I2233" s="3">
        <v>18.7</v>
      </c>
      <c r="J2233" s="3">
        <v>5.8</v>
      </c>
      <c r="K2233" s="3">
        <v>0.1</v>
      </c>
      <c r="L2233" s="3">
        <v>10.7</v>
      </c>
      <c r="M2233" t="str">
        <f>IF(acs2015_county_data[[#This Row],[PublicWork]]&gt;='Описательные характеристики'!$F$5,"да","нет")</f>
        <v>да</v>
      </c>
      <c r="N2233" t="str">
        <f>IF(acs2015_county_data[[#This Row],[Unemployment]]&gt;='Описательные характеристики'!$I$5,"да","нет")</f>
        <v>да</v>
      </c>
    </row>
    <row r="2234" spans="1:14" x14ac:dyDescent="0.35">
      <c r="A2234">
        <v>41049</v>
      </c>
      <c r="B2234" t="s">
        <v>1036</v>
      </c>
      <c r="C2234" t="s">
        <v>1337</v>
      </c>
      <c r="D2234" s="2">
        <v>11204</v>
      </c>
      <c r="E2234" s="2">
        <v>20497</v>
      </c>
      <c r="F2234" s="3">
        <v>6.7</v>
      </c>
      <c r="G2234" s="3">
        <v>4827</v>
      </c>
      <c r="H2234" s="3">
        <v>77.3</v>
      </c>
      <c r="I2234" s="3">
        <v>15.5</v>
      </c>
      <c r="J2234" s="3">
        <v>7.2</v>
      </c>
      <c r="K2234" s="3">
        <v>0</v>
      </c>
      <c r="L2234" s="3">
        <v>8.6</v>
      </c>
      <c r="M2234" t="str">
        <f>IF(acs2015_county_data[[#This Row],[PublicWork]]&gt;='Описательные характеристики'!$F$5,"да","нет")</f>
        <v>нет</v>
      </c>
      <c r="N2234" t="str">
        <f>IF(acs2015_county_data[[#This Row],[Unemployment]]&gt;='Описательные характеристики'!$I$5,"да","нет")</f>
        <v>да</v>
      </c>
    </row>
    <row r="2235" spans="1:14" x14ac:dyDescent="0.35">
      <c r="A2235">
        <v>41051</v>
      </c>
      <c r="B2235" t="s">
        <v>1036</v>
      </c>
      <c r="C2235" t="s">
        <v>1402</v>
      </c>
      <c r="D2235" s="2">
        <v>768418</v>
      </c>
      <c r="E2235" s="2">
        <v>31544</v>
      </c>
      <c r="F2235" s="3">
        <v>7</v>
      </c>
      <c r="G2235" s="3">
        <v>394637</v>
      </c>
      <c r="H2235" s="3">
        <v>80.099999999999994</v>
      </c>
      <c r="I2235" s="3">
        <v>12</v>
      </c>
      <c r="J2235" s="3">
        <v>7.8</v>
      </c>
      <c r="K2235" s="3">
        <v>0.1</v>
      </c>
      <c r="L2235" s="3">
        <v>8.8000000000000007</v>
      </c>
      <c r="M2235" t="str">
        <f>IF(acs2015_county_data[[#This Row],[PublicWork]]&gt;='Описательные характеристики'!$F$5,"да","нет")</f>
        <v>нет</v>
      </c>
      <c r="N2235" t="str">
        <f>IF(acs2015_county_data[[#This Row],[Unemployment]]&gt;='Описательные характеристики'!$I$5,"да","нет")</f>
        <v>да</v>
      </c>
    </row>
    <row r="2236" spans="1:14" x14ac:dyDescent="0.35">
      <c r="A2236">
        <v>41053</v>
      </c>
      <c r="B2236" t="s">
        <v>1036</v>
      </c>
      <c r="C2236" t="s">
        <v>164</v>
      </c>
      <c r="D2236" s="2">
        <v>77264</v>
      </c>
      <c r="E2236" s="2">
        <v>23967</v>
      </c>
      <c r="F2236" s="3">
        <v>6</v>
      </c>
      <c r="G2236" s="3">
        <v>32687</v>
      </c>
      <c r="H2236" s="3">
        <v>69.599999999999994</v>
      </c>
      <c r="I2236" s="3">
        <v>23.3</v>
      </c>
      <c r="J2236" s="3">
        <v>6.9</v>
      </c>
      <c r="K2236" s="3">
        <v>0.2</v>
      </c>
      <c r="L2236" s="3">
        <v>10.8</v>
      </c>
      <c r="M2236" t="str">
        <f>IF(acs2015_county_data[[#This Row],[PublicWork]]&gt;='Описательные характеристики'!$F$5,"да","нет")</f>
        <v>да</v>
      </c>
      <c r="N2236" t="str">
        <f>IF(acs2015_county_data[[#This Row],[Unemployment]]&gt;='Описательные характеристики'!$I$5,"да","нет")</f>
        <v>да</v>
      </c>
    </row>
    <row r="2237" spans="1:14" x14ac:dyDescent="0.35">
      <c r="A2237">
        <v>41055</v>
      </c>
      <c r="B2237" t="s">
        <v>1036</v>
      </c>
      <c r="C2237" t="s">
        <v>697</v>
      </c>
      <c r="D2237" s="2">
        <v>1795</v>
      </c>
      <c r="E2237" s="2">
        <v>26178</v>
      </c>
      <c r="F2237" s="3">
        <v>7.9</v>
      </c>
      <c r="G2237" s="3">
        <v>746</v>
      </c>
      <c r="H2237" s="3">
        <v>71.7</v>
      </c>
      <c r="I2237" s="3">
        <v>17.399999999999999</v>
      </c>
      <c r="J2237" s="3">
        <v>10.199999999999999</v>
      </c>
      <c r="K2237" s="3">
        <v>0.7</v>
      </c>
      <c r="L2237" s="3">
        <v>7.9</v>
      </c>
      <c r="M2237" t="str">
        <f>IF(acs2015_county_data[[#This Row],[PublicWork]]&gt;='Описательные характеристики'!$F$5,"да","нет")</f>
        <v>да</v>
      </c>
      <c r="N2237" t="str">
        <f>IF(acs2015_county_data[[#This Row],[Unemployment]]&gt;='Описательные характеристики'!$I$5,"да","нет")</f>
        <v>да</v>
      </c>
    </row>
    <row r="2238" spans="1:14" x14ac:dyDescent="0.35">
      <c r="A2238">
        <v>41057</v>
      </c>
      <c r="B2238" t="s">
        <v>1036</v>
      </c>
      <c r="C2238" t="s">
        <v>1403</v>
      </c>
      <c r="D2238" s="2">
        <v>25430</v>
      </c>
      <c r="E2238" s="2">
        <v>22426</v>
      </c>
      <c r="F2238" s="3">
        <v>5</v>
      </c>
      <c r="G2238" s="3">
        <v>9747</v>
      </c>
      <c r="H2238" s="3">
        <v>73.7</v>
      </c>
      <c r="I2238" s="3">
        <v>16.5</v>
      </c>
      <c r="J2238" s="3">
        <v>9.8000000000000007</v>
      </c>
      <c r="K2238" s="3">
        <v>0.1</v>
      </c>
      <c r="L2238" s="3">
        <v>7.8</v>
      </c>
      <c r="M2238" t="str">
        <f>IF(acs2015_county_data[[#This Row],[PublicWork]]&gt;='Описательные характеристики'!$F$5,"да","нет")</f>
        <v>да</v>
      </c>
      <c r="N2238" t="str">
        <f>IF(acs2015_county_data[[#This Row],[Unemployment]]&gt;='Описательные характеристики'!$I$5,"да","нет")</f>
        <v>да</v>
      </c>
    </row>
    <row r="2239" spans="1:14" x14ac:dyDescent="0.35">
      <c r="A2239">
        <v>41059</v>
      </c>
      <c r="B2239" t="s">
        <v>1036</v>
      </c>
      <c r="C2239" t="s">
        <v>1404</v>
      </c>
      <c r="D2239" s="2">
        <v>76738</v>
      </c>
      <c r="E2239" s="2">
        <v>21214</v>
      </c>
      <c r="F2239" s="3">
        <v>3.1</v>
      </c>
      <c r="G2239" s="3">
        <v>32450</v>
      </c>
      <c r="H2239" s="3">
        <v>74.3</v>
      </c>
      <c r="I2239" s="3">
        <v>19</v>
      </c>
      <c r="J2239" s="3">
        <v>6.5</v>
      </c>
      <c r="K2239" s="3">
        <v>0.2</v>
      </c>
      <c r="L2239" s="3">
        <v>9.4</v>
      </c>
      <c r="M2239" t="str">
        <f>IF(acs2015_county_data[[#This Row],[PublicWork]]&gt;='Описательные характеристики'!$F$5,"да","нет")</f>
        <v>да</v>
      </c>
      <c r="N2239" t="str">
        <f>IF(acs2015_county_data[[#This Row],[Unemployment]]&gt;='Описательные характеристики'!$I$5,"да","нет")</f>
        <v>да</v>
      </c>
    </row>
    <row r="2240" spans="1:14" x14ac:dyDescent="0.35">
      <c r="A2240">
        <v>41061</v>
      </c>
      <c r="B2240" t="s">
        <v>1036</v>
      </c>
      <c r="C2240" t="s">
        <v>175</v>
      </c>
      <c r="D2240" s="2">
        <v>25745</v>
      </c>
      <c r="E2240" s="2">
        <v>23764</v>
      </c>
      <c r="F2240" s="3">
        <v>5.8</v>
      </c>
      <c r="G2240" s="3">
        <v>11024</v>
      </c>
      <c r="H2240" s="3">
        <v>70.099999999999994</v>
      </c>
      <c r="I2240" s="3">
        <v>19.7</v>
      </c>
      <c r="J2240" s="3">
        <v>9.9</v>
      </c>
      <c r="K2240" s="3">
        <v>0.4</v>
      </c>
      <c r="L2240" s="3">
        <v>7.1</v>
      </c>
      <c r="M2240" t="str">
        <f>IF(acs2015_county_data[[#This Row],[PublicWork]]&gt;='Описательные характеристики'!$F$5,"да","нет")</f>
        <v>да</v>
      </c>
      <c r="N2240" t="str">
        <f>IF(acs2015_county_data[[#This Row],[Unemployment]]&gt;='Описательные характеристики'!$I$5,"да","нет")</f>
        <v>нет</v>
      </c>
    </row>
    <row r="2241" spans="1:14" x14ac:dyDescent="0.35">
      <c r="A2241">
        <v>41063</v>
      </c>
      <c r="B2241" t="s">
        <v>1036</v>
      </c>
      <c r="C2241" t="s">
        <v>1405</v>
      </c>
      <c r="D2241" s="2">
        <v>6857</v>
      </c>
      <c r="E2241" s="2">
        <v>24386</v>
      </c>
      <c r="F2241" s="3">
        <v>8.9</v>
      </c>
      <c r="G2241" s="3">
        <v>2898</v>
      </c>
      <c r="H2241" s="3">
        <v>65.5</v>
      </c>
      <c r="I2241" s="3">
        <v>20.8</v>
      </c>
      <c r="J2241" s="3">
        <v>13.5</v>
      </c>
      <c r="K2241" s="3">
        <v>0.2</v>
      </c>
      <c r="L2241" s="3">
        <v>9.5</v>
      </c>
      <c r="M2241" t="str">
        <f>IF(acs2015_county_data[[#This Row],[PublicWork]]&gt;='Описательные характеристики'!$F$5,"да","нет")</f>
        <v>да</v>
      </c>
      <c r="N2241" t="str">
        <f>IF(acs2015_county_data[[#This Row],[Unemployment]]&gt;='Описательные характеристики'!$I$5,"да","нет")</f>
        <v>да</v>
      </c>
    </row>
    <row r="2242" spans="1:14" x14ac:dyDescent="0.35">
      <c r="A2242">
        <v>41065</v>
      </c>
      <c r="B2242" t="s">
        <v>1036</v>
      </c>
      <c r="C2242" t="s">
        <v>1406</v>
      </c>
      <c r="D2242" s="2">
        <v>25492</v>
      </c>
      <c r="E2242" s="2">
        <v>22828</v>
      </c>
      <c r="F2242" s="3">
        <v>7.5</v>
      </c>
      <c r="G2242" s="3">
        <v>10907</v>
      </c>
      <c r="H2242" s="3">
        <v>74.8</v>
      </c>
      <c r="I2242" s="3">
        <v>16.8</v>
      </c>
      <c r="J2242" s="3">
        <v>8.3000000000000007</v>
      </c>
      <c r="K2242" s="3">
        <v>0.1</v>
      </c>
      <c r="L2242" s="3">
        <v>9</v>
      </c>
      <c r="M2242" t="str">
        <f>IF(acs2015_county_data[[#This Row],[PublicWork]]&gt;='Описательные характеристики'!$F$5,"да","нет")</f>
        <v>да</v>
      </c>
      <c r="N2242" t="str">
        <f>IF(acs2015_county_data[[#This Row],[Unemployment]]&gt;='Описательные характеристики'!$I$5,"да","нет")</f>
        <v>да</v>
      </c>
    </row>
    <row r="2243" spans="1:14" x14ac:dyDescent="0.35">
      <c r="A2243">
        <v>41067</v>
      </c>
      <c r="B2243" t="s">
        <v>1036</v>
      </c>
      <c r="C2243" t="s">
        <v>75</v>
      </c>
      <c r="D2243" s="2">
        <v>556210</v>
      </c>
      <c r="E2243" s="2">
        <v>32369</v>
      </c>
      <c r="F2243" s="3">
        <v>5.3</v>
      </c>
      <c r="G2243" s="3">
        <v>276371</v>
      </c>
      <c r="H2243" s="3">
        <v>84.4</v>
      </c>
      <c r="I2243" s="3">
        <v>9.6</v>
      </c>
      <c r="J2243" s="3">
        <v>5.9</v>
      </c>
      <c r="K2243" s="3">
        <v>0.1</v>
      </c>
      <c r="L2243" s="3">
        <v>7.6</v>
      </c>
      <c r="M2243" t="str">
        <f>IF(acs2015_county_data[[#This Row],[PublicWork]]&gt;='Описательные характеристики'!$F$5,"да","нет")</f>
        <v>нет</v>
      </c>
      <c r="N2243" t="str">
        <f>IF(acs2015_county_data[[#This Row],[Unemployment]]&gt;='Описательные характеристики'!$I$5,"да","нет")</f>
        <v>да</v>
      </c>
    </row>
    <row r="2244" spans="1:14" x14ac:dyDescent="0.35">
      <c r="A2244">
        <v>41069</v>
      </c>
      <c r="B2244" t="s">
        <v>1036</v>
      </c>
      <c r="C2244" t="s">
        <v>459</v>
      </c>
      <c r="D2244" s="2">
        <v>1348</v>
      </c>
      <c r="E2244" s="2">
        <v>23535</v>
      </c>
      <c r="F2244" s="3">
        <v>9.1</v>
      </c>
      <c r="G2244" s="3">
        <v>563</v>
      </c>
      <c r="H2244" s="3">
        <v>56.1</v>
      </c>
      <c r="I2244" s="3">
        <v>30.7</v>
      </c>
      <c r="J2244" s="3">
        <v>12.8</v>
      </c>
      <c r="K2244" s="3">
        <v>0.4</v>
      </c>
      <c r="L2244" s="3">
        <v>8.5</v>
      </c>
      <c r="M2244" t="str">
        <f>IF(acs2015_county_data[[#This Row],[PublicWork]]&gt;='Описательные характеристики'!$F$5,"да","нет")</f>
        <v>да</v>
      </c>
      <c r="N2244" t="str">
        <f>IF(acs2015_county_data[[#This Row],[Unemployment]]&gt;='Описательные характеристики'!$I$5,"да","нет")</f>
        <v>да</v>
      </c>
    </row>
    <row r="2245" spans="1:14" x14ac:dyDescent="0.35">
      <c r="A2245">
        <v>41071</v>
      </c>
      <c r="B2245" t="s">
        <v>1036</v>
      </c>
      <c r="C2245" t="s">
        <v>1407</v>
      </c>
      <c r="D2245" s="2">
        <v>101119</v>
      </c>
      <c r="E2245" s="2">
        <v>25047</v>
      </c>
      <c r="F2245" s="3">
        <v>5.6</v>
      </c>
      <c r="G2245" s="3">
        <v>44114</v>
      </c>
      <c r="H2245" s="3">
        <v>80.2</v>
      </c>
      <c r="I2245" s="3">
        <v>12</v>
      </c>
      <c r="J2245" s="3">
        <v>7.7</v>
      </c>
      <c r="K2245" s="3">
        <v>0.2</v>
      </c>
      <c r="L2245" s="3">
        <v>9.6999999999999993</v>
      </c>
      <c r="M2245" t="str">
        <f>IF(acs2015_county_data[[#This Row],[PublicWork]]&gt;='Описательные характеристики'!$F$5,"да","нет")</f>
        <v>нет</v>
      </c>
      <c r="N2245" t="str">
        <f>IF(acs2015_county_data[[#This Row],[Unemployment]]&gt;='Описательные характеристики'!$I$5,"да","нет")</f>
        <v>да</v>
      </c>
    </row>
    <row r="2246" spans="1:14" x14ac:dyDescent="0.35">
      <c r="A2246">
        <v>42001</v>
      </c>
      <c r="B2246" t="s">
        <v>1408</v>
      </c>
      <c r="C2246" t="s">
        <v>237</v>
      </c>
      <c r="D2246" s="2">
        <v>101767</v>
      </c>
      <c r="E2246" s="2">
        <v>27870</v>
      </c>
      <c r="F2246" s="3">
        <v>3.7</v>
      </c>
      <c r="G2246" s="3">
        <v>50517</v>
      </c>
      <c r="H2246" s="3">
        <v>82.9</v>
      </c>
      <c r="I2246" s="3">
        <v>11.1</v>
      </c>
      <c r="J2246" s="3">
        <v>5.9</v>
      </c>
      <c r="K2246" s="3">
        <v>0.2</v>
      </c>
      <c r="L2246" s="3">
        <v>5.7</v>
      </c>
      <c r="M2246" t="str">
        <f>IF(acs2015_county_data[[#This Row],[PublicWork]]&gt;='Описательные характеристики'!$F$5,"да","нет")</f>
        <v>нет</v>
      </c>
      <c r="N2246" t="str">
        <f>IF(acs2015_county_data[[#This Row],[Unemployment]]&gt;='Описательные характеристики'!$I$5,"да","нет")</f>
        <v>нет</v>
      </c>
    </row>
    <row r="2247" spans="1:14" x14ac:dyDescent="0.35">
      <c r="A2247">
        <v>42003</v>
      </c>
      <c r="B2247" t="s">
        <v>1408</v>
      </c>
      <c r="C2247" t="s">
        <v>1409</v>
      </c>
      <c r="D2247" s="2">
        <v>1231145</v>
      </c>
      <c r="E2247" s="2">
        <v>32848</v>
      </c>
      <c r="F2247" s="3">
        <v>4.2</v>
      </c>
      <c r="G2247" s="3">
        <v>612259</v>
      </c>
      <c r="H2247" s="3">
        <v>86.2</v>
      </c>
      <c r="I2247" s="3">
        <v>9.3000000000000007</v>
      </c>
      <c r="J2247" s="3">
        <v>4.5</v>
      </c>
      <c r="K2247" s="3">
        <v>0.1</v>
      </c>
      <c r="L2247" s="3">
        <v>7.1</v>
      </c>
      <c r="M2247" t="str">
        <f>IF(acs2015_county_data[[#This Row],[PublicWork]]&gt;='Описательные характеристики'!$F$5,"да","нет")</f>
        <v>нет</v>
      </c>
      <c r="N2247" t="str">
        <f>IF(acs2015_county_data[[#This Row],[Unemployment]]&gt;='Описательные характеристики'!$I$5,"да","нет")</f>
        <v>нет</v>
      </c>
    </row>
    <row r="2248" spans="1:14" x14ac:dyDescent="0.35">
      <c r="A2248">
        <v>42005</v>
      </c>
      <c r="B2248" t="s">
        <v>1408</v>
      </c>
      <c r="C2248" t="s">
        <v>1410</v>
      </c>
      <c r="D2248" s="2">
        <v>67979</v>
      </c>
      <c r="E2248" s="2">
        <v>24391</v>
      </c>
      <c r="F2248" s="3">
        <v>3.4</v>
      </c>
      <c r="G2248" s="3">
        <v>29897</v>
      </c>
      <c r="H2248" s="3">
        <v>84.9</v>
      </c>
      <c r="I2248" s="3">
        <v>10</v>
      </c>
      <c r="J2248" s="3">
        <v>4.9000000000000004</v>
      </c>
      <c r="K2248" s="3">
        <v>0.1</v>
      </c>
      <c r="L2248" s="3">
        <v>8.5</v>
      </c>
      <c r="M2248" t="str">
        <f>IF(acs2015_county_data[[#This Row],[PublicWork]]&gt;='Описательные характеристики'!$F$5,"да","нет")</f>
        <v>нет</v>
      </c>
      <c r="N2248" t="str">
        <f>IF(acs2015_county_data[[#This Row],[Unemployment]]&gt;='Описательные характеристики'!$I$5,"да","нет")</f>
        <v>да</v>
      </c>
    </row>
    <row r="2249" spans="1:14" x14ac:dyDescent="0.35">
      <c r="A2249">
        <v>42007</v>
      </c>
      <c r="B2249" t="s">
        <v>1408</v>
      </c>
      <c r="C2249" t="s">
        <v>1354</v>
      </c>
      <c r="D2249" s="2">
        <v>169785</v>
      </c>
      <c r="E2249" s="2">
        <v>27233</v>
      </c>
      <c r="F2249" s="3">
        <v>3.3</v>
      </c>
      <c r="G2249" s="3">
        <v>80816</v>
      </c>
      <c r="H2249" s="3">
        <v>85.6</v>
      </c>
      <c r="I2249" s="3">
        <v>9.8000000000000007</v>
      </c>
      <c r="J2249" s="3">
        <v>4.5</v>
      </c>
      <c r="K2249" s="3">
        <v>0</v>
      </c>
      <c r="L2249" s="3">
        <v>6.8</v>
      </c>
      <c r="M2249" t="str">
        <f>IF(acs2015_county_data[[#This Row],[PublicWork]]&gt;='Описательные характеристики'!$F$5,"да","нет")</f>
        <v>нет</v>
      </c>
      <c r="N2249" t="str">
        <f>IF(acs2015_county_data[[#This Row],[Unemployment]]&gt;='Описательные характеристики'!$I$5,"да","нет")</f>
        <v>нет</v>
      </c>
    </row>
    <row r="2250" spans="1:14" x14ac:dyDescent="0.35">
      <c r="A2250">
        <v>42009</v>
      </c>
      <c r="B2250" t="s">
        <v>1408</v>
      </c>
      <c r="C2250" t="s">
        <v>1411</v>
      </c>
      <c r="D2250" s="2">
        <v>49086</v>
      </c>
      <c r="E2250" s="2">
        <v>23195</v>
      </c>
      <c r="F2250" s="3">
        <v>4.0999999999999996</v>
      </c>
      <c r="G2250" s="3">
        <v>22499</v>
      </c>
      <c r="H2250" s="3">
        <v>81</v>
      </c>
      <c r="I2250" s="3">
        <v>10.8</v>
      </c>
      <c r="J2250" s="3">
        <v>7.9</v>
      </c>
      <c r="K2250" s="3">
        <v>0.4</v>
      </c>
      <c r="L2250" s="3">
        <v>7.3</v>
      </c>
      <c r="M2250" t="str">
        <f>IF(acs2015_county_data[[#This Row],[PublicWork]]&gt;='Описательные характеристики'!$F$5,"да","нет")</f>
        <v>нет</v>
      </c>
      <c r="N2250" t="str">
        <f>IF(acs2015_county_data[[#This Row],[Unemployment]]&gt;='Описательные характеристики'!$I$5,"да","нет")</f>
        <v>нет</v>
      </c>
    </row>
    <row r="2251" spans="1:14" x14ac:dyDescent="0.35">
      <c r="A2251">
        <v>42011</v>
      </c>
      <c r="B2251" t="s">
        <v>1408</v>
      </c>
      <c r="C2251" t="s">
        <v>1412</v>
      </c>
      <c r="D2251" s="2">
        <v>413965</v>
      </c>
      <c r="E2251" s="2">
        <v>27146</v>
      </c>
      <c r="F2251" s="3">
        <v>3.6</v>
      </c>
      <c r="G2251" s="3">
        <v>197703</v>
      </c>
      <c r="H2251" s="3">
        <v>85.8</v>
      </c>
      <c r="I2251" s="3">
        <v>9.1</v>
      </c>
      <c r="J2251" s="3">
        <v>5</v>
      </c>
      <c r="K2251" s="3">
        <v>0.1</v>
      </c>
      <c r="L2251" s="3">
        <v>9</v>
      </c>
      <c r="M2251" t="str">
        <f>IF(acs2015_county_data[[#This Row],[PublicWork]]&gt;='Описательные характеристики'!$F$5,"да","нет")</f>
        <v>нет</v>
      </c>
      <c r="N2251" t="str">
        <f>IF(acs2015_county_data[[#This Row],[Unemployment]]&gt;='Описательные характеристики'!$I$5,"да","нет")</f>
        <v>да</v>
      </c>
    </row>
    <row r="2252" spans="1:14" x14ac:dyDescent="0.35">
      <c r="A2252">
        <v>42013</v>
      </c>
      <c r="B2252" t="s">
        <v>1408</v>
      </c>
      <c r="C2252" t="s">
        <v>1413</v>
      </c>
      <c r="D2252" s="2">
        <v>126448</v>
      </c>
      <c r="E2252" s="2">
        <v>23865</v>
      </c>
      <c r="F2252" s="3">
        <v>2.4</v>
      </c>
      <c r="G2252" s="3">
        <v>57253</v>
      </c>
      <c r="H2252" s="3">
        <v>82.7</v>
      </c>
      <c r="I2252" s="3">
        <v>12.8</v>
      </c>
      <c r="J2252" s="3">
        <v>4.3</v>
      </c>
      <c r="K2252" s="3">
        <v>0.2</v>
      </c>
      <c r="L2252" s="3">
        <v>6.4</v>
      </c>
      <c r="M2252" t="str">
        <f>IF(acs2015_county_data[[#This Row],[PublicWork]]&gt;='Описательные характеристики'!$F$5,"да","нет")</f>
        <v>нет</v>
      </c>
      <c r="N2252" t="str">
        <f>IF(acs2015_county_data[[#This Row],[Unemployment]]&gt;='Описательные характеристики'!$I$5,"да","нет")</f>
        <v>нет</v>
      </c>
    </row>
    <row r="2253" spans="1:14" x14ac:dyDescent="0.35">
      <c r="A2253">
        <v>42015</v>
      </c>
      <c r="B2253" t="s">
        <v>1408</v>
      </c>
      <c r="C2253" t="s">
        <v>309</v>
      </c>
      <c r="D2253" s="2">
        <v>62228</v>
      </c>
      <c r="E2253" s="2">
        <v>25577</v>
      </c>
      <c r="F2253" s="3">
        <v>3.5</v>
      </c>
      <c r="G2253" s="3">
        <v>26689</v>
      </c>
      <c r="H2253" s="3">
        <v>82.7</v>
      </c>
      <c r="I2253" s="3">
        <v>9.9</v>
      </c>
      <c r="J2253" s="3">
        <v>7.1</v>
      </c>
      <c r="K2253" s="3">
        <v>0.2</v>
      </c>
      <c r="L2253" s="3">
        <v>5.6</v>
      </c>
      <c r="M2253" t="str">
        <f>IF(acs2015_county_data[[#This Row],[PublicWork]]&gt;='Описательные характеристики'!$F$5,"да","нет")</f>
        <v>нет</v>
      </c>
      <c r="N2253" t="str">
        <f>IF(acs2015_county_data[[#This Row],[Unemployment]]&gt;='Описательные характеристики'!$I$5,"да","нет")</f>
        <v>нет</v>
      </c>
    </row>
    <row r="2254" spans="1:14" x14ac:dyDescent="0.35">
      <c r="A2254">
        <v>42017</v>
      </c>
      <c r="B2254" t="s">
        <v>1408</v>
      </c>
      <c r="C2254" t="s">
        <v>1414</v>
      </c>
      <c r="D2254" s="2">
        <v>626583</v>
      </c>
      <c r="E2254" s="2">
        <v>38795</v>
      </c>
      <c r="F2254" s="3">
        <v>4.7</v>
      </c>
      <c r="G2254" s="3">
        <v>321488</v>
      </c>
      <c r="H2254" s="3">
        <v>85.4</v>
      </c>
      <c r="I2254" s="3">
        <v>9.1</v>
      </c>
      <c r="J2254" s="3">
        <v>5.3</v>
      </c>
      <c r="K2254" s="3">
        <v>0.2</v>
      </c>
      <c r="L2254" s="3">
        <v>7</v>
      </c>
      <c r="M2254" t="str">
        <f>IF(acs2015_county_data[[#This Row],[PublicWork]]&gt;='Описательные характеристики'!$F$5,"да","нет")</f>
        <v>нет</v>
      </c>
      <c r="N2254" t="str">
        <f>IF(acs2015_county_data[[#This Row],[Unemployment]]&gt;='Описательные характеристики'!$I$5,"да","нет")</f>
        <v>нет</v>
      </c>
    </row>
    <row r="2255" spans="1:14" x14ac:dyDescent="0.35">
      <c r="A2255">
        <v>42019</v>
      </c>
      <c r="B2255" t="s">
        <v>1408</v>
      </c>
      <c r="C2255" t="s">
        <v>21</v>
      </c>
      <c r="D2255" s="2">
        <v>185689</v>
      </c>
      <c r="E2255" s="2">
        <v>32301</v>
      </c>
      <c r="F2255" s="3">
        <v>4.2</v>
      </c>
      <c r="G2255" s="3">
        <v>91888</v>
      </c>
      <c r="H2255" s="3">
        <v>84.9</v>
      </c>
      <c r="I2255" s="3">
        <v>9.8000000000000007</v>
      </c>
      <c r="J2255" s="3">
        <v>5.2</v>
      </c>
      <c r="K2255" s="3">
        <v>0.1</v>
      </c>
      <c r="L2255" s="3">
        <v>5.9</v>
      </c>
      <c r="M2255" t="str">
        <f>IF(acs2015_county_data[[#This Row],[PublicWork]]&gt;='Описательные характеристики'!$F$5,"да","нет")</f>
        <v>нет</v>
      </c>
      <c r="N2255" t="str">
        <f>IF(acs2015_county_data[[#This Row],[Unemployment]]&gt;='Описательные характеристики'!$I$5,"да","нет")</f>
        <v>нет</v>
      </c>
    </row>
    <row r="2256" spans="1:14" x14ac:dyDescent="0.35">
      <c r="A2256">
        <v>42021</v>
      </c>
      <c r="B2256" t="s">
        <v>1408</v>
      </c>
      <c r="C2256" t="s">
        <v>1415</v>
      </c>
      <c r="D2256" s="2">
        <v>139381</v>
      </c>
      <c r="E2256" s="2">
        <v>23410</v>
      </c>
      <c r="F2256" s="3">
        <v>2.7</v>
      </c>
      <c r="G2256" s="3">
        <v>58018</v>
      </c>
      <c r="H2256" s="3">
        <v>81.5</v>
      </c>
      <c r="I2256" s="3">
        <v>14.1</v>
      </c>
      <c r="J2256" s="3">
        <v>4.2</v>
      </c>
      <c r="K2256" s="3">
        <v>0.1</v>
      </c>
      <c r="L2256" s="3">
        <v>8.5</v>
      </c>
      <c r="M2256" t="str">
        <f>IF(acs2015_county_data[[#This Row],[PublicWork]]&gt;='Описательные характеристики'!$F$5,"да","нет")</f>
        <v>нет</v>
      </c>
      <c r="N2256" t="str">
        <f>IF(acs2015_county_data[[#This Row],[Unemployment]]&gt;='Описательные характеристики'!$I$5,"да","нет")</f>
        <v>да</v>
      </c>
    </row>
    <row r="2257" spans="1:14" x14ac:dyDescent="0.35">
      <c r="A2257">
        <v>42023</v>
      </c>
      <c r="B2257" t="s">
        <v>1408</v>
      </c>
      <c r="C2257" t="s">
        <v>776</v>
      </c>
      <c r="D2257" s="2">
        <v>4869</v>
      </c>
      <c r="E2257" s="2">
        <v>25240</v>
      </c>
      <c r="F2257" s="3">
        <v>2.4</v>
      </c>
      <c r="G2257" s="3">
        <v>2254</v>
      </c>
      <c r="H2257" s="3">
        <v>80.8</v>
      </c>
      <c r="I2257" s="3">
        <v>13.2</v>
      </c>
      <c r="J2257" s="3">
        <v>5.6</v>
      </c>
      <c r="K2257" s="3">
        <v>0.4</v>
      </c>
      <c r="L2257" s="3">
        <v>4.5</v>
      </c>
      <c r="M2257" t="str">
        <f>IF(acs2015_county_data[[#This Row],[PublicWork]]&gt;='Описательные характеристики'!$F$5,"да","нет")</f>
        <v>нет</v>
      </c>
      <c r="N2257" t="str">
        <f>IF(acs2015_county_data[[#This Row],[Unemployment]]&gt;='Описательные характеристики'!$I$5,"да","нет")</f>
        <v>нет</v>
      </c>
    </row>
    <row r="2258" spans="1:14" x14ac:dyDescent="0.35">
      <c r="A2258">
        <v>42025</v>
      </c>
      <c r="B2258" t="s">
        <v>1408</v>
      </c>
      <c r="C2258" t="s">
        <v>1057</v>
      </c>
      <c r="D2258" s="2">
        <v>64634</v>
      </c>
      <c r="E2258" s="2">
        <v>25398</v>
      </c>
      <c r="F2258" s="3">
        <v>3.6</v>
      </c>
      <c r="G2258" s="3">
        <v>28973</v>
      </c>
      <c r="H2258" s="3">
        <v>83.8</v>
      </c>
      <c r="I2258" s="3">
        <v>11.3</v>
      </c>
      <c r="J2258" s="3">
        <v>4.8</v>
      </c>
      <c r="K2258" s="3">
        <v>0.1</v>
      </c>
      <c r="L2258" s="3">
        <v>8.6</v>
      </c>
      <c r="M2258" t="str">
        <f>IF(acs2015_county_data[[#This Row],[PublicWork]]&gt;='Описательные характеристики'!$F$5,"да","нет")</f>
        <v>нет</v>
      </c>
      <c r="N2258" t="str">
        <f>IF(acs2015_county_data[[#This Row],[Unemployment]]&gt;='Описательные характеристики'!$I$5,"да","нет")</f>
        <v>да</v>
      </c>
    </row>
    <row r="2259" spans="1:14" x14ac:dyDescent="0.35">
      <c r="A2259">
        <v>42027</v>
      </c>
      <c r="B2259" t="s">
        <v>1408</v>
      </c>
      <c r="C2259" t="s">
        <v>1416</v>
      </c>
      <c r="D2259" s="2">
        <v>157823</v>
      </c>
      <c r="E2259" s="2">
        <v>26492</v>
      </c>
      <c r="F2259" s="3">
        <v>4.5999999999999996</v>
      </c>
      <c r="G2259" s="3">
        <v>75314</v>
      </c>
      <c r="H2259" s="3">
        <v>78.900000000000006</v>
      </c>
      <c r="I2259" s="3">
        <v>16.100000000000001</v>
      </c>
      <c r="J2259" s="3">
        <v>4.9000000000000004</v>
      </c>
      <c r="K2259" s="3">
        <v>0.1</v>
      </c>
      <c r="L2259" s="3">
        <v>5.0999999999999996</v>
      </c>
      <c r="M2259" t="str">
        <f>IF(acs2015_county_data[[#This Row],[PublicWork]]&gt;='Описательные характеристики'!$F$5,"да","нет")</f>
        <v>нет</v>
      </c>
      <c r="N2259" t="str">
        <f>IF(acs2015_county_data[[#This Row],[Unemployment]]&gt;='Описательные характеристики'!$I$5,"да","нет")</f>
        <v>нет</v>
      </c>
    </row>
    <row r="2260" spans="1:14" x14ac:dyDescent="0.35">
      <c r="A2260">
        <v>42029</v>
      </c>
      <c r="B2260" t="s">
        <v>1408</v>
      </c>
      <c r="C2260" t="s">
        <v>1417</v>
      </c>
      <c r="D2260" s="2">
        <v>509797</v>
      </c>
      <c r="E2260" s="2">
        <v>42556</v>
      </c>
      <c r="F2260" s="3">
        <v>6.3</v>
      </c>
      <c r="G2260" s="3">
        <v>260731</v>
      </c>
      <c r="H2260" s="3">
        <v>85.9</v>
      </c>
      <c r="I2260" s="3">
        <v>8.5</v>
      </c>
      <c r="J2260" s="3">
        <v>5.5</v>
      </c>
      <c r="K2260" s="3">
        <v>0.1</v>
      </c>
      <c r="L2260" s="3">
        <v>5.9</v>
      </c>
      <c r="M2260" t="str">
        <f>IF(acs2015_county_data[[#This Row],[PublicWork]]&gt;='Описательные характеристики'!$F$5,"да","нет")</f>
        <v>нет</v>
      </c>
      <c r="N2260" t="str">
        <f>IF(acs2015_county_data[[#This Row],[Unemployment]]&gt;='Описательные характеристики'!$I$5,"да","нет")</f>
        <v>нет</v>
      </c>
    </row>
    <row r="2261" spans="1:14" x14ac:dyDescent="0.35">
      <c r="A2261">
        <v>42031</v>
      </c>
      <c r="B2261" t="s">
        <v>1408</v>
      </c>
      <c r="C2261" t="s">
        <v>1418</v>
      </c>
      <c r="D2261" s="2">
        <v>39454</v>
      </c>
      <c r="E2261" s="2">
        <v>22136</v>
      </c>
      <c r="F2261" s="3">
        <v>4.3</v>
      </c>
      <c r="G2261" s="3">
        <v>17055</v>
      </c>
      <c r="H2261" s="3">
        <v>78.8</v>
      </c>
      <c r="I2261" s="3">
        <v>14.2</v>
      </c>
      <c r="J2261" s="3">
        <v>6.7</v>
      </c>
      <c r="K2261" s="3">
        <v>0.4</v>
      </c>
      <c r="L2261" s="3">
        <v>8.1</v>
      </c>
      <c r="M2261" t="str">
        <f>IF(acs2015_county_data[[#This Row],[PublicWork]]&gt;='Описательные характеристики'!$F$5,"да","нет")</f>
        <v>нет</v>
      </c>
      <c r="N2261" t="str">
        <f>IF(acs2015_county_data[[#This Row],[Unemployment]]&gt;='Описательные характеристики'!$I$5,"да","нет")</f>
        <v>да</v>
      </c>
    </row>
    <row r="2262" spans="1:14" x14ac:dyDescent="0.35">
      <c r="A2262">
        <v>42033</v>
      </c>
      <c r="B2262" t="s">
        <v>1408</v>
      </c>
      <c r="C2262" t="s">
        <v>1419</v>
      </c>
      <c r="D2262" s="2">
        <v>81343</v>
      </c>
      <c r="E2262" s="2">
        <v>21362</v>
      </c>
      <c r="F2262" s="3">
        <v>2.4</v>
      </c>
      <c r="G2262" s="3">
        <v>34110</v>
      </c>
      <c r="H2262" s="3">
        <v>80.400000000000006</v>
      </c>
      <c r="I2262" s="3">
        <v>13.2</v>
      </c>
      <c r="J2262" s="3">
        <v>6.3</v>
      </c>
      <c r="K2262" s="3">
        <v>0.2</v>
      </c>
      <c r="L2262" s="3">
        <v>7.8</v>
      </c>
      <c r="M2262" t="str">
        <f>IF(acs2015_county_data[[#This Row],[PublicWork]]&gt;='Описательные характеристики'!$F$5,"да","нет")</f>
        <v>нет</v>
      </c>
      <c r="N2262" t="str">
        <f>IF(acs2015_county_data[[#This Row],[Unemployment]]&gt;='Описательные характеристики'!$I$5,"да","нет")</f>
        <v>да</v>
      </c>
    </row>
    <row r="2263" spans="1:14" x14ac:dyDescent="0.35">
      <c r="A2263">
        <v>42035</v>
      </c>
      <c r="B2263" t="s">
        <v>1408</v>
      </c>
      <c r="C2263" t="s">
        <v>511</v>
      </c>
      <c r="D2263" s="2">
        <v>39614</v>
      </c>
      <c r="E2263" s="2">
        <v>21937</v>
      </c>
      <c r="F2263" s="3">
        <v>4.5999999999999996</v>
      </c>
      <c r="G2263" s="3">
        <v>17861</v>
      </c>
      <c r="H2263" s="3">
        <v>78.900000000000006</v>
      </c>
      <c r="I2263" s="3">
        <v>15</v>
      </c>
      <c r="J2263" s="3">
        <v>5.7</v>
      </c>
      <c r="K2263" s="3">
        <v>0.4</v>
      </c>
      <c r="L2263" s="3">
        <v>6.1</v>
      </c>
      <c r="M2263" t="str">
        <f>IF(acs2015_county_data[[#This Row],[PublicWork]]&gt;='Описательные характеристики'!$F$5,"да","нет")</f>
        <v>нет</v>
      </c>
      <c r="N2263" t="str">
        <f>IF(acs2015_county_data[[#This Row],[Unemployment]]&gt;='Описательные характеристики'!$I$5,"да","нет")</f>
        <v>нет</v>
      </c>
    </row>
    <row r="2264" spans="1:14" x14ac:dyDescent="0.35">
      <c r="A2264">
        <v>42037</v>
      </c>
      <c r="B2264" t="s">
        <v>1408</v>
      </c>
      <c r="C2264" t="s">
        <v>133</v>
      </c>
      <c r="D2264" s="2">
        <v>66912</v>
      </c>
      <c r="E2264" s="2">
        <v>23580</v>
      </c>
      <c r="F2264" s="3">
        <v>3</v>
      </c>
      <c r="G2264" s="3">
        <v>30123</v>
      </c>
      <c r="H2264" s="3">
        <v>80.599999999999994</v>
      </c>
      <c r="I2264" s="3">
        <v>14.1</v>
      </c>
      <c r="J2264" s="3">
        <v>5.2</v>
      </c>
      <c r="K2264" s="3">
        <v>0.1</v>
      </c>
      <c r="L2264" s="3">
        <v>5.7</v>
      </c>
      <c r="M2264" t="str">
        <f>IF(acs2015_county_data[[#This Row],[PublicWork]]&gt;='Описательные характеристики'!$F$5,"да","нет")</f>
        <v>нет</v>
      </c>
      <c r="N2264" t="str">
        <f>IF(acs2015_county_data[[#This Row],[Unemployment]]&gt;='Описательные характеристики'!$I$5,"да","нет")</f>
        <v>нет</v>
      </c>
    </row>
    <row r="2265" spans="1:14" x14ac:dyDescent="0.35">
      <c r="A2265">
        <v>42039</v>
      </c>
      <c r="B2265" t="s">
        <v>1408</v>
      </c>
      <c r="C2265" t="s">
        <v>136</v>
      </c>
      <c r="D2265" s="2">
        <v>87343</v>
      </c>
      <c r="E2265" s="2">
        <v>22726</v>
      </c>
      <c r="F2265" s="3">
        <v>4.5</v>
      </c>
      <c r="G2265" s="3">
        <v>37783</v>
      </c>
      <c r="H2265" s="3">
        <v>80</v>
      </c>
      <c r="I2265" s="3">
        <v>11.2</v>
      </c>
      <c r="J2265" s="3">
        <v>8.5</v>
      </c>
      <c r="K2265" s="3">
        <v>0.3</v>
      </c>
      <c r="L2265" s="3">
        <v>7.2</v>
      </c>
      <c r="M2265" t="str">
        <f>IF(acs2015_county_data[[#This Row],[PublicWork]]&gt;='Описательные характеристики'!$F$5,"да","нет")</f>
        <v>нет</v>
      </c>
      <c r="N2265" t="str">
        <f>IF(acs2015_county_data[[#This Row],[Unemployment]]&gt;='Описательные характеристики'!$I$5,"да","нет")</f>
        <v>нет</v>
      </c>
    </row>
    <row r="2266" spans="1:14" x14ac:dyDescent="0.35">
      <c r="A2266">
        <v>42041</v>
      </c>
      <c r="B2266" t="s">
        <v>1408</v>
      </c>
      <c r="C2266" t="s">
        <v>513</v>
      </c>
      <c r="D2266" s="2">
        <v>241427</v>
      </c>
      <c r="E2266" s="2">
        <v>32398</v>
      </c>
      <c r="F2266" s="3">
        <v>3.8</v>
      </c>
      <c r="G2266" s="3">
        <v>121280</v>
      </c>
      <c r="H2266" s="3">
        <v>79</v>
      </c>
      <c r="I2266" s="3">
        <v>16</v>
      </c>
      <c r="J2266" s="3">
        <v>4.9000000000000004</v>
      </c>
      <c r="K2266" s="3">
        <v>0.2</v>
      </c>
      <c r="L2266" s="3">
        <v>5.6</v>
      </c>
      <c r="M2266" t="str">
        <f>IF(acs2015_county_data[[#This Row],[PublicWork]]&gt;='Описательные характеристики'!$F$5,"да","нет")</f>
        <v>нет</v>
      </c>
      <c r="N2266" t="str">
        <f>IF(acs2015_county_data[[#This Row],[Unemployment]]&gt;='Описательные характеристики'!$I$5,"да","нет")</f>
        <v>нет</v>
      </c>
    </row>
    <row r="2267" spans="1:14" x14ac:dyDescent="0.35">
      <c r="A2267">
        <v>42043</v>
      </c>
      <c r="B2267" t="s">
        <v>1408</v>
      </c>
      <c r="C2267" t="s">
        <v>1420</v>
      </c>
      <c r="D2267" s="2">
        <v>271094</v>
      </c>
      <c r="E2267" s="2">
        <v>29461</v>
      </c>
      <c r="F2267" s="3">
        <v>3.3</v>
      </c>
      <c r="G2267" s="3">
        <v>132283</v>
      </c>
      <c r="H2267" s="3">
        <v>78.900000000000006</v>
      </c>
      <c r="I2267" s="3">
        <v>17.2</v>
      </c>
      <c r="J2267" s="3">
        <v>3.8</v>
      </c>
      <c r="K2267" s="3">
        <v>0.1</v>
      </c>
      <c r="L2267" s="3">
        <v>7.1</v>
      </c>
      <c r="M2267" t="str">
        <f>IF(acs2015_county_data[[#This Row],[PublicWork]]&gt;='Описательные характеристики'!$F$5,"да","нет")</f>
        <v>да</v>
      </c>
      <c r="N2267" t="str">
        <f>IF(acs2015_county_data[[#This Row],[Unemployment]]&gt;='Описательные характеристики'!$I$5,"да","нет")</f>
        <v>нет</v>
      </c>
    </row>
    <row r="2268" spans="1:14" x14ac:dyDescent="0.35">
      <c r="A2268">
        <v>42045</v>
      </c>
      <c r="B2268" t="s">
        <v>1408</v>
      </c>
      <c r="C2268" t="s">
        <v>300</v>
      </c>
      <c r="D2268" s="2">
        <v>561683</v>
      </c>
      <c r="E2268" s="2">
        <v>34064</v>
      </c>
      <c r="F2268" s="3">
        <v>4</v>
      </c>
      <c r="G2268" s="3">
        <v>269220</v>
      </c>
      <c r="H2268" s="3">
        <v>85.3</v>
      </c>
      <c r="I2268" s="3">
        <v>9.8000000000000007</v>
      </c>
      <c r="J2268" s="3">
        <v>4.8</v>
      </c>
      <c r="K2268" s="3">
        <v>0.1</v>
      </c>
      <c r="L2268" s="3">
        <v>8.1999999999999993</v>
      </c>
      <c r="M2268" t="str">
        <f>IF(acs2015_county_data[[#This Row],[PublicWork]]&gt;='Описательные характеристики'!$F$5,"да","нет")</f>
        <v>нет</v>
      </c>
      <c r="N2268" t="str">
        <f>IF(acs2015_county_data[[#This Row],[Unemployment]]&gt;='Описательные характеристики'!$I$5,"да","нет")</f>
        <v>да</v>
      </c>
    </row>
    <row r="2269" spans="1:14" x14ac:dyDescent="0.35">
      <c r="A2269">
        <v>42047</v>
      </c>
      <c r="B2269" t="s">
        <v>1408</v>
      </c>
      <c r="C2269" t="s">
        <v>655</v>
      </c>
      <c r="D2269" s="2">
        <v>31370</v>
      </c>
      <c r="E2269" s="2">
        <v>24647</v>
      </c>
      <c r="F2269" s="3">
        <v>4</v>
      </c>
      <c r="G2269" s="3">
        <v>14947</v>
      </c>
      <c r="H2269" s="3">
        <v>87.1</v>
      </c>
      <c r="I2269" s="3">
        <v>7.7</v>
      </c>
      <c r="J2269" s="3">
        <v>4.9000000000000004</v>
      </c>
      <c r="K2269" s="3">
        <v>0.2</v>
      </c>
      <c r="L2269" s="3">
        <v>5.2</v>
      </c>
      <c r="M2269" t="str">
        <f>IF(acs2015_county_data[[#This Row],[PublicWork]]&gt;='Описательные характеристики'!$F$5,"да","нет")</f>
        <v>нет</v>
      </c>
      <c r="N2269" t="str">
        <f>IF(acs2015_county_data[[#This Row],[Unemployment]]&gt;='Описательные характеристики'!$I$5,"да","нет")</f>
        <v>нет</v>
      </c>
    </row>
    <row r="2270" spans="1:14" x14ac:dyDescent="0.35">
      <c r="A2270">
        <v>42049</v>
      </c>
      <c r="B2270" t="s">
        <v>1408</v>
      </c>
      <c r="C2270" t="s">
        <v>1198</v>
      </c>
      <c r="D2270" s="2">
        <v>279858</v>
      </c>
      <c r="E2270" s="2">
        <v>24856</v>
      </c>
      <c r="F2270" s="3">
        <v>3.7</v>
      </c>
      <c r="G2270" s="3">
        <v>128541</v>
      </c>
      <c r="H2270" s="3">
        <v>85</v>
      </c>
      <c r="I2270" s="3">
        <v>10.199999999999999</v>
      </c>
      <c r="J2270" s="3">
        <v>4.8</v>
      </c>
      <c r="K2270" s="3">
        <v>0.1</v>
      </c>
      <c r="L2270" s="3">
        <v>8</v>
      </c>
      <c r="M2270" t="str">
        <f>IF(acs2015_county_data[[#This Row],[PublicWork]]&gt;='Описательные характеристики'!$F$5,"да","нет")</f>
        <v>нет</v>
      </c>
      <c r="N2270" t="str">
        <f>IF(acs2015_county_data[[#This Row],[Unemployment]]&gt;='Описательные характеристики'!$I$5,"да","нет")</f>
        <v>да</v>
      </c>
    </row>
    <row r="2271" spans="1:14" x14ac:dyDescent="0.35">
      <c r="A2271">
        <v>42051</v>
      </c>
      <c r="B2271" t="s">
        <v>1408</v>
      </c>
      <c r="C2271" t="s">
        <v>42</v>
      </c>
      <c r="D2271" s="2">
        <v>134851</v>
      </c>
      <c r="E2271" s="2">
        <v>22014</v>
      </c>
      <c r="F2271" s="3">
        <v>2.6</v>
      </c>
      <c r="G2271" s="3">
        <v>53700</v>
      </c>
      <c r="H2271" s="3">
        <v>84.7</v>
      </c>
      <c r="I2271" s="3">
        <v>10.3</v>
      </c>
      <c r="J2271" s="3">
        <v>4.8</v>
      </c>
      <c r="K2271" s="3">
        <v>0.2</v>
      </c>
      <c r="L2271" s="3">
        <v>8.4</v>
      </c>
      <c r="M2271" t="str">
        <f>IF(acs2015_county_data[[#This Row],[PublicWork]]&gt;='Описательные характеристики'!$F$5,"да","нет")</f>
        <v>нет</v>
      </c>
      <c r="N2271" t="str">
        <f>IF(acs2015_county_data[[#This Row],[Unemployment]]&gt;='Описательные характеристики'!$I$5,"да","нет")</f>
        <v>да</v>
      </c>
    </row>
    <row r="2272" spans="1:14" x14ac:dyDescent="0.35">
      <c r="A2272">
        <v>42053</v>
      </c>
      <c r="B2272" t="s">
        <v>1408</v>
      </c>
      <c r="C2272" t="s">
        <v>1421</v>
      </c>
      <c r="D2272" s="2">
        <v>7581</v>
      </c>
      <c r="E2272" s="2">
        <v>13645</v>
      </c>
      <c r="F2272" s="3">
        <v>3.5</v>
      </c>
      <c r="G2272" s="3">
        <v>1256</v>
      </c>
      <c r="H2272" s="3">
        <v>66.5</v>
      </c>
      <c r="I2272" s="3">
        <v>24</v>
      </c>
      <c r="J2272" s="3">
        <v>9.4</v>
      </c>
      <c r="K2272" s="3">
        <v>0.1</v>
      </c>
      <c r="L2272" s="3">
        <v>4.8</v>
      </c>
      <c r="M2272" t="str">
        <f>IF(acs2015_county_data[[#This Row],[PublicWork]]&gt;='Описательные характеристики'!$F$5,"да","нет")</f>
        <v>да</v>
      </c>
      <c r="N2272" t="str">
        <f>IF(acs2015_county_data[[#This Row],[Unemployment]]&gt;='Описательные характеристики'!$I$5,"да","нет")</f>
        <v>нет</v>
      </c>
    </row>
    <row r="2273" spans="1:14" x14ac:dyDescent="0.35">
      <c r="A2273">
        <v>42055</v>
      </c>
      <c r="B2273" t="s">
        <v>1408</v>
      </c>
      <c r="C2273" t="s">
        <v>43</v>
      </c>
      <c r="D2273" s="2">
        <v>152285</v>
      </c>
      <c r="E2273" s="2">
        <v>26025</v>
      </c>
      <c r="F2273" s="3">
        <v>3.4</v>
      </c>
      <c r="G2273" s="3">
        <v>71278</v>
      </c>
      <c r="H2273" s="3">
        <v>81.099999999999994</v>
      </c>
      <c r="I2273" s="3">
        <v>12.2</v>
      </c>
      <c r="J2273" s="3">
        <v>6.4</v>
      </c>
      <c r="K2273" s="3">
        <v>0.3</v>
      </c>
      <c r="L2273" s="3">
        <v>6.9</v>
      </c>
      <c r="M2273" t="str">
        <f>IF(acs2015_county_data[[#This Row],[PublicWork]]&gt;='Описательные характеристики'!$F$5,"да","нет")</f>
        <v>нет</v>
      </c>
      <c r="N2273" t="str">
        <f>IF(acs2015_county_data[[#This Row],[Unemployment]]&gt;='Описательные характеристики'!$I$5,"да","нет")</f>
        <v>нет</v>
      </c>
    </row>
    <row r="2274" spans="1:14" x14ac:dyDescent="0.35">
      <c r="A2274">
        <v>42057</v>
      </c>
      <c r="B2274" t="s">
        <v>1408</v>
      </c>
      <c r="C2274" t="s">
        <v>142</v>
      </c>
      <c r="D2274" s="2">
        <v>14694</v>
      </c>
      <c r="E2274" s="2">
        <v>23435</v>
      </c>
      <c r="F2274" s="3">
        <v>4</v>
      </c>
      <c r="G2274" s="3">
        <v>6598</v>
      </c>
      <c r="H2274" s="3">
        <v>76.7</v>
      </c>
      <c r="I2274" s="3">
        <v>15.3</v>
      </c>
      <c r="J2274" s="3">
        <v>7.5</v>
      </c>
      <c r="K2274" s="3">
        <v>0.5</v>
      </c>
      <c r="L2274" s="3">
        <v>7.5</v>
      </c>
      <c r="M2274" t="str">
        <f>IF(acs2015_county_data[[#This Row],[PublicWork]]&gt;='Описательные характеристики'!$F$5,"да","нет")</f>
        <v>нет</v>
      </c>
      <c r="N2274" t="str">
        <f>IF(acs2015_county_data[[#This Row],[Unemployment]]&gt;='Описательные характеристики'!$I$5,"да","нет")</f>
        <v>нет</v>
      </c>
    </row>
    <row r="2275" spans="1:14" x14ac:dyDescent="0.35">
      <c r="A2275">
        <v>42059</v>
      </c>
      <c r="B2275" t="s">
        <v>1408</v>
      </c>
      <c r="C2275" t="s">
        <v>45</v>
      </c>
      <c r="D2275" s="2">
        <v>37938</v>
      </c>
      <c r="E2275" s="2">
        <v>23232</v>
      </c>
      <c r="F2275" s="3">
        <v>2.1</v>
      </c>
      <c r="G2275" s="3">
        <v>14728</v>
      </c>
      <c r="H2275" s="3">
        <v>81</v>
      </c>
      <c r="I2275" s="3">
        <v>16.100000000000001</v>
      </c>
      <c r="J2275" s="3">
        <v>2.8</v>
      </c>
      <c r="K2275" s="3">
        <v>0.1</v>
      </c>
      <c r="L2275" s="3">
        <v>6.4</v>
      </c>
      <c r="M2275" t="str">
        <f>IF(acs2015_county_data[[#This Row],[PublicWork]]&gt;='Описательные характеристики'!$F$5,"да","нет")</f>
        <v>нет</v>
      </c>
      <c r="N2275" t="str">
        <f>IF(acs2015_county_data[[#This Row],[Unemployment]]&gt;='Описательные характеристики'!$I$5,"да","нет")</f>
        <v>нет</v>
      </c>
    </row>
    <row r="2276" spans="1:14" x14ac:dyDescent="0.35">
      <c r="A2276">
        <v>42061</v>
      </c>
      <c r="B2276" t="s">
        <v>1408</v>
      </c>
      <c r="C2276" t="s">
        <v>1422</v>
      </c>
      <c r="D2276" s="2">
        <v>45906</v>
      </c>
      <c r="E2276" s="2">
        <v>21714</v>
      </c>
      <c r="F2276" s="3">
        <v>3.4</v>
      </c>
      <c r="G2276" s="3">
        <v>18580</v>
      </c>
      <c r="H2276" s="3">
        <v>77.8</v>
      </c>
      <c r="I2276" s="3">
        <v>15.1</v>
      </c>
      <c r="J2276" s="3">
        <v>7</v>
      </c>
      <c r="K2276" s="3">
        <v>0.2</v>
      </c>
      <c r="L2276" s="3">
        <v>8.1</v>
      </c>
      <c r="M2276" t="str">
        <f>IF(acs2015_county_data[[#This Row],[PublicWork]]&gt;='Описательные характеристики'!$F$5,"да","нет")</f>
        <v>нет</v>
      </c>
      <c r="N2276" t="str">
        <f>IF(acs2015_county_data[[#This Row],[Unemployment]]&gt;='Описательные характеристики'!$I$5,"да","нет")</f>
        <v>да</v>
      </c>
    </row>
    <row r="2277" spans="1:14" x14ac:dyDescent="0.35">
      <c r="A2277">
        <v>42063</v>
      </c>
      <c r="B2277" t="s">
        <v>1408</v>
      </c>
      <c r="C2277" t="s">
        <v>558</v>
      </c>
      <c r="D2277" s="2">
        <v>87895</v>
      </c>
      <c r="E2277" s="2">
        <v>23450</v>
      </c>
      <c r="F2277" s="3">
        <v>3.2</v>
      </c>
      <c r="G2277" s="3">
        <v>38903</v>
      </c>
      <c r="H2277" s="3">
        <v>78.400000000000006</v>
      </c>
      <c r="I2277" s="3">
        <v>14.7</v>
      </c>
      <c r="J2277" s="3">
        <v>6.7</v>
      </c>
      <c r="K2277" s="3">
        <v>0.2</v>
      </c>
      <c r="L2277" s="3">
        <v>7.8</v>
      </c>
      <c r="M2277" t="str">
        <f>IF(acs2015_county_data[[#This Row],[PublicWork]]&gt;='Описательные характеристики'!$F$5,"да","нет")</f>
        <v>нет</v>
      </c>
      <c r="N2277" t="str">
        <f>IF(acs2015_county_data[[#This Row],[Unemployment]]&gt;='Описательные характеристики'!$I$5,"да","нет")</f>
        <v>да</v>
      </c>
    </row>
    <row r="2278" spans="1:14" x14ac:dyDescent="0.35">
      <c r="A2278">
        <v>42065</v>
      </c>
      <c r="B2278" t="s">
        <v>1408</v>
      </c>
      <c r="C2278" t="s">
        <v>50</v>
      </c>
      <c r="D2278" s="2">
        <v>44756</v>
      </c>
      <c r="E2278" s="2">
        <v>22282</v>
      </c>
      <c r="F2278" s="3">
        <v>2.8</v>
      </c>
      <c r="G2278" s="3">
        <v>19756</v>
      </c>
      <c r="H2278" s="3">
        <v>82</v>
      </c>
      <c r="I2278" s="3">
        <v>10.5</v>
      </c>
      <c r="J2278" s="3">
        <v>7.2</v>
      </c>
      <c r="K2278" s="3">
        <v>0.3</v>
      </c>
      <c r="L2278" s="3">
        <v>6.4</v>
      </c>
      <c r="M2278" t="str">
        <f>IF(acs2015_county_data[[#This Row],[PublicWork]]&gt;='Описательные характеристики'!$F$5,"да","нет")</f>
        <v>нет</v>
      </c>
      <c r="N2278" t="str">
        <f>IF(acs2015_county_data[[#This Row],[Unemployment]]&gt;='Описательные характеристики'!$I$5,"да","нет")</f>
        <v>нет</v>
      </c>
    </row>
    <row r="2279" spans="1:14" x14ac:dyDescent="0.35">
      <c r="A2279">
        <v>42067</v>
      </c>
      <c r="B2279" t="s">
        <v>1408</v>
      </c>
      <c r="C2279" t="s">
        <v>1423</v>
      </c>
      <c r="D2279" s="2">
        <v>24829</v>
      </c>
      <c r="E2279" s="2">
        <v>22170</v>
      </c>
      <c r="F2279" s="3">
        <v>5.2</v>
      </c>
      <c r="G2279" s="3">
        <v>11152</v>
      </c>
      <c r="H2279" s="3">
        <v>81.599999999999994</v>
      </c>
      <c r="I2279" s="3">
        <v>11</v>
      </c>
      <c r="J2279" s="3">
        <v>7.2</v>
      </c>
      <c r="K2279" s="3">
        <v>0.2</v>
      </c>
      <c r="L2279" s="3">
        <v>5.7</v>
      </c>
      <c r="M2279" t="str">
        <f>IF(acs2015_county_data[[#This Row],[PublicWork]]&gt;='Описательные характеристики'!$F$5,"да","нет")</f>
        <v>нет</v>
      </c>
      <c r="N2279" t="str">
        <f>IF(acs2015_county_data[[#This Row],[Unemployment]]&gt;='Описательные характеристики'!$I$5,"да","нет")</f>
        <v>нет</v>
      </c>
    </row>
    <row r="2280" spans="1:14" x14ac:dyDescent="0.35">
      <c r="A2280">
        <v>42069</v>
      </c>
      <c r="B2280" t="s">
        <v>1408</v>
      </c>
      <c r="C2280" t="s">
        <v>1424</v>
      </c>
      <c r="D2280" s="2">
        <v>213459</v>
      </c>
      <c r="E2280" s="2">
        <v>25608</v>
      </c>
      <c r="F2280" s="3">
        <v>3.1</v>
      </c>
      <c r="G2280" s="3">
        <v>97589</v>
      </c>
      <c r="H2280" s="3">
        <v>82.5</v>
      </c>
      <c r="I2280" s="3">
        <v>12.8</v>
      </c>
      <c r="J2280" s="3">
        <v>4.4000000000000004</v>
      </c>
      <c r="K2280" s="3">
        <v>0.2</v>
      </c>
      <c r="L2280" s="3">
        <v>6.9</v>
      </c>
      <c r="M2280" t="str">
        <f>IF(acs2015_county_data[[#This Row],[PublicWork]]&gt;='Описательные характеристики'!$F$5,"да","нет")</f>
        <v>нет</v>
      </c>
      <c r="N2280" t="str">
        <f>IF(acs2015_county_data[[#This Row],[Unemployment]]&gt;='Описательные характеристики'!$I$5,"да","нет")</f>
        <v>нет</v>
      </c>
    </row>
    <row r="2281" spans="1:14" x14ac:dyDescent="0.35">
      <c r="A2281">
        <v>42071</v>
      </c>
      <c r="B2281" t="s">
        <v>1408</v>
      </c>
      <c r="C2281" t="s">
        <v>1117</v>
      </c>
      <c r="D2281" s="2">
        <v>530216</v>
      </c>
      <c r="E2281" s="2">
        <v>27158</v>
      </c>
      <c r="F2281" s="3">
        <v>4.9000000000000004</v>
      </c>
      <c r="G2281" s="3">
        <v>259601</v>
      </c>
      <c r="H2281" s="3">
        <v>84.7</v>
      </c>
      <c r="I2281" s="3">
        <v>8.1999999999999993</v>
      </c>
      <c r="J2281" s="3">
        <v>6.8</v>
      </c>
      <c r="K2281" s="3">
        <v>0.3</v>
      </c>
      <c r="L2281" s="3">
        <v>6.1</v>
      </c>
      <c r="M2281" t="str">
        <f>IF(acs2015_county_data[[#This Row],[PublicWork]]&gt;='Описательные характеристики'!$F$5,"да","нет")</f>
        <v>нет</v>
      </c>
      <c r="N2281" t="str">
        <f>IF(acs2015_county_data[[#This Row],[Unemployment]]&gt;='Описательные характеристики'!$I$5,"да","нет")</f>
        <v>нет</v>
      </c>
    </row>
    <row r="2282" spans="1:14" x14ac:dyDescent="0.35">
      <c r="A2282">
        <v>42073</v>
      </c>
      <c r="B2282" t="s">
        <v>1408</v>
      </c>
      <c r="C2282" t="s">
        <v>52</v>
      </c>
      <c r="D2282" s="2">
        <v>89162</v>
      </c>
      <c r="E2282" s="2">
        <v>24450</v>
      </c>
      <c r="F2282" s="3">
        <v>2.9</v>
      </c>
      <c r="G2282" s="3">
        <v>39340</v>
      </c>
      <c r="H2282" s="3">
        <v>83.6</v>
      </c>
      <c r="I2282" s="3">
        <v>10.8</v>
      </c>
      <c r="J2282" s="3">
        <v>5.5</v>
      </c>
      <c r="K2282" s="3">
        <v>0.1</v>
      </c>
      <c r="L2282" s="3">
        <v>7</v>
      </c>
      <c r="M2282" t="str">
        <f>IF(acs2015_county_data[[#This Row],[PublicWork]]&gt;='Описательные характеристики'!$F$5,"да","нет")</f>
        <v>нет</v>
      </c>
      <c r="N2282" t="str">
        <f>IF(acs2015_county_data[[#This Row],[Unemployment]]&gt;='Описательные характеристики'!$I$5,"да","нет")</f>
        <v>нет</v>
      </c>
    </row>
    <row r="2283" spans="1:14" x14ac:dyDescent="0.35">
      <c r="A2283">
        <v>42075</v>
      </c>
      <c r="B2283" t="s">
        <v>1408</v>
      </c>
      <c r="C2283" t="s">
        <v>1425</v>
      </c>
      <c r="D2283" s="2">
        <v>135776</v>
      </c>
      <c r="E2283" s="2">
        <v>26526</v>
      </c>
      <c r="F2283" s="3">
        <v>3.9</v>
      </c>
      <c r="G2283" s="3">
        <v>65090</v>
      </c>
      <c r="H2283" s="3">
        <v>81</v>
      </c>
      <c r="I2283" s="3">
        <v>12.3</v>
      </c>
      <c r="J2283" s="3">
        <v>6.4</v>
      </c>
      <c r="K2283" s="3">
        <v>0.2</v>
      </c>
      <c r="L2283" s="3">
        <v>6.9</v>
      </c>
      <c r="M2283" t="str">
        <f>IF(acs2015_county_data[[#This Row],[PublicWork]]&gt;='Описательные характеристики'!$F$5,"да","нет")</f>
        <v>нет</v>
      </c>
      <c r="N2283" t="str">
        <f>IF(acs2015_county_data[[#This Row],[Unemployment]]&gt;='Описательные характеристики'!$I$5,"да","нет")</f>
        <v>нет</v>
      </c>
    </row>
    <row r="2284" spans="1:14" x14ac:dyDescent="0.35">
      <c r="A2284">
        <v>42077</v>
      </c>
      <c r="B2284" t="s">
        <v>1408</v>
      </c>
      <c r="C2284" t="s">
        <v>1426</v>
      </c>
      <c r="D2284" s="2">
        <v>356756</v>
      </c>
      <c r="E2284" s="2">
        <v>28688</v>
      </c>
      <c r="F2284" s="3">
        <v>4.0999999999999996</v>
      </c>
      <c r="G2284" s="3">
        <v>170448</v>
      </c>
      <c r="H2284" s="3">
        <v>87</v>
      </c>
      <c r="I2284" s="3">
        <v>8.5</v>
      </c>
      <c r="J2284" s="3">
        <v>4.4000000000000004</v>
      </c>
      <c r="K2284" s="3">
        <v>0.1</v>
      </c>
      <c r="L2284" s="3">
        <v>8.5</v>
      </c>
      <c r="M2284" t="str">
        <f>IF(acs2015_county_data[[#This Row],[PublicWork]]&gt;='Описательные характеристики'!$F$5,"да","нет")</f>
        <v>нет</v>
      </c>
      <c r="N2284" t="str">
        <f>IF(acs2015_county_data[[#This Row],[Unemployment]]&gt;='Описательные характеристики'!$I$5,"да","нет")</f>
        <v>да</v>
      </c>
    </row>
    <row r="2285" spans="1:14" x14ac:dyDescent="0.35">
      <c r="A2285">
        <v>42079</v>
      </c>
      <c r="B2285" t="s">
        <v>1408</v>
      </c>
      <c r="C2285" t="s">
        <v>1427</v>
      </c>
      <c r="D2285" s="2">
        <v>320095</v>
      </c>
      <c r="E2285" s="2">
        <v>25224</v>
      </c>
      <c r="F2285" s="3">
        <v>3.1</v>
      </c>
      <c r="G2285" s="3">
        <v>147243</v>
      </c>
      <c r="H2285" s="3">
        <v>83.7</v>
      </c>
      <c r="I2285" s="3">
        <v>11.3</v>
      </c>
      <c r="J2285" s="3">
        <v>4.8</v>
      </c>
      <c r="K2285" s="3">
        <v>0.2</v>
      </c>
      <c r="L2285" s="3">
        <v>7.8</v>
      </c>
      <c r="M2285" t="str">
        <f>IF(acs2015_county_data[[#This Row],[PublicWork]]&gt;='Описательные характеристики'!$F$5,"да","нет")</f>
        <v>нет</v>
      </c>
      <c r="N2285" t="str">
        <f>IF(acs2015_county_data[[#This Row],[Unemployment]]&gt;='Описательные характеристики'!$I$5,"да","нет")</f>
        <v>да</v>
      </c>
    </row>
    <row r="2286" spans="1:14" x14ac:dyDescent="0.35">
      <c r="A2286">
        <v>42081</v>
      </c>
      <c r="B2286" t="s">
        <v>1408</v>
      </c>
      <c r="C2286" t="s">
        <v>1428</v>
      </c>
      <c r="D2286" s="2">
        <v>116656</v>
      </c>
      <c r="E2286" s="2">
        <v>24194</v>
      </c>
      <c r="F2286" s="3">
        <v>2.5</v>
      </c>
      <c r="G2286" s="3">
        <v>54324</v>
      </c>
      <c r="H2286" s="3">
        <v>83.8</v>
      </c>
      <c r="I2286" s="3">
        <v>11.1</v>
      </c>
      <c r="J2286" s="3">
        <v>5</v>
      </c>
      <c r="K2286" s="3">
        <v>0.1</v>
      </c>
      <c r="L2286" s="3">
        <v>7.7</v>
      </c>
      <c r="M2286" t="str">
        <f>IF(acs2015_county_data[[#This Row],[PublicWork]]&gt;='Описательные характеристики'!$F$5,"да","нет")</f>
        <v>нет</v>
      </c>
      <c r="N2286" t="str">
        <f>IF(acs2015_county_data[[#This Row],[Unemployment]]&gt;='Описательные характеристики'!$I$5,"да","нет")</f>
        <v>да</v>
      </c>
    </row>
    <row r="2287" spans="1:14" x14ac:dyDescent="0.35">
      <c r="A2287">
        <v>42083</v>
      </c>
      <c r="B2287" t="s">
        <v>1408</v>
      </c>
      <c r="C2287" t="s">
        <v>1429</v>
      </c>
      <c r="D2287" s="2">
        <v>42884</v>
      </c>
      <c r="E2287" s="2">
        <v>23554</v>
      </c>
      <c r="F2287" s="3">
        <v>2.6</v>
      </c>
      <c r="G2287" s="3">
        <v>18277</v>
      </c>
      <c r="H2287" s="3">
        <v>81.400000000000006</v>
      </c>
      <c r="I2287" s="3">
        <v>11.8</v>
      </c>
      <c r="J2287" s="3">
        <v>6.7</v>
      </c>
      <c r="K2287" s="3">
        <v>0.1</v>
      </c>
      <c r="L2287" s="3">
        <v>9.1</v>
      </c>
      <c r="M2287" t="str">
        <f>IF(acs2015_county_data[[#This Row],[PublicWork]]&gt;='Описательные характеристики'!$F$5,"да","нет")</f>
        <v>нет</v>
      </c>
      <c r="N2287" t="str">
        <f>IF(acs2015_county_data[[#This Row],[Unemployment]]&gt;='Описательные характеристики'!$I$5,"да","нет")</f>
        <v>да</v>
      </c>
    </row>
    <row r="2288" spans="1:14" x14ac:dyDescent="0.35">
      <c r="A2288">
        <v>42085</v>
      </c>
      <c r="B2288" t="s">
        <v>1408</v>
      </c>
      <c r="C2288" t="s">
        <v>539</v>
      </c>
      <c r="D2288" s="2">
        <v>115320</v>
      </c>
      <c r="E2288" s="2">
        <v>23683</v>
      </c>
      <c r="F2288" s="3">
        <v>4.8</v>
      </c>
      <c r="G2288" s="3">
        <v>50055</v>
      </c>
      <c r="H2288" s="3">
        <v>82.8</v>
      </c>
      <c r="I2288" s="3">
        <v>11</v>
      </c>
      <c r="J2288" s="3">
        <v>6</v>
      </c>
      <c r="K2288" s="3">
        <v>0.2</v>
      </c>
      <c r="L2288" s="3">
        <v>6.8</v>
      </c>
      <c r="M2288" t="str">
        <f>IF(acs2015_county_data[[#This Row],[PublicWork]]&gt;='Описательные характеристики'!$F$5,"да","нет")</f>
        <v>нет</v>
      </c>
      <c r="N2288" t="str">
        <f>IF(acs2015_county_data[[#This Row],[Unemployment]]&gt;='Описательные характеристики'!$I$5,"да","нет")</f>
        <v>нет</v>
      </c>
    </row>
    <row r="2289" spans="1:14" x14ac:dyDescent="0.35">
      <c r="A2289">
        <v>42087</v>
      </c>
      <c r="B2289" t="s">
        <v>1408</v>
      </c>
      <c r="C2289" t="s">
        <v>1430</v>
      </c>
      <c r="D2289" s="2">
        <v>46675</v>
      </c>
      <c r="E2289" s="2">
        <v>20769</v>
      </c>
      <c r="F2289" s="3">
        <v>3</v>
      </c>
      <c r="G2289" s="3">
        <v>19860</v>
      </c>
      <c r="H2289" s="3">
        <v>83.2</v>
      </c>
      <c r="I2289" s="3">
        <v>9.5</v>
      </c>
      <c r="J2289" s="3">
        <v>7.1</v>
      </c>
      <c r="K2289" s="3">
        <v>0.2</v>
      </c>
      <c r="L2289" s="3">
        <v>6.4</v>
      </c>
      <c r="M2289" t="str">
        <f>IF(acs2015_county_data[[#This Row],[PublicWork]]&gt;='Описательные характеристики'!$F$5,"да","нет")</f>
        <v>нет</v>
      </c>
      <c r="N2289" t="str">
        <f>IF(acs2015_county_data[[#This Row],[Unemployment]]&gt;='Описательные характеристики'!$I$5,"да","нет")</f>
        <v>нет</v>
      </c>
    </row>
    <row r="2290" spans="1:14" x14ac:dyDescent="0.35">
      <c r="A2290">
        <v>42089</v>
      </c>
      <c r="B2290" t="s">
        <v>1408</v>
      </c>
      <c r="C2290" t="s">
        <v>62</v>
      </c>
      <c r="D2290" s="2">
        <v>167881</v>
      </c>
      <c r="E2290" s="2">
        <v>25022</v>
      </c>
      <c r="F2290" s="3">
        <v>5.0999999999999996</v>
      </c>
      <c r="G2290" s="3">
        <v>76767</v>
      </c>
      <c r="H2290" s="3">
        <v>81</v>
      </c>
      <c r="I2290" s="3">
        <v>14.1</v>
      </c>
      <c r="J2290" s="3">
        <v>4.8</v>
      </c>
      <c r="K2290" s="3">
        <v>0.1</v>
      </c>
      <c r="L2290" s="3">
        <v>12</v>
      </c>
      <c r="M2290" t="str">
        <f>IF(acs2015_county_data[[#This Row],[PublicWork]]&gt;='Описательные характеристики'!$F$5,"да","нет")</f>
        <v>нет</v>
      </c>
      <c r="N2290" t="str">
        <f>IF(acs2015_county_data[[#This Row],[Unemployment]]&gt;='Описательные характеристики'!$I$5,"да","нет")</f>
        <v>да</v>
      </c>
    </row>
    <row r="2291" spans="1:14" x14ac:dyDescent="0.35">
      <c r="A2291">
        <v>42091</v>
      </c>
      <c r="B2291" t="s">
        <v>1408</v>
      </c>
      <c r="C2291" t="s">
        <v>158</v>
      </c>
      <c r="D2291" s="2">
        <v>812970</v>
      </c>
      <c r="E2291" s="2">
        <v>42275</v>
      </c>
      <c r="F2291" s="3">
        <v>5.2</v>
      </c>
      <c r="G2291" s="3">
        <v>418411</v>
      </c>
      <c r="H2291" s="3">
        <v>86.2</v>
      </c>
      <c r="I2291" s="3">
        <v>8.1</v>
      </c>
      <c r="J2291" s="3">
        <v>5.5</v>
      </c>
      <c r="K2291" s="3">
        <v>0.1</v>
      </c>
      <c r="L2291" s="3">
        <v>6.4</v>
      </c>
      <c r="M2291" t="str">
        <f>IF(acs2015_county_data[[#This Row],[PublicWork]]&gt;='Описательные характеристики'!$F$5,"да","нет")</f>
        <v>нет</v>
      </c>
      <c r="N2291" t="str">
        <f>IF(acs2015_county_data[[#This Row],[Unemployment]]&gt;='Описательные характеристики'!$I$5,"да","нет")</f>
        <v>нет</v>
      </c>
    </row>
    <row r="2292" spans="1:14" x14ac:dyDescent="0.35">
      <c r="A2292">
        <v>42093</v>
      </c>
      <c r="B2292" t="s">
        <v>1408</v>
      </c>
      <c r="C2292" t="s">
        <v>1431</v>
      </c>
      <c r="D2292" s="2">
        <v>18508</v>
      </c>
      <c r="E2292" s="2">
        <v>30272</v>
      </c>
      <c r="F2292" s="3">
        <v>4.2</v>
      </c>
      <c r="G2292" s="3">
        <v>8391</v>
      </c>
      <c r="H2292" s="3">
        <v>84.6</v>
      </c>
      <c r="I2292" s="3">
        <v>10.1</v>
      </c>
      <c r="J2292" s="3">
        <v>5.2</v>
      </c>
      <c r="K2292" s="3">
        <v>0.1</v>
      </c>
      <c r="L2292" s="3">
        <v>6.6</v>
      </c>
      <c r="M2292" t="str">
        <f>IF(acs2015_county_data[[#This Row],[PublicWork]]&gt;='Описательные характеристики'!$F$5,"да","нет")</f>
        <v>нет</v>
      </c>
      <c r="N2292" t="str">
        <f>IF(acs2015_county_data[[#This Row],[Unemployment]]&gt;='Описательные характеристики'!$I$5,"да","нет")</f>
        <v>нет</v>
      </c>
    </row>
    <row r="2293" spans="1:14" x14ac:dyDescent="0.35">
      <c r="A2293">
        <v>42095</v>
      </c>
      <c r="B2293" t="s">
        <v>1408</v>
      </c>
      <c r="C2293" t="s">
        <v>1261</v>
      </c>
      <c r="D2293" s="2">
        <v>299616</v>
      </c>
      <c r="E2293" s="2">
        <v>30176</v>
      </c>
      <c r="F2293" s="3">
        <v>3.4</v>
      </c>
      <c r="G2293" s="3">
        <v>144854</v>
      </c>
      <c r="H2293" s="3">
        <v>84.6</v>
      </c>
      <c r="I2293" s="3">
        <v>10.6</v>
      </c>
      <c r="J2293" s="3">
        <v>4.7</v>
      </c>
      <c r="K2293" s="3">
        <v>0.1</v>
      </c>
      <c r="L2293" s="3">
        <v>7.3</v>
      </c>
      <c r="M2293" t="str">
        <f>IF(acs2015_county_data[[#This Row],[PublicWork]]&gt;='Описательные характеристики'!$F$5,"да","нет")</f>
        <v>нет</v>
      </c>
      <c r="N2293" t="str">
        <f>IF(acs2015_county_data[[#This Row],[Unemployment]]&gt;='Описательные характеристики'!$I$5,"да","нет")</f>
        <v>нет</v>
      </c>
    </row>
    <row r="2294" spans="1:14" x14ac:dyDescent="0.35">
      <c r="A2294">
        <v>42097</v>
      </c>
      <c r="B2294" t="s">
        <v>1408</v>
      </c>
      <c r="C2294" t="s">
        <v>1432</v>
      </c>
      <c r="D2294" s="2">
        <v>94006</v>
      </c>
      <c r="E2294" s="2">
        <v>23291</v>
      </c>
      <c r="F2294" s="3">
        <v>3.3</v>
      </c>
      <c r="G2294" s="3">
        <v>41033</v>
      </c>
      <c r="H2294" s="3">
        <v>81.900000000000006</v>
      </c>
      <c r="I2294" s="3">
        <v>12.7</v>
      </c>
      <c r="J2294" s="3">
        <v>5.0999999999999996</v>
      </c>
      <c r="K2294" s="3">
        <v>0.3</v>
      </c>
      <c r="L2294" s="3">
        <v>7.2</v>
      </c>
      <c r="M2294" t="str">
        <f>IF(acs2015_county_data[[#This Row],[PublicWork]]&gt;='Описательные характеристики'!$F$5,"да","нет")</f>
        <v>нет</v>
      </c>
      <c r="N2294" t="str">
        <f>IF(acs2015_county_data[[#This Row],[Unemployment]]&gt;='Описательные характеристики'!$I$5,"да","нет")</f>
        <v>нет</v>
      </c>
    </row>
    <row r="2295" spans="1:14" x14ac:dyDescent="0.35">
      <c r="A2295">
        <v>42099</v>
      </c>
      <c r="B2295" t="s">
        <v>1408</v>
      </c>
      <c r="C2295" t="s">
        <v>64</v>
      </c>
      <c r="D2295" s="2">
        <v>45677</v>
      </c>
      <c r="E2295" s="2">
        <v>27019</v>
      </c>
      <c r="F2295" s="3">
        <v>4.5999999999999996</v>
      </c>
      <c r="G2295" s="3">
        <v>22893</v>
      </c>
      <c r="H2295" s="3">
        <v>76.599999999999994</v>
      </c>
      <c r="I2295" s="3">
        <v>16.600000000000001</v>
      </c>
      <c r="J2295" s="3">
        <v>6.4</v>
      </c>
      <c r="K2295" s="3">
        <v>0.4</v>
      </c>
      <c r="L2295" s="3">
        <v>6.3</v>
      </c>
      <c r="M2295" t="str">
        <f>IF(acs2015_county_data[[#This Row],[PublicWork]]&gt;='Описательные характеристики'!$F$5,"да","нет")</f>
        <v>да</v>
      </c>
      <c r="N2295" t="str">
        <f>IF(acs2015_county_data[[#This Row],[Unemployment]]&gt;='Описательные характеристики'!$I$5,"да","нет")</f>
        <v>нет</v>
      </c>
    </row>
    <row r="2296" spans="1:14" x14ac:dyDescent="0.35">
      <c r="A2296">
        <v>42101</v>
      </c>
      <c r="B2296" t="s">
        <v>1408</v>
      </c>
      <c r="C2296" t="s">
        <v>1433</v>
      </c>
      <c r="D2296" s="2">
        <v>1555072</v>
      </c>
      <c r="E2296" s="2">
        <v>22919</v>
      </c>
      <c r="F2296" s="3">
        <v>3.1</v>
      </c>
      <c r="G2296" s="3">
        <v>640661</v>
      </c>
      <c r="H2296" s="3">
        <v>82.9</v>
      </c>
      <c r="I2296" s="3">
        <v>13</v>
      </c>
      <c r="J2296" s="3">
        <v>4</v>
      </c>
      <c r="K2296" s="3">
        <v>0.1</v>
      </c>
      <c r="L2296" s="3">
        <v>13.9</v>
      </c>
      <c r="M2296" t="str">
        <f>IF(acs2015_county_data[[#This Row],[PublicWork]]&gt;='Описательные характеристики'!$F$5,"да","нет")</f>
        <v>нет</v>
      </c>
      <c r="N2296" t="str">
        <f>IF(acs2015_county_data[[#This Row],[Unemployment]]&gt;='Описательные характеристики'!$I$5,"да","нет")</f>
        <v>да</v>
      </c>
    </row>
    <row r="2297" spans="1:14" x14ac:dyDescent="0.35">
      <c r="A2297">
        <v>42103</v>
      </c>
      <c r="B2297" t="s">
        <v>1408</v>
      </c>
      <c r="C2297" t="s">
        <v>66</v>
      </c>
      <c r="D2297" s="2">
        <v>56632</v>
      </c>
      <c r="E2297" s="2">
        <v>28533</v>
      </c>
      <c r="F2297" s="3">
        <v>4.2</v>
      </c>
      <c r="G2297" s="3">
        <v>24320</v>
      </c>
      <c r="H2297" s="3">
        <v>78.099999999999994</v>
      </c>
      <c r="I2297" s="3">
        <v>13.6</v>
      </c>
      <c r="J2297" s="3">
        <v>8</v>
      </c>
      <c r="K2297" s="3">
        <v>0.3</v>
      </c>
      <c r="L2297" s="3">
        <v>11.6</v>
      </c>
      <c r="M2297" t="str">
        <f>IF(acs2015_county_data[[#This Row],[PublicWork]]&gt;='Описательные характеристики'!$F$5,"да","нет")</f>
        <v>нет</v>
      </c>
      <c r="N2297" t="str">
        <f>IF(acs2015_county_data[[#This Row],[Unemployment]]&gt;='Описательные характеристики'!$I$5,"да","нет")</f>
        <v>да</v>
      </c>
    </row>
    <row r="2298" spans="1:14" x14ac:dyDescent="0.35">
      <c r="A2298">
        <v>42105</v>
      </c>
      <c r="B2298" t="s">
        <v>1408</v>
      </c>
      <c r="C2298" t="s">
        <v>1434</v>
      </c>
      <c r="D2298" s="2">
        <v>17377</v>
      </c>
      <c r="E2298" s="2">
        <v>22318</v>
      </c>
      <c r="F2298" s="3">
        <v>4.2</v>
      </c>
      <c r="G2298" s="3">
        <v>6956</v>
      </c>
      <c r="H2298" s="3">
        <v>79.099999999999994</v>
      </c>
      <c r="I2298" s="3">
        <v>12</v>
      </c>
      <c r="J2298" s="3">
        <v>8.6</v>
      </c>
      <c r="K2298" s="3">
        <v>0.3</v>
      </c>
      <c r="L2298" s="3">
        <v>6.9</v>
      </c>
      <c r="M2298" t="str">
        <f>IF(acs2015_county_data[[#This Row],[PublicWork]]&gt;='Описательные характеристики'!$F$5,"да","нет")</f>
        <v>нет</v>
      </c>
      <c r="N2298" t="str">
        <f>IF(acs2015_county_data[[#This Row],[Unemployment]]&gt;='Описательные характеристики'!$I$5,"да","нет")</f>
        <v>нет</v>
      </c>
    </row>
    <row r="2299" spans="1:14" x14ac:dyDescent="0.35">
      <c r="A2299">
        <v>42107</v>
      </c>
      <c r="B2299" t="s">
        <v>1408</v>
      </c>
      <c r="C2299" t="s">
        <v>1435</v>
      </c>
      <c r="D2299" s="2">
        <v>146360</v>
      </c>
      <c r="E2299" s="2">
        <v>23682</v>
      </c>
      <c r="F2299" s="3">
        <v>2.7</v>
      </c>
      <c r="G2299" s="3">
        <v>63264</v>
      </c>
      <c r="H2299" s="3">
        <v>81.7</v>
      </c>
      <c r="I2299" s="3">
        <v>13</v>
      </c>
      <c r="J2299" s="3">
        <v>5.2</v>
      </c>
      <c r="K2299" s="3">
        <v>0.1</v>
      </c>
      <c r="L2299" s="3">
        <v>8.8000000000000007</v>
      </c>
      <c r="M2299" t="str">
        <f>IF(acs2015_county_data[[#This Row],[PublicWork]]&gt;='Описательные характеристики'!$F$5,"да","нет")</f>
        <v>нет</v>
      </c>
      <c r="N2299" t="str">
        <f>IF(acs2015_county_data[[#This Row],[Unemployment]]&gt;='Описательные характеристики'!$I$5,"да","нет")</f>
        <v>да</v>
      </c>
    </row>
    <row r="2300" spans="1:14" x14ac:dyDescent="0.35">
      <c r="A2300">
        <v>42109</v>
      </c>
      <c r="B2300" t="s">
        <v>1408</v>
      </c>
      <c r="C2300" t="s">
        <v>1436</v>
      </c>
      <c r="D2300" s="2">
        <v>40046</v>
      </c>
      <c r="E2300" s="2">
        <v>23836</v>
      </c>
      <c r="F2300" s="3">
        <v>6.9</v>
      </c>
      <c r="G2300" s="3">
        <v>19403</v>
      </c>
      <c r="H2300" s="3">
        <v>81</v>
      </c>
      <c r="I2300" s="3">
        <v>10.9</v>
      </c>
      <c r="J2300" s="3">
        <v>7.7</v>
      </c>
      <c r="K2300" s="3">
        <v>0.3</v>
      </c>
      <c r="L2300" s="3">
        <v>5</v>
      </c>
      <c r="M2300" t="str">
        <f>IF(acs2015_county_data[[#This Row],[PublicWork]]&gt;='Описательные характеристики'!$F$5,"да","нет")</f>
        <v>нет</v>
      </c>
      <c r="N2300" t="str">
        <f>IF(acs2015_county_data[[#This Row],[Unemployment]]&gt;='Описательные характеристики'!$I$5,"да","нет")</f>
        <v>нет</v>
      </c>
    </row>
    <row r="2301" spans="1:14" x14ac:dyDescent="0.35">
      <c r="A2301">
        <v>42111</v>
      </c>
      <c r="B2301" t="s">
        <v>1408</v>
      </c>
      <c r="C2301" t="s">
        <v>822</v>
      </c>
      <c r="D2301" s="2">
        <v>76617</v>
      </c>
      <c r="E2301" s="2">
        <v>22980</v>
      </c>
      <c r="F2301" s="3">
        <v>4.5999999999999996</v>
      </c>
      <c r="G2301" s="3">
        <v>33159</v>
      </c>
      <c r="H2301" s="3">
        <v>79.8</v>
      </c>
      <c r="I2301" s="3">
        <v>12.6</v>
      </c>
      <c r="J2301" s="3">
        <v>7.1</v>
      </c>
      <c r="K2301" s="3">
        <v>0.5</v>
      </c>
      <c r="L2301" s="3">
        <v>6.9</v>
      </c>
      <c r="M2301" t="str">
        <f>IF(acs2015_county_data[[#This Row],[PublicWork]]&gt;='Описательные характеристики'!$F$5,"да","нет")</f>
        <v>нет</v>
      </c>
      <c r="N2301" t="str">
        <f>IF(acs2015_county_data[[#This Row],[Unemployment]]&gt;='Описательные характеристики'!$I$5,"да","нет")</f>
        <v>нет</v>
      </c>
    </row>
    <row r="2302" spans="1:14" x14ac:dyDescent="0.35">
      <c r="A2302">
        <v>42113</v>
      </c>
      <c r="B2302" t="s">
        <v>1408</v>
      </c>
      <c r="C2302" t="s">
        <v>589</v>
      </c>
      <c r="D2302" s="2">
        <v>6381</v>
      </c>
      <c r="E2302" s="2">
        <v>25054</v>
      </c>
      <c r="F2302" s="3">
        <v>7.3</v>
      </c>
      <c r="G2302" s="3">
        <v>2632</v>
      </c>
      <c r="H2302" s="3">
        <v>71.3</v>
      </c>
      <c r="I2302" s="3">
        <v>16.3</v>
      </c>
      <c r="J2302" s="3">
        <v>11.8</v>
      </c>
      <c r="K2302" s="3">
        <v>0.6</v>
      </c>
      <c r="L2302" s="3">
        <v>8.6999999999999993</v>
      </c>
      <c r="M2302" t="str">
        <f>IF(acs2015_county_data[[#This Row],[PublicWork]]&gt;='Описательные характеристики'!$F$5,"да","нет")</f>
        <v>да</v>
      </c>
      <c r="N2302" t="str">
        <f>IF(acs2015_county_data[[#This Row],[Unemployment]]&gt;='Описательные характеристики'!$I$5,"да","нет")</f>
        <v>да</v>
      </c>
    </row>
    <row r="2303" spans="1:14" x14ac:dyDescent="0.35">
      <c r="A2303">
        <v>42115</v>
      </c>
      <c r="B2303" t="s">
        <v>1408</v>
      </c>
      <c r="C2303" t="s">
        <v>1437</v>
      </c>
      <c r="D2303" s="2">
        <v>42369</v>
      </c>
      <c r="E2303" s="2">
        <v>25958</v>
      </c>
      <c r="F2303" s="3">
        <v>5.4</v>
      </c>
      <c r="G2303" s="3">
        <v>19048</v>
      </c>
      <c r="H2303" s="3">
        <v>78.3</v>
      </c>
      <c r="I2303" s="3">
        <v>11.2</v>
      </c>
      <c r="J2303" s="3">
        <v>10.199999999999999</v>
      </c>
      <c r="K2303" s="3">
        <v>0.3</v>
      </c>
      <c r="L2303" s="3">
        <v>7.7</v>
      </c>
      <c r="M2303" t="str">
        <f>IF(acs2015_county_data[[#This Row],[PublicWork]]&gt;='Описательные характеристики'!$F$5,"да","нет")</f>
        <v>нет</v>
      </c>
      <c r="N2303" t="str">
        <f>IF(acs2015_county_data[[#This Row],[Unemployment]]&gt;='Описательные характеристики'!$I$5,"да","нет")</f>
        <v>да</v>
      </c>
    </row>
    <row r="2304" spans="1:14" x14ac:dyDescent="0.35">
      <c r="A2304">
        <v>42117</v>
      </c>
      <c r="B2304" t="s">
        <v>1408</v>
      </c>
      <c r="C2304" t="s">
        <v>1212</v>
      </c>
      <c r="D2304" s="2">
        <v>42284</v>
      </c>
      <c r="E2304" s="2">
        <v>23980</v>
      </c>
      <c r="F2304" s="3">
        <v>4.2</v>
      </c>
      <c r="G2304" s="3">
        <v>18289</v>
      </c>
      <c r="H2304" s="3">
        <v>77.099999999999994</v>
      </c>
      <c r="I2304" s="3">
        <v>13.8</v>
      </c>
      <c r="J2304" s="3">
        <v>8.8000000000000007</v>
      </c>
      <c r="K2304" s="3">
        <v>0.3</v>
      </c>
      <c r="L2304" s="3">
        <v>7.4</v>
      </c>
      <c r="M2304" t="str">
        <f>IF(acs2015_county_data[[#This Row],[PublicWork]]&gt;='Описательные характеристики'!$F$5,"да","нет")</f>
        <v>нет</v>
      </c>
      <c r="N2304" t="str">
        <f>IF(acs2015_county_data[[#This Row],[Unemployment]]&gt;='Описательные характеристики'!$I$5,"да","нет")</f>
        <v>нет</v>
      </c>
    </row>
    <row r="2305" spans="1:14" x14ac:dyDescent="0.35">
      <c r="A2305">
        <v>42119</v>
      </c>
      <c r="B2305" t="s">
        <v>1408</v>
      </c>
      <c r="C2305" t="s">
        <v>175</v>
      </c>
      <c r="D2305" s="2">
        <v>44958</v>
      </c>
      <c r="E2305" s="2">
        <v>22863</v>
      </c>
      <c r="F2305" s="3">
        <v>8.9</v>
      </c>
      <c r="G2305" s="3">
        <v>17585</v>
      </c>
      <c r="H2305" s="3">
        <v>79</v>
      </c>
      <c r="I2305" s="3">
        <v>11.5</v>
      </c>
      <c r="J2305" s="3">
        <v>9.1999999999999993</v>
      </c>
      <c r="K2305" s="3">
        <v>0.4</v>
      </c>
      <c r="L2305" s="3">
        <v>6.1</v>
      </c>
      <c r="M2305" t="str">
        <f>IF(acs2015_county_data[[#This Row],[PublicWork]]&gt;='Описательные характеристики'!$F$5,"да","нет")</f>
        <v>нет</v>
      </c>
      <c r="N2305" t="str">
        <f>IF(acs2015_county_data[[#This Row],[Unemployment]]&gt;='Описательные характеристики'!$I$5,"да","нет")</f>
        <v>нет</v>
      </c>
    </row>
    <row r="2306" spans="1:14" x14ac:dyDescent="0.35">
      <c r="A2306">
        <v>42121</v>
      </c>
      <c r="B2306" t="s">
        <v>1408</v>
      </c>
      <c r="C2306" t="s">
        <v>1438</v>
      </c>
      <c r="D2306" s="2">
        <v>53906</v>
      </c>
      <c r="E2306" s="2">
        <v>23380</v>
      </c>
      <c r="F2306" s="3">
        <v>3.9</v>
      </c>
      <c r="G2306" s="3">
        <v>23527</v>
      </c>
      <c r="H2306" s="3">
        <v>77.400000000000006</v>
      </c>
      <c r="I2306" s="3">
        <v>15.7</v>
      </c>
      <c r="J2306" s="3">
        <v>6.6</v>
      </c>
      <c r="K2306" s="3">
        <v>0.2</v>
      </c>
      <c r="L2306" s="3">
        <v>8.1</v>
      </c>
      <c r="M2306" t="str">
        <f>IF(acs2015_county_data[[#This Row],[PublicWork]]&gt;='Описательные характеристики'!$F$5,"да","нет")</f>
        <v>нет</v>
      </c>
      <c r="N2306" t="str">
        <f>IF(acs2015_county_data[[#This Row],[Unemployment]]&gt;='Описательные характеристики'!$I$5,"да","нет")</f>
        <v>да</v>
      </c>
    </row>
    <row r="2307" spans="1:14" x14ac:dyDescent="0.35">
      <c r="A2307">
        <v>42123</v>
      </c>
      <c r="B2307" t="s">
        <v>1408</v>
      </c>
      <c r="C2307" t="s">
        <v>456</v>
      </c>
      <c r="D2307" s="2">
        <v>40962</v>
      </c>
      <c r="E2307" s="2">
        <v>24830</v>
      </c>
      <c r="F2307" s="3">
        <v>2.8</v>
      </c>
      <c r="G2307" s="3">
        <v>18545</v>
      </c>
      <c r="H2307" s="3">
        <v>79.900000000000006</v>
      </c>
      <c r="I2307" s="3">
        <v>12.4</v>
      </c>
      <c r="J2307" s="3">
        <v>7.3</v>
      </c>
      <c r="K2307" s="3">
        <v>0.3</v>
      </c>
      <c r="L2307" s="3">
        <v>6.6</v>
      </c>
      <c r="M2307" t="str">
        <f>IF(acs2015_county_data[[#This Row],[PublicWork]]&gt;='Описательные характеристики'!$F$5,"да","нет")</f>
        <v>нет</v>
      </c>
      <c r="N2307" t="str">
        <f>IF(acs2015_county_data[[#This Row],[Unemployment]]&gt;='Описательные характеристики'!$I$5,"да","нет")</f>
        <v>нет</v>
      </c>
    </row>
    <row r="2308" spans="1:14" x14ac:dyDescent="0.35">
      <c r="A2308">
        <v>42125</v>
      </c>
      <c r="B2308" t="s">
        <v>1408</v>
      </c>
      <c r="C2308" t="s">
        <v>75</v>
      </c>
      <c r="D2308" s="2">
        <v>208226</v>
      </c>
      <c r="E2308" s="2">
        <v>30605</v>
      </c>
      <c r="F2308" s="3">
        <v>4</v>
      </c>
      <c r="G2308" s="3">
        <v>99731</v>
      </c>
      <c r="H2308" s="3">
        <v>86.2</v>
      </c>
      <c r="I2308" s="3">
        <v>8.8000000000000007</v>
      </c>
      <c r="J2308" s="3">
        <v>4.9000000000000004</v>
      </c>
      <c r="K2308" s="3">
        <v>0.1</v>
      </c>
      <c r="L2308" s="3">
        <v>6.5</v>
      </c>
      <c r="M2308" t="str">
        <f>IF(acs2015_county_data[[#This Row],[PublicWork]]&gt;='Описательные характеристики'!$F$5,"да","нет")</f>
        <v>нет</v>
      </c>
      <c r="N2308" t="str">
        <f>IF(acs2015_county_data[[#This Row],[Unemployment]]&gt;='Описательные характеристики'!$I$5,"да","нет")</f>
        <v>нет</v>
      </c>
    </row>
    <row r="2309" spans="1:14" x14ac:dyDescent="0.35">
      <c r="A2309">
        <v>42127</v>
      </c>
      <c r="B2309" t="s">
        <v>1408</v>
      </c>
      <c r="C2309" t="s">
        <v>457</v>
      </c>
      <c r="D2309" s="2">
        <v>51642</v>
      </c>
      <c r="E2309" s="2">
        <v>24539</v>
      </c>
      <c r="F2309" s="3">
        <v>5.7</v>
      </c>
      <c r="G2309" s="3">
        <v>21211</v>
      </c>
      <c r="H2309" s="3">
        <v>77.400000000000006</v>
      </c>
      <c r="I2309" s="3">
        <v>13.7</v>
      </c>
      <c r="J2309" s="3">
        <v>8.6999999999999993</v>
      </c>
      <c r="K2309" s="3">
        <v>0.2</v>
      </c>
      <c r="L2309" s="3">
        <v>7.8</v>
      </c>
      <c r="M2309" t="str">
        <f>IF(acs2015_county_data[[#This Row],[PublicWork]]&gt;='Описательные характеристики'!$F$5,"да","нет")</f>
        <v>нет</v>
      </c>
      <c r="N2309" t="str">
        <f>IF(acs2015_county_data[[#This Row],[Unemployment]]&gt;='Описательные характеристики'!$I$5,"да","нет")</f>
        <v>да</v>
      </c>
    </row>
    <row r="2310" spans="1:14" x14ac:dyDescent="0.35">
      <c r="A2310">
        <v>42129</v>
      </c>
      <c r="B2310" t="s">
        <v>1408</v>
      </c>
      <c r="C2310" t="s">
        <v>1439</v>
      </c>
      <c r="D2310" s="2">
        <v>361251</v>
      </c>
      <c r="E2310" s="2">
        <v>29472</v>
      </c>
      <c r="F2310" s="3">
        <v>3.6</v>
      </c>
      <c r="G2310" s="3">
        <v>173533</v>
      </c>
      <c r="H2310" s="3">
        <v>85.4</v>
      </c>
      <c r="I2310" s="3">
        <v>9.3000000000000007</v>
      </c>
      <c r="J2310" s="3">
        <v>5.2</v>
      </c>
      <c r="K2310" s="3">
        <v>0.1</v>
      </c>
      <c r="L2310" s="3">
        <v>5.6</v>
      </c>
      <c r="M2310" t="str">
        <f>IF(acs2015_county_data[[#This Row],[PublicWork]]&gt;='Описательные характеристики'!$F$5,"да","нет")</f>
        <v>нет</v>
      </c>
      <c r="N2310" t="str">
        <f>IF(acs2015_county_data[[#This Row],[Unemployment]]&gt;='Описательные характеристики'!$I$5,"да","нет")</f>
        <v>нет</v>
      </c>
    </row>
    <row r="2311" spans="1:14" x14ac:dyDescent="0.35">
      <c r="A2311">
        <v>42131</v>
      </c>
      <c r="B2311" t="s">
        <v>1408</v>
      </c>
      <c r="C2311" t="s">
        <v>1216</v>
      </c>
      <c r="D2311" s="2">
        <v>28147</v>
      </c>
      <c r="E2311" s="2">
        <v>26087</v>
      </c>
      <c r="F2311" s="3">
        <v>5.5</v>
      </c>
      <c r="G2311" s="3">
        <v>13003</v>
      </c>
      <c r="H2311" s="3">
        <v>85.1</v>
      </c>
      <c r="I2311" s="3">
        <v>8.3000000000000007</v>
      </c>
      <c r="J2311" s="3">
        <v>6.4</v>
      </c>
      <c r="K2311" s="3">
        <v>0.1</v>
      </c>
      <c r="L2311" s="3">
        <v>7.6</v>
      </c>
      <c r="M2311" t="str">
        <f>IF(acs2015_county_data[[#This Row],[PublicWork]]&gt;='Описательные характеристики'!$F$5,"да","нет")</f>
        <v>нет</v>
      </c>
      <c r="N2311" t="str">
        <f>IF(acs2015_county_data[[#This Row],[Unemployment]]&gt;='Описательные характеристики'!$I$5,"да","нет")</f>
        <v>да</v>
      </c>
    </row>
    <row r="2312" spans="1:14" x14ac:dyDescent="0.35">
      <c r="A2312">
        <v>42133</v>
      </c>
      <c r="B2312" t="s">
        <v>1408</v>
      </c>
      <c r="C2312" t="s">
        <v>824</v>
      </c>
      <c r="D2312" s="2">
        <v>439660</v>
      </c>
      <c r="E2312" s="2">
        <v>28403</v>
      </c>
      <c r="F2312" s="3">
        <v>3.2</v>
      </c>
      <c r="G2312" s="3">
        <v>217393</v>
      </c>
      <c r="H2312" s="3">
        <v>84.1</v>
      </c>
      <c r="I2312" s="3">
        <v>11.1</v>
      </c>
      <c r="J2312" s="3">
        <v>4.7</v>
      </c>
      <c r="K2312" s="3">
        <v>0.1</v>
      </c>
      <c r="L2312" s="3">
        <v>7.3</v>
      </c>
      <c r="M2312" t="str">
        <f>IF(acs2015_county_data[[#This Row],[PublicWork]]&gt;='Описательные характеристики'!$F$5,"да","нет")</f>
        <v>нет</v>
      </c>
      <c r="N2312" t="str">
        <f>IF(acs2015_county_data[[#This Row],[Unemployment]]&gt;='Описательные характеристики'!$I$5,"да","нет")</f>
        <v>нет</v>
      </c>
    </row>
    <row r="2313" spans="1:14" x14ac:dyDescent="0.35">
      <c r="A2313">
        <v>44001</v>
      </c>
      <c r="B2313" t="s">
        <v>1440</v>
      </c>
      <c r="C2313" t="s">
        <v>846</v>
      </c>
      <c r="D2313" s="2">
        <v>49176</v>
      </c>
      <c r="E2313" s="2">
        <v>39196</v>
      </c>
      <c r="F2313" s="3">
        <v>4.8</v>
      </c>
      <c r="G2313" s="3">
        <v>24777</v>
      </c>
      <c r="H2313" s="3">
        <v>79.099999999999994</v>
      </c>
      <c r="I2313" s="3">
        <v>13.6</v>
      </c>
      <c r="J2313" s="3">
        <v>7</v>
      </c>
      <c r="K2313" s="3">
        <v>0.4</v>
      </c>
      <c r="L2313" s="3">
        <v>6.8</v>
      </c>
      <c r="M2313" t="str">
        <f>IF(acs2015_county_data[[#This Row],[PublicWork]]&gt;='Описательные характеристики'!$F$5,"да","нет")</f>
        <v>нет</v>
      </c>
      <c r="N2313" t="str">
        <f>IF(acs2015_county_data[[#This Row],[Unemployment]]&gt;='Описательные характеристики'!$I$5,"да","нет")</f>
        <v>нет</v>
      </c>
    </row>
    <row r="2314" spans="1:14" x14ac:dyDescent="0.35">
      <c r="A2314">
        <v>44003</v>
      </c>
      <c r="B2314" t="s">
        <v>1440</v>
      </c>
      <c r="C2314" t="s">
        <v>301</v>
      </c>
      <c r="D2314" s="2">
        <v>164958</v>
      </c>
      <c r="E2314" s="2">
        <v>34824</v>
      </c>
      <c r="F2314" s="3">
        <v>2.7</v>
      </c>
      <c r="G2314" s="3">
        <v>86274</v>
      </c>
      <c r="H2314" s="3">
        <v>82.6</v>
      </c>
      <c r="I2314" s="3">
        <v>12.7</v>
      </c>
      <c r="J2314" s="3">
        <v>4.5999999999999996</v>
      </c>
      <c r="K2314" s="3">
        <v>0.1</v>
      </c>
      <c r="L2314" s="3">
        <v>8.1999999999999993</v>
      </c>
      <c r="M2314" t="str">
        <f>IF(acs2015_county_data[[#This Row],[PublicWork]]&gt;='Описательные характеристики'!$F$5,"да","нет")</f>
        <v>нет</v>
      </c>
      <c r="N2314" t="str">
        <f>IF(acs2015_county_data[[#This Row],[Unemployment]]&gt;='Описательные характеристики'!$I$5,"да","нет")</f>
        <v>да</v>
      </c>
    </row>
    <row r="2315" spans="1:14" x14ac:dyDescent="0.35">
      <c r="A2315">
        <v>44005</v>
      </c>
      <c r="B2315" t="s">
        <v>1440</v>
      </c>
      <c r="C2315" t="s">
        <v>1441</v>
      </c>
      <c r="D2315" s="2">
        <v>82663</v>
      </c>
      <c r="E2315" s="2">
        <v>40320</v>
      </c>
      <c r="F2315" s="3">
        <v>5.7</v>
      </c>
      <c r="G2315" s="3">
        <v>40977</v>
      </c>
      <c r="H2315" s="3">
        <v>77.400000000000006</v>
      </c>
      <c r="I2315" s="3">
        <v>15</v>
      </c>
      <c r="J2315" s="3">
        <v>7.5</v>
      </c>
      <c r="K2315" s="3">
        <v>0.1</v>
      </c>
      <c r="L2315" s="3">
        <v>6.9</v>
      </c>
      <c r="M2315" t="str">
        <f>IF(acs2015_county_data[[#This Row],[PublicWork]]&gt;='Описательные характеристики'!$F$5,"да","нет")</f>
        <v>нет</v>
      </c>
      <c r="N2315" t="str">
        <f>IF(acs2015_county_data[[#This Row],[Unemployment]]&gt;='Описательные характеристики'!$I$5,"да","нет")</f>
        <v>нет</v>
      </c>
    </row>
    <row r="2316" spans="1:14" x14ac:dyDescent="0.35">
      <c r="A2316">
        <v>44007</v>
      </c>
      <c r="B2316" t="s">
        <v>1440</v>
      </c>
      <c r="C2316" t="s">
        <v>1442</v>
      </c>
      <c r="D2316" s="2">
        <v>630459</v>
      </c>
      <c r="E2316" s="2">
        <v>27162</v>
      </c>
      <c r="F2316" s="3">
        <v>3</v>
      </c>
      <c r="G2316" s="3">
        <v>301318</v>
      </c>
      <c r="H2316" s="3">
        <v>84.6</v>
      </c>
      <c r="I2316" s="3">
        <v>11.3</v>
      </c>
      <c r="J2316" s="3">
        <v>4.0999999999999996</v>
      </c>
      <c r="K2316" s="3">
        <v>0.1</v>
      </c>
      <c r="L2316" s="3">
        <v>9.5</v>
      </c>
      <c r="M2316" t="str">
        <f>IF(acs2015_county_data[[#This Row],[PublicWork]]&gt;='Описательные характеристики'!$F$5,"да","нет")</f>
        <v>нет</v>
      </c>
      <c r="N2316" t="str">
        <f>IF(acs2015_county_data[[#This Row],[Unemployment]]&gt;='Описательные характеристики'!$I$5,"да","нет")</f>
        <v>да</v>
      </c>
    </row>
    <row r="2317" spans="1:14" x14ac:dyDescent="0.35">
      <c r="A2317">
        <v>44009</v>
      </c>
      <c r="B2317" t="s">
        <v>1440</v>
      </c>
      <c r="C2317" t="s">
        <v>75</v>
      </c>
      <c r="D2317" s="2">
        <v>126405</v>
      </c>
      <c r="E2317" s="2">
        <v>36851</v>
      </c>
      <c r="F2317" s="3">
        <v>4.7</v>
      </c>
      <c r="G2317" s="3">
        <v>64824</v>
      </c>
      <c r="H2317" s="3">
        <v>75.900000000000006</v>
      </c>
      <c r="I2317" s="3">
        <v>17.3</v>
      </c>
      <c r="J2317" s="3">
        <v>6.7</v>
      </c>
      <c r="K2317" s="3">
        <v>0.1</v>
      </c>
      <c r="L2317" s="3">
        <v>6.4</v>
      </c>
      <c r="M2317" t="str">
        <f>IF(acs2015_county_data[[#This Row],[PublicWork]]&gt;='Описательные характеристики'!$F$5,"да","нет")</f>
        <v>да</v>
      </c>
      <c r="N2317" t="str">
        <f>IF(acs2015_county_data[[#This Row],[Unemployment]]&gt;='Описательные характеристики'!$I$5,"да","нет")</f>
        <v>нет</v>
      </c>
    </row>
    <row r="2318" spans="1:14" x14ac:dyDescent="0.35">
      <c r="A2318">
        <v>45001</v>
      </c>
      <c r="B2318" t="s">
        <v>1443</v>
      </c>
      <c r="C2318" t="s">
        <v>1444</v>
      </c>
      <c r="D2318" s="2">
        <v>24997</v>
      </c>
      <c r="E2318" s="2">
        <v>18112</v>
      </c>
      <c r="F2318" s="3">
        <v>3</v>
      </c>
      <c r="G2318" s="3">
        <v>9294</v>
      </c>
      <c r="H2318" s="3">
        <v>80.2</v>
      </c>
      <c r="I2318" s="3">
        <v>13.5</v>
      </c>
      <c r="J2318" s="3">
        <v>6.2</v>
      </c>
      <c r="K2318" s="3">
        <v>0</v>
      </c>
      <c r="L2318" s="3">
        <v>10.7</v>
      </c>
      <c r="M2318" t="str">
        <f>IF(acs2015_county_data[[#This Row],[PublicWork]]&gt;='Описательные характеристики'!$F$5,"да","нет")</f>
        <v>нет</v>
      </c>
      <c r="N2318" t="str">
        <f>IF(acs2015_county_data[[#This Row],[Unemployment]]&gt;='Описательные характеристики'!$I$5,"да","нет")</f>
        <v>да</v>
      </c>
    </row>
    <row r="2319" spans="1:14" x14ac:dyDescent="0.35">
      <c r="A2319">
        <v>45003</v>
      </c>
      <c r="B2319" t="s">
        <v>1443</v>
      </c>
      <c r="C2319" t="s">
        <v>1445</v>
      </c>
      <c r="D2319" s="2">
        <v>163908</v>
      </c>
      <c r="E2319" s="2">
        <v>25321</v>
      </c>
      <c r="F2319" s="3">
        <v>2.9</v>
      </c>
      <c r="G2319" s="3">
        <v>69420</v>
      </c>
      <c r="H2319" s="3">
        <v>76.900000000000006</v>
      </c>
      <c r="I2319" s="3">
        <v>17.600000000000001</v>
      </c>
      <c r="J2319" s="3">
        <v>5.2</v>
      </c>
      <c r="K2319" s="3">
        <v>0.3</v>
      </c>
      <c r="L2319" s="3">
        <v>9.9</v>
      </c>
      <c r="M2319" t="str">
        <f>IF(acs2015_county_data[[#This Row],[PublicWork]]&gt;='Описательные характеристики'!$F$5,"да","нет")</f>
        <v>да</v>
      </c>
      <c r="N2319" t="str">
        <f>IF(acs2015_county_data[[#This Row],[Unemployment]]&gt;='Описательные характеристики'!$I$5,"да","нет")</f>
        <v>да</v>
      </c>
    </row>
    <row r="2320" spans="1:14" x14ac:dyDescent="0.35">
      <c r="A2320">
        <v>45005</v>
      </c>
      <c r="B2320" t="s">
        <v>1443</v>
      </c>
      <c r="C2320" t="s">
        <v>1446</v>
      </c>
      <c r="D2320" s="2">
        <v>9838</v>
      </c>
      <c r="E2320" s="2">
        <v>12199</v>
      </c>
      <c r="F2320" s="3">
        <v>3.4</v>
      </c>
      <c r="G2320" s="3">
        <v>2866</v>
      </c>
      <c r="H2320" s="3">
        <v>73.3</v>
      </c>
      <c r="I2320" s="3">
        <v>21.9</v>
      </c>
      <c r="J2320" s="3">
        <v>4.8</v>
      </c>
      <c r="K2320" s="3">
        <v>0</v>
      </c>
      <c r="L2320" s="3">
        <v>22.6</v>
      </c>
      <c r="M2320" t="str">
        <f>IF(acs2015_county_data[[#This Row],[PublicWork]]&gt;='Описательные характеристики'!$F$5,"да","нет")</f>
        <v>да</v>
      </c>
      <c r="N2320" t="str">
        <f>IF(acs2015_county_data[[#This Row],[Unemployment]]&gt;='Описательные характеристики'!$I$5,"да","нет")</f>
        <v>да</v>
      </c>
    </row>
    <row r="2321" spans="1:14" x14ac:dyDescent="0.35">
      <c r="A2321">
        <v>45007</v>
      </c>
      <c r="B2321" t="s">
        <v>1443</v>
      </c>
      <c r="C2321" t="s">
        <v>644</v>
      </c>
      <c r="D2321" s="2">
        <v>191215</v>
      </c>
      <c r="E2321" s="2">
        <v>22400</v>
      </c>
      <c r="F2321" s="3">
        <v>2.4</v>
      </c>
      <c r="G2321" s="3">
        <v>81226</v>
      </c>
      <c r="H2321" s="3">
        <v>81.2</v>
      </c>
      <c r="I2321" s="3">
        <v>13.1</v>
      </c>
      <c r="J2321" s="3">
        <v>5.5</v>
      </c>
      <c r="K2321" s="3">
        <v>0.2</v>
      </c>
      <c r="L2321" s="3">
        <v>9.1999999999999993</v>
      </c>
      <c r="M2321" t="str">
        <f>IF(acs2015_county_data[[#This Row],[PublicWork]]&gt;='Описательные характеристики'!$F$5,"да","нет")</f>
        <v>нет</v>
      </c>
      <c r="N2321" t="str">
        <f>IF(acs2015_county_data[[#This Row],[Unemployment]]&gt;='Описательные характеристики'!$I$5,"да","нет")</f>
        <v>да</v>
      </c>
    </row>
    <row r="2322" spans="1:14" x14ac:dyDescent="0.35">
      <c r="A2322">
        <v>45009</v>
      </c>
      <c r="B2322" t="s">
        <v>1443</v>
      </c>
      <c r="C2322" t="s">
        <v>1447</v>
      </c>
      <c r="D2322" s="2">
        <v>15432</v>
      </c>
      <c r="E2322" s="2">
        <v>18215</v>
      </c>
      <c r="F2322" s="3">
        <v>1.8</v>
      </c>
      <c r="G2322" s="3">
        <v>5527</v>
      </c>
      <c r="H2322" s="3">
        <v>70.900000000000006</v>
      </c>
      <c r="I2322" s="3">
        <v>23.1</v>
      </c>
      <c r="J2322" s="3">
        <v>6</v>
      </c>
      <c r="K2322" s="3">
        <v>0</v>
      </c>
      <c r="L2322" s="3">
        <v>10.9</v>
      </c>
      <c r="M2322" t="str">
        <f>IF(acs2015_county_data[[#This Row],[PublicWork]]&gt;='Описательные характеристики'!$F$5,"да","нет")</f>
        <v>да</v>
      </c>
      <c r="N2322" t="str">
        <f>IF(acs2015_county_data[[#This Row],[Unemployment]]&gt;='Описательные характеристики'!$I$5,"да","нет")</f>
        <v>да</v>
      </c>
    </row>
    <row r="2323" spans="1:14" x14ac:dyDescent="0.35">
      <c r="A2323">
        <v>45011</v>
      </c>
      <c r="B2323" t="s">
        <v>1443</v>
      </c>
      <c r="C2323" t="s">
        <v>1448</v>
      </c>
      <c r="D2323" s="2">
        <v>22098</v>
      </c>
      <c r="E2323" s="2">
        <v>19026</v>
      </c>
      <c r="F2323" s="3">
        <v>1.3</v>
      </c>
      <c r="G2323" s="3">
        <v>8026</v>
      </c>
      <c r="H2323" s="3">
        <v>72.7</v>
      </c>
      <c r="I2323" s="3">
        <v>22.3</v>
      </c>
      <c r="J2323" s="3">
        <v>4.9000000000000004</v>
      </c>
      <c r="K2323" s="3">
        <v>0.1</v>
      </c>
      <c r="L2323" s="3">
        <v>14.7</v>
      </c>
      <c r="M2323" t="str">
        <f>IF(acs2015_county_data[[#This Row],[PublicWork]]&gt;='Описательные характеристики'!$F$5,"да","нет")</f>
        <v>да</v>
      </c>
      <c r="N2323" t="str">
        <f>IF(acs2015_county_data[[#This Row],[Unemployment]]&gt;='Описательные характеристики'!$I$5,"да","нет")</f>
        <v>да</v>
      </c>
    </row>
    <row r="2324" spans="1:14" x14ac:dyDescent="0.35">
      <c r="A2324">
        <v>45013</v>
      </c>
      <c r="B2324" t="s">
        <v>1443</v>
      </c>
      <c r="C2324" t="s">
        <v>1224</v>
      </c>
      <c r="D2324" s="2">
        <v>171420</v>
      </c>
      <c r="E2324" s="2">
        <v>32401</v>
      </c>
      <c r="F2324" s="3">
        <v>6.9</v>
      </c>
      <c r="G2324" s="3">
        <v>70487</v>
      </c>
      <c r="H2324" s="3">
        <v>79</v>
      </c>
      <c r="I2324" s="3">
        <v>14.6</v>
      </c>
      <c r="J2324" s="3">
        <v>6.2</v>
      </c>
      <c r="K2324" s="3">
        <v>0.2</v>
      </c>
      <c r="L2324" s="3">
        <v>7.2</v>
      </c>
      <c r="M2324" t="str">
        <f>IF(acs2015_county_data[[#This Row],[PublicWork]]&gt;='Описательные характеристики'!$F$5,"да","нет")</f>
        <v>нет</v>
      </c>
      <c r="N2324" t="str">
        <f>IF(acs2015_county_data[[#This Row],[Unemployment]]&gt;='Описательные характеристики'!$I$5,"да","нет")</f>
        <v>нет</v>
      </c>
    </row>
    <row r="2325" spans="1:14" x14ac:dyDescent="0.35">
      <c r="A2325">
        <v>45015</v>
      </c>
      <c r="B2325" t="s">
        <v>1443</v>
      </c>
      <c r="C2325" t="s">
        <v>1449</v>
      </c>
      <c r="D2325" s="2">
        <v>193613</v>
      </c>
      <c r="E2325" s="2">
        <v>24826</v>
      </c>
      <c r="F2325" s="3">
        <v>3</v>
      </c>
      <c r="G2325" s="3">
        <v>84494</v>
      </c>
      <c r="H2325" s="3">
        <v>76.5</v>
      </c>
      <c r="I2325" s="3">
        <v>19.100000000000001</v>
      </c>
      <c r="J2325" s="3">
        <v>4.3</v>
      </c>
      <c r="K2325" s="3">
        <v>0.1</v>
      </c>
      <c r="L2325" s="3">
        <v>9.9</v>
      </c>
      <c r="M2325" t="str">
        <f>IF(acs2015_county_data[[#This Row],[PublicWork]]&gt;='Описательные характеристики'!$F$5,"да","нет")</f>
        <v>да</v>
      </c>
      <c r="N2325" t="str">
        <f>IF(acs2015_county_data[[#This Row],[Unemployment]]&gt;='Описательные характеристики'!$I$5,"да","нет")</f>
        <v>да</v>
      </c>
    </row>
    <row r="2326" spans="1:14" x14ac:dyDescent="0.35">
      <c r="A2326">
        <v>45017</v>
      </c>
      <c r="B2326" t="s">
        <v>1443</v>
      </c>
      <c r="C2326" t="s">
        <v>22</v>
      </c>
      <c r="D2326" s="2">
        <v>14958</v>
      </c>
      <c r="E2326" s="2">
        <v>24900</v>
      </c>
      <c r="F2326" s="3">
        <v>3.3</v>
      </c>
      <c r="G2326" s="3">
        <v>6455</v>
      </c>
      <c r="H2326" s="3">
        <v>73.2</v>
      </c>
      <c r="I2326" s="3">
        <v>20.5</v>
      </c>
      <c r="J2326" s="3">
        <v>6.3</v>
      </c>
      <c r="K2326" s="3">
        <v>0</v>
      </c>
      <c r="L2326" s="3">
        <v>8.6</v>
      </c>
      <c r="M2326" t="str">
        <f>IF(acs2015_county_data[[#This Row],[PublicWork]]&gt;='Описательные характеристики'!$F$5,"да","нет")</f>
        <v>да</v>
      </c>
      <c r="N2326" t="str">
        <f>IF(acs2015_county_data[[#This Row],[Unemployment]]&gt;='Описательные характеристики'!$I$5,"да","нет")</f>
        <v>да</v>
      </c>
    </row>
    <row r="2327" spans="1:14" x14ac:dyDescent="0.35">
      <c r="A2327">
        <v>45019</v>
      </c>
      <c r="B2327" t="s">
        <v>1443</v>
      </c>
      <c r="C2327" t="s">
        <v>1450</v>
      </c>
      <c r="D2327" s="2">
        <v>372904</v>
      </c>
      <c r="E2327" s="2">
        <v>32162</v>
      </c>
      <c r="F2327" s="3">
        <v>5.7</v>
      </c>
      <c r="G2327" s="3">
        <v>183111</v>
      </c>
      <c r="H2327" s="3">
        <v>76.099999999999994</v>
      </c>
      <c r="I2327" s="3">
        <v>17.7</v>
      </c>
      <c r="J2327" s="3">
        <v>6</v>
      </c>
      <c r="K2327" s="3">
        <v>0.2</v>
      </c>
      <c r="L2327" s="3">
        <v>7.7</v>
      </c>
      <c r="M2327" t="str">
        <f>IF(acs2015_county_data[[#This Row],[PublicWork]]&gt;='Описательные характеристики'!$F$5,"да","нет")</f>
        <v>да</v>
      </c>
      <c r="N2327" t="str">
        <f>IF(acs2015_county_data[[#This Row],[Unemployment]]&gt;='Описательные характеристики'!$I$5,"да","нет")</f>
        <v>да</v>
      </c>
    </row>
    <row r="2328" spans="1:14" x14ac:dyDescent="0.35">
      <c r="A2328">
        <v>45021</v>
      </c>
      <c r="B2328" t="s">
        <v>1443</v>
      </c>
      <c r="C2328" t="s">
        <v>24</v>
      </c>
      <c r="D2328" s="2">
        <v>55863</v>
      </c>
      <c r="E2328" s="2">
        <v>19279</v>
      </c>
      <c r="F2328" s="3">
        <v>1.2</v>
      </c>
      <c r="G2328" s="3">
        <v>20966</v>
      </c>
      <c r="H2328" s="3">
        <v>83.2</v>
      </c>
      <c r="I2328" s="3">
        <v>12.9</v>
      </c>
      <c r="J2328" s="3">
        <v>3.8</v>
      </c>
      <c r="K2328" s="3">
        <v>0.2</v>
      </c>
      <c r="L2328" s="3">
        <v>10.6</v>
      </c>
      <c r="M2328" t="str">
        <f>IF(acs2015_county_data[[#This Row],[PublicWork]]&gt;='Описательные характеристики'!$F$5,"да","нет")</f>
        <v>нет</v>
      </c>
      <c r="N2328" t="str">
        <f>IF(acs2015_county_data[[#This Row],[Unemployment]]&gt;='Описательные характеристики'!$I$5,"да","нет")</f>
        <v>да</v>
      </c>
    </row>
    <row r="2329" spans="1:14" x14ac:dyDescent="0.35">
      <c r="A2329">
        <v>45023</v>
      </c>
      <c r="B2329" t="s">
        <v>1443</v>
      </c>
      <c r="C2329" t="s">
        <v>1417</v>
      </c>
      <c r="D2329" s="2">
        <v>32556</v>
      </c>
      <c r="E2329" s="2">
        <v>18819</v>
      </c>
      <c r="F2329" s="3">
        <v>3.4</v>
      </c>
      <c r="G2329" s="3">
        <v>12296</v>
      </c>
      <c r="H2329" s="3">
        <v>80</v>
      </c>
      <c r="I2329" s="3">
        <v>15.6</v>
      </c>
      <c r="J2329" s="3">
        <v>4.3</v>
      </c>
      <c r="K2329" s="3">
        <v>0.1</v>
      </c>
      <c r="L2329" s="3">
        <v>13.8</v>
      </c>
      <c r="M2329" t="str">
        <f>IF(acs2015_county_data[[#This Row],[PublicWork]]&gt;='Описательные характеристики'!$F$5,"да","нет")</f>
        <v>нет</v>
      </c>
      <c r="N2329" t="str">
        <f>IF(acs2015_county_data[[#This Row],[Unemployment]]&gt;='Описательные характеристики'!$I$5,"да","нет")</f>
        <v>да</v>
      </c>
    </row>
    <row r="2330" spans="1:14" x14ac:dyDescent="0.35">
      <c r="A2330">
        <v>45025</v>
      </c>
      <c r="B2330" t="s">
        <v>1443</v>
      </c>
      <c r="C2330" t="s">
        <v>1451</v>
      </c>
      <c r="D2330" s="2">
        <v>46192</v>
      </c>
      <c r="E2330" s="2">
        <v>17840</v>
      </c>
      <c r="F2330" s="3">
        <v>1.5</v>
      </c>
      <c r="G2330" s="3">
        <v>17730</v>
      </c>
      <c r="H2330" s="3">
        <v>78.5</v>
      </c>
      <c r="I2330" s="3">
        <v>15.3</v>
      </c>
      <c r="J2330" s="3">
        <v>6.1</v>
      </c>
      <c r="K2330" s="3">
        <v>0.1</v>
      </c>
      <c r="L2330" s="3">
        <v>10.3</v>
      </c>
      <c r="M2330" t="str">
        <f>IF(acs2015_county_data[[#This Row],[PublicWork]]&gt;='Описательные характеристики'!$F$5,"да","нет")</f>
        <v>нет</v>
      </c>
      <c r="N2330" t="str">
        <f>IF(acs2015_county_data[[#This Row],[Unemployment]]&gt;='Описательные характеристики'!$I$5,"да","нет")</f>
        <v>да</v>
      </c>
    </row>
    <row r="2331" spans="1:14" x14ac:dyDescent="0.35">
      <c r="A2331">
        <v>45027</v>
      </c>
      <c r="B2331" t="s">
        <v>1443</v>
      </c>
      <c r="C2331" t="s">
        <v>1452</v>
      </c>
      <c r="D2331" s="2">
        <v>34178</v>
      </c>
      <c r="E2331" s="2">
        <v>18535</v>
      </c>
      <c r="F2331" s="3">
        <v>2.6</v>
      </c>
      <c r="G2331" s="3">
        <v>11443</v>
      </c>
      <c r="H2331" s="3">
        <v>75.400000000000006</v>
      </c>
      <c r="I2331" s="3">
        <v>17.8</v>
      </c>
      <c r="J2331" s="3">
        <v>6.8</v>
      </c>
      <c r="K2331" s="3">
        <v>0</v>
      </c>
      <c r="L2331" s="3">
        <v>16.2</v>
      </c>
      <c r="M2331" t="str">
        <f>IF(acs2015_county_data[[#This Row],[PublicWork]]&gt;='Описательные характеристики'!$F$5,"да","нет")</f>
        <v>да</v>
      </c>
      <c r="N2331" t="str">
        <f>IF(acs2015_county_data[[#This Row],[Unemployment]]&gt;='Описательные характеристики'!$I$5,"да","нет")</f>
        <v>да</v>
      </c>
    </row>
    <row r="2332" spans="1:14" x14ac:dyDescent="0.35">
      <c r="A2332">
        <v>45029</v>
      </c>
      <c r="B2332" t="s">
        <v>1443</v>
      </c>
      <c r="C2332" t="s">
        <v>1453</v>
      </c>
      <c r="D2332" s="2">
        <v>38004</v>
      </c>
      <c r="E2332" s="2">
        <v>19015</v>
      </c>
      <c r="F2332" s="3">
        <v>2.7</v>
      </c>
      <c r="G2332" s="3">
        <v>14841</v>
      </c>
      <c r="H2332" s="3">
        <v>70.599999999999994</v>
      </c>
      <c r="I2332" s="3">
        <v>20.399999999999999</v>
      </c>
      <c r="J2332" s="3">
        <v>8.8000000000000007</v>
      </c>
      <c r="K2332" s="3">
        <v>0.2</v>
      </c>
      <c r="L2332" s="3">
        <v>12.4</v>
      </c>
      <c r="M2332" t="str">
        <f>IF(acs2015_county_data[[#This Row],[PublicWork]]&gt;='Описательные характеристики'!$F$5,"да","нет")</f>
        <v>да</v>
      </c>
      <c r="N2332" t="str">
        <f>IF(acs2015_county_data[[#This Row],[Unemployment]]&gt;='Описательные характеристики'!$I$5,"да","нет")</f>
        <v>да</v>
      </c>
    </row>
    <row r="2333" spans="1:14" x14ac:dyDescent="0.35">
      <c r="A2333">
        <v>45031</v>
      </c>
      <c r="B2333" t="s">
        <v>1443</v>
      </c>
      <c r="C2333" t="s">
        <v>1454</v>
      </c>
      <c r="D2333" s="2">
        <v>67922</v>
      </c>
      <c r="E2333" s="2">
        <v>19810</v>
      </c>
      <c r="F2333" s="3">
        <v>3</v>
      </c>
      <c r="G2333" s="3">
        <v>25949</v>
      </c>
      <c r="H2333" s="3">
        <v>79.8</v>
      </c>
      <c r="I2333" s="3">
        <v>14.5</v>
      </c>
      <c r="J2333" s="3">
        <v>5.5</v>
      </c>
      <c r="K2333" s="3">
        <v>0.3</v>
      </c>
      <c r="L2333" s="3">
        <v>15.9</v>
      </c>
      <c r="M2333" t="str">
        <f>IF(acs2015_county_data[[#This Row],[PublicWork]]&gt;='Описательные характеристики'!$F$5,"да","нет")</f>
        <v>нет</v>
      </c>
      <c r="N2333" t="str">
        <f>IF(acs2015_county_data[[#This Row],[Unemployment]]&gt;='Описательные характеристики'!$I$5,"да","нет")</f>
        <v>да</v>
      </c>
    </row>
    <row r="2334" spans="1:14" x14ac:dyDescent="0.35">
      <c r="A2334">
        <v>45033</v>
      </c>
      <c r="B2334" t="s">
        <v>1443</v>
      </c>
      <c r="C2334" t="s">
        <v>1455</v>
      </c>
      <c r="D2334" s="2">
        <v>31435</v>
      </c>
      <c r="E2334" s="2">
        <v>14736</v>
      </c>
      <c r="F2334" s="3">
        <v>1.9</v>
      </c>
      <c r="G2334" s="3">
        <v>10805</v>
      </c>
      <c r="H2334" s="3">
        <v>80</v>
      </c>
      <c r="I2334" s="3">
        <v>15.6</v>
      </c>
      <c r="J2334" s="3">
        <v>4.3</v>
      </c>
      <c r="K2334" s="3">
        <v>0.1</v>
      </c>
      <c r="L2334" s="3">
        <v>13.2</v>
      </c>
      <c r="M2334" t="str">
        <f>IF(acs2015_county_data[[#This Row],[PublicWork]]&gt;='Описательные характеристики'!$F$5,"да","нет")</f>
        <v>нет</v>
      </c>
      <c r="N2334" t="str">
        <f>IF(acs2015_county_data[[#This Row],[Unemployment]]&gt;='Описательные характеристики'!$I$5,"да","нет")</f>
        <v>да</v>
      </c>
    </row>
    <row r="2335" spans="1:14" x14ac:dyDescent="0.35">
      <c r="A2335">
        <v>45035</v>
      </c>
      <c r="B2335" t="s">
        <v>1443</v>
      </c>
      <c r="C2335" t="s">
        <v>833</v>
      </c>
      <c r="D2335" s="2">
        <v>145715</v>
      </c>
      <c r="E2335" s="2">
        <v>25223</v>
      </c>
      <c r="F2335" s="3">
        <v>3.8</v>
      </c>
      <c r="G2335" s="3">
        <v>66723</v>
      </c>
      <c r="H2335" s="3">
        <v>77</v>
      </c>
      <c r="I2335" s="3">
        <v>18.3</v>
      </c>
      <c r="J2335" s="3">
        <v>4.5</v>
      </c>
      <c r="K2335" s="3">
        <v>0.2</v>
      </c>
      <c r="L2335" s="3">
        <v>8</v>
      </c>
      <c r="M2335" t="str">
        <f>IF(acs2015_county_data[[#This Row],[PublicWork]]&gt;='Описательные характеристики'!$F$5,"да","нет")</f>
        <v>да</v>
      </c>
      <c r="N2335" t="str">
        <f>IF(acs2015_county_data[[#This Row],[Unemployment]]&gt;='Описательные характеристики'!$I$5,"да","нет")</f>
        <v>да</v>
      </c>
    </row>
    <row r="2336" spans="1:14" x14ac:dyDescent="0.35">
      <c r="A2336">
        <v>45037</v>
      </c>
      <c r="B2336" t="s">
        <v>1443</v>
      </c>
      <c r="C2336" t="s">
        <v>1456</v>
      </c>
      <c r="D2336" s="2">
        <v>26466</v>
      </c>
      <c r="E2336" s="2">
        <v>21723</v>
      </c>
      <c r="F2336" s="3">
        <v>2.4</v>
      </c>
      <c r="G2336" s="3">
        <v>10099</v>
      </c>
      <c r="H2336" s="3">
        <v>75</v>
      </c>
      <c r="I2336" s="3">
        <v>17.5</v>
      </c>
      <c r="J2336" s="3">
        <v>7.4</v>
      </c>
      <c r="K2336" s="3">
        <v>0.1</v>
      </c>
      <c r="L2336" s="3">
        <v>8.9</v>
      </c>
      <c r="M2336" t="str">
        <f>IF(acs2015_county_data[[#This Row],[PublicWork]]&gt;='Описательные характеристики'!$F$5,"да","нет")</f>
        <v>да</v>
      </c>
      <c r="N2336" t="str">
        <f>IF(acs2015_county_data[[#This Row],[Unemployment]]&gt;='Описательные характеристики'!$I$5,"да","нет")</f>
        <v>да</v>
      </c>
    </row>
    <row r="2337" spans="1:14" x14ac:dyDescent="0.35">
      <c r="A2337">
        <v>45039</v>
      </c>
      <c r="B2337" t="s">
        <v>1443</v>
      </c>
      <c r="C2337" t="s">
        <v>292</v>
      </c>
      <c r="D2337" s="2">
        <v>23108</v>
      </c>
      <c r="E2337" s="2">
        <v>20401</v>
      </c>
      <c r="F2337" s="3">
        <v>3.4</v>
      </c>
      <c r="G2337" s="3">
        <v>8693</v>
      </c>
      <c r="H2337" s="3">
        <v>78</v>
      </c>
      <c r="I2337" s="3">
        <v>18.8</v>
      </c>
      <c r="J2337" s="3">
        <v>3.2</v>
      </c>
      <c r="K2337" s="3">
        <v>0.1</v>
      </c>
      <c r="L2337" s="3">
        <v>12.8</v>
      </c>
      <c r="M2337" t="str">
        <f>IF(acs2015_county_data[[#This Row],[PublicWork]]&gt;='Описательные характеристики'!$F$5,"да","нет")</f>
        <v>да</v>
      </c>
      <c r="N2337" t="str">
        <f>IF(acs2015_county_data[[#This Row],[Unemployment]]&gt;='Описательные характеристики'!$I$5,"да","нет")</f>
        <v>да</v>
      </c>
    </row>
    <row r="2338" spans="1:14" x14ac:dyDescent="0.35">
      <c r="A2338">
        <v>45041</v>
      </c>
      <c r="B2338" t="s">
        <v>1443</v>
      </c>
      <c r="C2338" t="s">
        <v>1457</v>
      </c>
      <c r="D2338" s="2">
        <v>138330</v>
      </c>
      <c r="E2338" s="2">
        <v>22877</v>
      </c>
      <c r="F2338" s="3">
        <v>3.7</v>
      </c>
      <c r="G2338" s="3">
        <v>58296</v>
      </c>
      <c r="H2338" s="3">
        <v>78</v>
      </c>
      <c r="I2338" s="3">
        <v>16.399999999999999</v>
      </c>
      <c r="J2338" s="3">
        <v>5.5</v>
      </c>
      <c r="K2338" s="3">
        <v>0.1</v>
      </c>
      <c r="L2338" s="3">
        <v>12.1</v>
      </c>
      <c r="M2338" t="str">
        <f>IF(acs2015_county_data[[#This Row],[PublicWork]]&gt;='Описательные характеристики'!$F$5,"да","нет")</f>
        <v>да</v>
      </c>
      <c r="N2338" t="str">
        <f>IF(acs2015_county_data[[#This Row],[Unemployment]]&gt;='Описательные характеристики'!$I$5,"да","нет")</f>
        <v>да</v>
      </c>
    </row>
    <row r="2339" spans="1:14" x14ac:dyDescent="0.35">
      <c r="A2339">
        <v>45043</v>
      </c>
      <c r="B2339" t="s">
        <v>1443</v>
      </c>
      <c r="C2339" t="s">
        <v>1458</v>
      </c>
      <c r="D2339" s="2">
        <v>60572</v>
      </c>
      <c r="E2339" s="2">
        <v>25216</v>
      </c>
      <c r="F2339" s="3">
        <v>4.2</v>
      </c>
      <c r="G2339" s="3">
        <v>22756</v>
      </c>
      <c r="H2339" s="3">
        <v>78.900000000000006</v>
      </c>
      <c r="I2339" s="3">
        <v>13.3</v>
      </c>
      <c r="J2339" s="3">
        <v>7.6</v>
      </c>
      <c r="K2339" s="3">
        <v>0.1</v>
      </c>
      <c r="L2339" s="3">
        <v>11.2</v>
      </c>
      <c r="M2339" t="str">
        <f>IF(acs2015_county_data[[#This Row],[PublicWork]]&gt;='Описательные характеристики'!$F$5,"да","нет")</f>
        <v>нет</v>
      </c>
      <c r="N2339" t="str">
        <f>IF(acs2015_county_data[[#This Row],[Unemployment]]&gt;='Описательные характеристики'!$I$5,"да","нет")</f>
        <v>да</v>
      </c>
    </row>
    <row r="2340" spans="1:14" x14ac:dyDescent="0.35">
      <c r="A2340">
        <v>45045</v>
      </c>
      <c r="B2340" t="s">
        <v>1443</v>
      </c>
      <c r="C2340" t="s">
        <v>1459</v>
      </c>
      <c r="D2340" s="2">
        <v>474903</v>
      </c>
      <c r="E2340" s="2">
        <v>27200</v>
      </c>
      <c r="F2340" s="3">
        <v>4.0999999999999996</v>
      </c>
      <c r="G2340" s="3">
        <v>219810</v>
      </c>
      <c r="H2340" s="3">
        <v>85</v>
      </c>
      <c r="I2340" s="3">
        <v>9.6</v>
      </c>
      <c r="J2340" s="3">
        <v>5.3</v>
      </c>
      <c r="K2340" s="3">
        <v>0.1</v>
      </c>
      <c r="L2340" s="3">
        <v>7.6</v>
      </c>
      <c r="M2340" t="str">
        <f>IF(acs2015_county_data[[#This Row],[PublicWork]]&gt;='Описательные характеристики'!$F$5,"да","нет")</f>
        <v>нет</v>
      </c>
      <c r="N2340" t="str">
        <f>IF(acs2015_county_data[[#This Row],[Unemployment]]&gt;='Описательные характеристики'!$I$5,"да","нет")</f>
        <v>да</v>
      </c>
    </row>
    <row r="2341" spans="1:14" x14ac:dyDescent="0.35">
      <c r="A2341">
        <v>45047</v>
      </c>
      <c r="B2341" t="s">
        <v>1443</v>
      </c>
      <c r="C2341" t="s">
        <v>663</v>
      </c>
      <c r="D2341" s="2">
        <v>69771</v>
      </c>
      <c r="E2341" s="2">
        <v>21287</v>
      </c>
      <c r="F2341" s="3">
        <v>2.9</v>
      </c>
      <c r="G2341" s="3">
        <v>28506</v>
      </c>
      <c r="H2341" s="3">
        <v>81</v>
      </c>
      <c r="I2341" s="3">
        <v>13.9</v>
      </c>
      <c r="J2341" s="3">
        <v>5</v>
      </c>
      <c r="K2341" s="3">
        <v>0.1</v>
      </c>
      <c r="L2341" s="3">
        <v>12.9</v>
      </c>
      <c r="M2341" t="str">
        <f>IF(acs2015_county_data[[#This Row],[PublicWork]]&gt;='Описательные характеристики'!$F$5,"да","нет")</f>
        <v>нет</v>
      </c>
      <c r="N2341" t="str">
        <f>IF(acs2015_county_data[[#This Row],[Unemployment]]&gt;='Описательные характеристики'!$I$5,"да","нет")</f>
        <v>да</v>
      </c>
    </row>
    <row r="2342" spans="1:14" x14ac:dyDescent="0.35">
      <c r="A2342">
        <v>45049</v>
      </c>
      <c r="B2342" t="s">
        <v>1443</v>
      </c>
      <c r="C2342" t="s">
        <v>1460</v>
      </c>
      <c r="D2342" s="2">
        <v>20473</v>
      </c>
      <c r="E2342" s="2">
        <v>20046</v>
      </c>
      <c r="F2342" s="3">
        <v>1.3</v>
      </c>
      <c r="G2342" s="3">
        <v>7787</v>
      </c>
      <c r="H2342" s="3">
        <v>71.5</v>
      </c>
      <c r="I2342" s="3">
        <v>20.5</v>
      </c>
      <c r="J2342" s="3">
        <v>7.6</v>
      </c>
      <c r="K2342" s="3">
        <v>0.4</v>
      </c>
      <c r="L2342" s="3">
        <v>11</v>
      </c>
      <c r="M2342" t="str">
        <f>IF(acs2015_county_data[[#This Row],[PublicWork]]&gt;='Описательные характеристики'!$F$5,"да","нет")</f>
        <v>да</v>
      </c>
      <c r="N2342" t="str">
        <f>IF(acs2015_county_data[[#This Row],[Unemployment]]&gt;='Описательные характеристики'!$I$5,"да","нет")</f>
        <v>да</v>
      </c>
    </row>
    <row r="2343" spans="1:14" x14ac:dyDescent="0.35">
      <c r="A2343">
        <v>45051</v>
      </c>
      <c r="B2343" t="s">
        <v>1443</v>
      </c>
      <c r="C2343" t="s">
        <v>1461</v>
      </c>
      <c r="D2343" s="2">
        <v>290730</v>
      </c>
      <c r="E2343" s="2">
        <v>24094</v>
      </c>
      <c r="F2343" s="3">
        <v>3.4</v>
      </c>
      <c r="G2343" s="3">
        <v>129161</v>
      </c>
      <c r="H2343" s="3">
        <v>81.7</v>
      </c>
      <c r="I2343" s="3">
        <v>12</v>
      </c>
      <c r="J2343" s="3">
        <v>6.1</v>
      </c>
      <c r="K2343" s="3">
        <v>0.1</v>
      </c>
      <c r="L2343" s="3">
        <v>8.6999999999999993</v>
      </c>
      <c r="M2343" t="str">
        <f>IF(acs2015_county_data[[#This Row],[PublicWork]]&gt;='Описательные характеристики'!$F$5,"да","нет")</f>
        <v>нет</v>
      </c>
      <c r="N2343" t="str">
        <f>IF(acs2015_county_data[[#This Row],[Unemployment]]&gt;='Описательные характеристики'!$I$5,"да","нет")</f>
        <v>да</v>
      </c>
    </row>
    <row r="2344" spans="1:14" x14ac:dyDescent="0.35">
      <c r="A2344">
        <v>45053</v>
      </c>
      <c r="B2344" t="s">
        <v>1443</v>
      </c>
      <c r="C2344" t="s">
        <v>412</v>
      </c>
      <c r="D2344" s="2">
        <v>26549</v>
      </c>
      <c r="E2344" s="2">
        <v>17565</v>
      </c>
      <c r="F2344" s="3">
        <v>3.6</v>
      </c>
      <c r="G2344" s="3">
        <v>11707</v>
      </c>
      <c r="H2344" s="3">
        <v>77.599999999999994</v>
      </c>
      <c r="I2344" s="3">
        <v>14.7</v>
      </c>
      <c r="J2344" s="3">
        <v>7.7</v>
      </c>
      <c r="K2344" s="3">
        <v>0.1</v>
      </c>
      <c r="L2344" s="3">
        <v>11.9</v>
      </c>
      <c r="M2344" t="str">
        <f>IF(acs2015_county_data[[#This Row],[PublicWork]]&gt;='Описательные характеристики'!$F$5,"да","нет")</f>
        <v>нет</v>
      </c>
      <c r="N2344" t="str">
        <f>IF(acs2015_county_data[[#This Row],[Unemployment]]&gt;='Описательные характеристики'!$I$5,"да","нет")</f>
        <v>да</v>
      </c>
    </row>
    <row r="2345" spans="1:14" x14ac:dyDescent="0.35">
      <c r="A2345">
        <v>45055</v>
      </c>
      <c r="B2345" t="s">
        <v>1443</v>
      </c>
      <c r="C2345" t="s">
        <v>1462</v>
      </c>
      <c r="D2345" s="2">
        <v>62722</v>
      </c>
      <c r="E2345" s="2">
        <v>22434</v>
      </c>
      <c r="F2345" s="3">
        <v>3.3</v>
      </c>
      <c r="G2345" s="3">
        <v>26360</v>
      </c>
      <c r="H2345" s="3">
        <v>77.099999999999994</v>
      </c>
      <c r="I2345" s="3">
        <v>17.5</v>
      </c>
      <c r="J2345" s="3">
        <v>5.2</v>
      </c>
      <c r="K2345" s="3">
        <v>0.2</v>
      </c>
      <c r="L2345" s="3">
        <v>10.5</v>
      </c>
      <c r="M2345" t="str">
        <f>IF(acs2015_county_data[[#This Row],[PublicWork]]&gt;='Описательные характеристики'!$F$5,"да","нет")</f>
        <v>да</v>
      </c>
      <c r="N2345" t="str">
        <f>IF(acs2015_county_data[[#This Row],[Unemployment]]&gt;='Описательные характеристики'!$I$5,"да","нет")</f>
        <v>да</v>
      </c>
    </row>
    <row r="2346" spans="1:14" x14ac:dyDescent="0.35">
      <c r="A2346">
        <v>45057</v>
      </c>
      <c r="B2346" t="s">
        <v>1443</v>
      </c>
      <c r="C2346" t="s">
        <v>1117</v>
      </c>
      <c r="D2346" s="2">
        <v>81263</v>
      </c>
      <c r="E2346" s="2">
        <v>22647</v>
      </c>
      <c r="F2346" s="3">
        <v>3.1</v>
      </c>
      <c r="G2346" s="3">
        <v>33151</v>
      </c>
      <c r="H2346" s="3">
        <v>82.4</v>
      </c>
      <c r="I2346" s="3">
        <v>12.3</v>
      </c>
      <c r="J2346" s="3">
        <v>5.2</v>
      </c>
      <c r="K2346" s="3">
        <v>0.2</v>
      </c>
      <c r="L2346" s="3">
        <v>9.9</v>
      </c>
      <c r="M2346" t="str">
        <f>IF(acs2015_county_data[[#This Row],[PublicWork]]&gt;='Описательные характеристики'!$F$5,"да","нет")</f>
        <v>нет</v>
      </c>
      <c r="N2346" t="str">
        <f>IF(acs2015_county_data[[#This Row],[Unemployment]]&gt;='Описательные характеристики'!$I$5,"да","нет")</f>
        <v>да</v>
      </c>
    </row>
    <row r="2347" spans="1:14" x14ac:dyDescent="0.35">
      <c r="A2347">
        <v>45059</v>
      </c>
      <c r="B2347" t="s">
        <v>1443</v>
      </c>
      <c r="C2347" t="s">
        <v>417</v>
      </c>
      <c r="D2347" s="2">
        <v>66389</v>
      </c>
      <c r="E2347" s="2">
        <v>20072</v>
      </c>
      <c r="F2347" s="3">
        <v>2.1</v>
      </c>
      <c r="G2347" s="3">
        <v>27397</v>
      </c>
      <c r="H2347" s="3">
        <v>81</v>
      </c>
      <c r="I2347" s="3">
        <v>14.2</v>
      </c>
      <c r="J2347" s="3">
        <v>4.7</v>
      </c>
      <c r="K2347" s="3">
        <v>0.1</v>
      </c>
      <c r="L2347" s="3">
        <v>10.7</v>
      </c>
      <c r="M2347" t="str">
        <f>IF(acs2015_county_data[[#This Row],[PublicWork]]&gt;='Описательные характеристики'!$F$5,"да","нет")</f>
        <v>нет</v>
      </c>
      <c r="N2347" t="str">
        <f>IF(acs2015_county_data[[#This Row],[Unemployment]]&gt;='Описательные характеристики'!$I$5,"да","нет")</f>
        <v>да</v>
      </c>
    </row>
    <row r="2348" spans="1:14" x14ac:dyDescent="0.35">
      <c r="A2348">
        <v>45061</v>
      </c>
      <c r="B2348" t="s">
        <v>1443</v>
      </c>
      <c r="C2348" t="s">
        <v>53</v>
      </c>
      <c r="D2348" s="2">
        <v>18461</v>
      </c>
      <c r="E2348" s="2">
        <v>15662</v>
      </c>
      <c r="F2348" s="3">
        <v>1.5</v>
      </c>
      <c r="G2348" s="3">
        <v>6146</v>
      </c>
      <c r="H2348" s="3">
        <v>76.599999999999994</v>
      </c>
      <c r="I2348" s="3">
        <v>19.2</v>
      </c>
      <c r="J2348" s="3">
        <v>4.0999999999999996</v>
      </c>
      <c r="K2348" s="3">
        <v>0.1</v>
      </c>
      <c r="L2348" s="3">
        <v>14.9</v>
      </c>
      <c r="M2348" t="str">
        <f>IF(acs2015_county_data[[#This Row],[PublicWork]]&gt;='Описательные характеристики'!$F$5,"да","нет")</f>
        <v>да</v>
      </c>
      <c r="N2348" t="str">
        <f>IF(acs2015_county_data[[#This Row],[Unemployment]]&gt;='Описательные характеристики'!$I$5,"да","нет")</f>
        <v>да</v>
      </c>
    </row>
    <row r="2349" spans="1:14" x14ac:dyDescent="0.35">
      <c r="A2349">
        <v>45063</v>
      </c>
      <c r="B2349" t="s">
        <v>1443</v>
      </c>
      <c r="C2349" t="s">
        <v>1463</v>
      </c>
      <c r="D2349" s="2">
        <v>273843</v>
      </c>
      <c r="E2349" s="2">
        <v>27248</v>
      </c>
      <c r="F2349" s="3">
        <v>4</v>
      </c>
      <c r="G2349" s="3">
        <v>132105</v>
      </c>
      <c r="H2349" s="3">
        <v>76.099999999999994</v>
      </c>
      <c r="I2349" s="3">
        <v>18.399999999999999</v>
      </c>
      <c r="J2349" s="3">
        <v>5.3</v>
      </c>
      <c r="K2349" s="3">
        <v>0.2</v>
      </c>
      <c r="L2349" s="3">
        <v>7.5</v>
      </c>
      <c r="M2349" t="str">
        <f>IF(acs2015_county_data[[#This Row],[PublicWork]]&gt;='Описательные характеристики'!$F$5,"да","нет")</f>
        <v>да</v>
      </c>
      <c r="N2349" t="str">
        <f>IF(acs2015_county_data[[#This Row],[Unemployment]]&gt;='Описательные характеристики'!$I$5,"да","нет")</f>
        <v>нет</v>
      </c>
    </row>
    <row r="2350" spans="1:14" x14ac:dyDescent="0.35">
      <c r="A2350">
        <v>45065</v>
      </c>
      <c r="B2350" t="s">
        <v>1443</v>
      </c>
      <c r="C2350" t="s">
        <v>1464</v>
      </c>
      <c r="D2350" s="2">
        <v>9895</v>
      </c>
      <c r="E2350" s="2">
        <v>22201</v>
      </c>
      <c r="F2350" s="3">
        <v>2.8</v>
      </c>
      <c r="G2350" s="3">
        <v>2970</v>
      </c>
      <c r="H2350" s="3">
        <v>61.5</v>
      </c>
      <c r="I2350" s="3">
        <v>31.6</v>
      </c>
      <c r="J2350" s="3">
        <v>6.9</v>
      </c>
      <c r="K2350" s="3">
        <v>0</v>
      </c>
      <c r="L2350" s="3">
        <v>14.3</v>
      </c>
      <c r="M2350" t="str">
        <f>IF(acs2015_county_data[[#This Row],[PublicWork]]&gt;='Описательные характеристики'!$F$5,"да","нет")</f>
        <v>да</v>
      </c>
      <c r="N2350" t="str">
        <f>IF(acs2015_county_data[[#This Row],[Unemployment]]&gt;='Описательные характеристики'!$I$5,"да","нет")</f>
        <v>да</v>
      </c>
    </row>
    <row r="2351" spans="1:14" x14ac:dyDescent="0.35">
      <c r="A2351">
        <v>45067</v>
      </c>
      <c r="B2351" t="s">
        <v>1443</v>
      </c>
      <c r="C2351" t="s">
        <v>59</v>
      </c>
      <c r="D2351" s="2">
        <v>32167</v>
      </c>
      <c r="E2351" s="2">
        <v>17553</v>
      </c>
      <c r="F2351" s="3">
        <v>2.2000000000000002</v>
      </c>
      <c r="G2351" s="3">
        <v>11875</v>
      </c>
      <c r="H2351" s="3">
        <v>81.3</v>
      </c>
      <c r="I2351" s="3">
        <v>13.9</v>
      </c>
      <c r="J2351" s="3">
        <v>4.8</v>
      </c>
      <c r="K2351" s="3">
        <v>0</v>
      </c>
      <c r="L2351" s="3">
        <v>13.9</v>
      </c>
      <c r="M2351" t="str">
        <f>IF(acs2015_county_data[[#This Row],[PublicWork]]&gt;='Описательные характеристики'!$F$5,"да","нет")</f>
        <v>нет</v>
      </c>
      <c r="N2351" t="str">
        <f>IF(acs2015_county_data[[#This Row],[Unemployment]]&gt;='Описательные характеристики'!$I$5,"да","нет")</f>
        <v>да</v>
      </c>
    </row>
    <row r="2352" spans="1:14" x14ac:dyDescent="0.35">
      <c r="A2352">
        <v>45069</v>
      </c>
      <c r="B2352" t="s">
        <v>1443</v>
      </c>
      <c r="C2352" t="s">
        <v>1465</v>
      </c>
      <c r="D2352" s="2">
        <v>27993</v>
      </c>
      <c r="E2352" s="2">
        <v>15682</v>
      </c>
      <c r="F2352" s="3">
        <v>1.5</v>
      </c>
      <c r="G2352" s="3">
        <v>9600</v>
      </c>
      <c r="H2352" s="3">
        <v>78.400000000000006</v>
      </c>
      <c r="I2352" s="3">
        <v>16.399999999999999</v>
      </c>
      <c r="J2352" s="3">
        <v>5.2</v>
      </c>
      <c r="K2352" s="3">
        <v>0</v>
      </c>
      <c r="L2352" s="3">
        <v>15.5</v>
      </c>
      <c r="M2352" t="str">
        <f>IF(acs2015_county_data[[#This Row],[PublicWork]]&gt;='Описательные характеристики'!$F$5,"да","нет")</f>
        <v>да</v>
      </c>
      <c r="N2352" t="str">
        <f>IF(acs2015_county_data[[#This Row],[Unemployment]]&gt;='Описательные характеристики'!$I$5,"да","нет")</f>
        <v>да</v>
      </c>
    </row>
    <row r="2353" spans="1:14" x14ac:dyDescent="0.35">
      <c r="A2353">
        <v>45071</v>
      </c>
      <c r="B2353" t="s">
        <v>1443</v>
      </c>
      <c r="C2353" t="s">
        <v>1466</v>
      </c>
      <c r="D2353" s="2">
        <v>37690</v>
      </c>
      <c r="E2353" s="2">
        <v>21267</v>
      </c>
      <c r="F2353" s="3">
        <v>2.2999999999999998</v>
      </c>
      <c r="G2353" s="3">
        <v>15784</v>
      </c>
      <c r="H2353" s="3">
        <v>79</v>
      </c>
      <c r="I2353" s="3">
        <v>16.5</v>
      </c>
      <c r="J2353" s="3">
        <v>4.5</v>
      </c>
      <c r="K2353" s="3">
        <v>0</v>
      </c>
      <c r="L2353" s="3">
        <v>10.199999999999999</v>
      </c>
      <c r="M2353" t="str">
        <f>IF(acs2015_county_data[[#This Row],[PublicWork]]&gt;='Описательные характеристики'!$F$5,"да","нет")</f>
        <v>да</v>
      </c>
      <c r="N2353" t="str">
        <f>IF(acs2015_county_data[[#This Row],[Unemployment]]&gt;='Описательные характеристики'!$I$5,"да","нет")</f>
        <v>да</v>
      </c>
    </row>
    <row r="2354" spans="1:14" x14ac:dyDescent="0.35">
      <c r="A2354">
        <v>45073</v>
      </c>
      <c r="B2354" t="s">
        <v>1443</v>
      </c>
      <c r="C2354" t="s">
        <v>426</v>
      </c>
      <c r="D2354" s="2">
        <v>74949</v>
      </c>
      <c r="E2354" s="2">
        <v>24666</v>
      </c>
      <c r="F2354" s="3">
        <v>2.9</v>
      </c>
      <c r="G2354" s="3">
        <v>28796</v>
      </c>
      <c r="H2354" s="3">
        <v>76.599999999999994</v>
      </c>
      <c r="I2354" s="3">
        <v>16.7</v>
      </c>
      <c r="J2354" s="3">
        <v>6.4</v>
      </c>
      <c r="K2354" s="3">
        <v>0.2</v>
      </c>
      <c r="L2354" s="3">
        <v>10.4</v>
      </c>
      <c r="M2354" t="str">
        <f>IF(acs2015_county_data[[#This Row],[PublicWork]]&gt;='Описательные характеристики'!$F$5,"да","нет")</f>
        <v>да</v>
      </c>
      <c r="N2354" t="str">
        <f>IF(acs2015_county_data[[#This Row],[Unemployment]]&gt;='Описательные характеристики'!$I$5,"да","нет")</f>
        <v>да</v>
      </c>
    </row>
    <row r="2355" spans="1:14" x14ac:dyDescent="0.35">
      <c r="A2355">
        <v>45075</v>
      </c>
      <c r="B2355" t="s">
        <v>1443</v>
      </c>
      <c r="C2355" t="s">
        <v>1467</v>
      </c>
      <c r="D2355" s="2">
        <v>90575</v>
      </c>
      <c r="E2355" s="2">
        <v>17889</v>
      </c>
      <c r="F2355" s="3">
        <v>2.2999999999999998</v>
      </c>
      <c r="G2355" s="3">
        <v>33811</v>
      </c>
      <c r="H2355" s="3">
        <v>75.900000000000006</v>
      </c>
      <c r="I2355" s="3">
        <v>18.8</v>
      </c>
      <c r="J2355" s="3">
        <v>5.0999999999999996</v>
      </c>
      <c r="K2355" s="3">
        <v>0.2</v>
      </c>
      <c r="L2355" s="3">
        <v>12.8</v>
      </c>
      <c r="M2355" t="str">
        <f>IF(acs2015_county_data[[#This Row],[PublicWork]]&gt;='Описательные характеристики'!$F$5,"да","нет")</f>
        <v>да</v>
      </c>
      <c r="N2355" t="str">
        <f>IF(acs2015_county_data[[#This Row],[Unemployment]]&gt;='Описательные характеристики'!$I$5,"да","нет")</f>
        <v>да</v>
      </c>
    </row>
    <row r="2356" spans="1:14" x14ac:dyDescent="0.35">
      <c r="A2356">
        <v>45077</v>
      </c>
      <c r="B2356" t="s">
        <v>1443</v>
      </c>
      <c r="C2356" t="s">
        <v>65</v>
      </c>
      <c r="D2356" s="2">
        <v>120124</v>
      </c>
      <c r="E2356" s="2">
        <v>21222</v>
      </c>
      <c r="F2356" s="3">
        <v>2.2000000000000002</v>
      </c>
      <c r="G2356" s="3">
        <v>50816</v>
      </c>
      <c r="H2356" s="3">
        <v>76.2</v>
      </c>
      <c r="I2356" s="3">
        <v>18.2</v>
      </c>
      <c r="J2356" s="3">
        <v>5.6</v>
      </c>
      <c r="K2356" s="3">
        <v>0.1</v>
      </c>
      <c r="L2356" s="3">
        <v>9.1999999999999993</v>
      </c>
      <c r="M2356" t="str">
        <f>IF(acs2015_county_data[[#This Row],[PublicWork]]&gt;='Описательные характеристики'!$F$5,"да","нет")</f>
        <v>да</v>
      </c>
      <c r="N2356" t="str">
        <f>IF(acs2015_county_data[[#This Row],[Unemployment]]&gt;='Описательные характеристики'!$I$5,"да","нет")</f>
        <v>да</v>
      </c>
    </row>
    <row r="2357" spans="1:14" x14ac:dyDescent="0.35">
      <c r="A2357">
        <v>45079</v>
      </c>
      <c r="B2357" t="s">
        <v>1443</v>
      </c>
      <c r="C2357" t="s">
        <v>544</v>
      </c>
      <c r="D2357" s="2">
        <v>397899</v>
      </c>
      <c r="E2357" s="2">
        <v>26026</v>
      </c>
      <c r="F2357" s="3">
        <v>3.2</v>
      </c>
      <c r="G2357" s="3">
        <v>184364</v>
      </c>
      <c r="H2357" s="3">
        <v>73.599999999999994</v>
      </c>
      <c r="I2357" s="3">
        <v>22.1</v>
      </c>
      <c r="J2357" s="3">
        <v>4.3</v>
      </c>
      <c r="K2357" s="3">
        <v>0.1</v>
      </c>
      <c r="L2357" s="3">
        <v>9.4</v>
      </c>
      <c r="M2357" t="str">
        <f>IF(acs2015_county_data[[#This Row],[PublicWork]]&gt;='Описательные характеристики'!$F$5,"да","нет")</f>
        <v>да</v>
      </c>
      <c r="N2357" t="str">
        <f>IF(acs2015_county_data[[#This Row],[Unemployment]]&gt;='Описательные характеристики'!$I$5,"да","нет")</f>
        <v>да</v>
      </c>
    </row>
    <row r="2358" spans="1:14" x14ac:dyDescent="0.35">
      <c r="A2358">
        <v>45081</v>
      </c>
      <c r="B2358" t="s">
        <v>1443</v>
      </c>
      <c r="C2358" t="s">
        <v>1468</v>
      </c>
      <c r="D2358" s="2">
        <v>20000</v>
      </c>
      <c r="E2358" s="2">
        <v>20430</v>
      </c>
      <c r="F2358" s="3">
        <v>4.8</v>
      </c>
      <c r="G2358" s="3">
        <v>8107</v>
      </c>
      <c r="H2358" s="3">
        <v>78.5</v>
      </c>
      <c r="I2358" s="3">
        <v>13.8</v>
      </c>
      <c r="J2358" s="3">
        <v>6.6</v>
      </c>
      <c r="K2358" s="3">
        <v>1.2</v>
      </c>
      <c r="L2358" s="3">
        <v>9</v>
      </c>
      <c r="M2358" t="str">
        <f>IF(acs2015_county_data[[#This Row],[PublicWork]]&gt;='Описательные характеристики'!$F$5,"да","нет")</f>
        <v>нет</v>
      </c>
      <c r="N2358" t="str">
        <f>IF(acs2015_county_data[[#This Row],[Unemployment]]&gt;='Описательные характеристики'!$I$5,"да","нет")</f>
        <v>да</v>
      </c>
    </row>
    <row r="2359" spans="1:14" x14ac:dyDescent="0.35">
      <c r="A2359">
        <v>45083</v>
      </c>
      <c r="B2359" t="s">
        <v>1443</v>
      </c>
      <c r="C2359" t="s">
        <v>1469</v>
      </c>
      <c r="D2359" s="2">
        <v>291240</v>
      </c>
      <c r="E2359" s="2">
        <v>22618</v>
      </c>
      <c r="F2359" s="3">
        <v>2.6</v>
      </c>
      <c r="G2359" s="3">
        <v>128253</v>
      </c>
      <c r="H2359" s="3">
        <v>83.1</v>
      </c>
      <c r="I2359" s="3">
        <v>12.1</v>
      </c>
      <c r="J2359" s="3">
        <v>4.7</v>
      </c>
      <c r="K2359" s="3">
        <v>0.1</v>
      </c>
      <c r="L2359" s="3">
        <v>8.9</v>
      </c>
      <c r="M2359" t="str">
        <f>IF(acs2015_county_data[[#This Row],[PublicWork]]&gt;='Описательные характеристики'!$F$5,"да","нет")</f>
        <v>нет</v>
      </c>
      <c r="N2359" t="str">
        <f>IF(acs2015_county_data[[#This Row],[Unemployment]]&gt;='Описательные характеристики'!$I$5,"да","нет")</f>
        <v>да</v>
      </c>
    </row>
    <row r="2360" spans="1:14" x14ac:dyDescent="0.35">
      <c r="A2360">
        <v>45085</v>
      </c>
      <c r="B2360" t="s">
        <v>1443</v>
      </c>
      <c r="C2360" t="s">
        <v>71</v>
      </c>
      <c r="D2360" s="2">
        <v>107777</v>
      </c>
      <c r="E2360" s="2">
        <v>20806</v>
      </c>
      <c r="F2360" s="3">
        <v>1.7</v>
      </c>
      <c r="G2360" s="3">
        <v>41972</v>
      </c>
      <c r="H2360" s="3">
        <v>74</v>
      </c>
      <c r="I2360" s="3">
        <v>20.100000000000001</v>
      </c>
      <c r="J2360" s="3">
        <v>5.8</v>
      </c>
      <c r="K2360" s="3">
        <v>0.1</v>
      </c>
      <c r="L2360" s="3">
        <v>12.4</v>
      </c>
      <c r="M2360" t="str">
        <f>IF(acs2015_county_data[[#This Row],[PublicWork]]&gt;='Описательные характеристики'!$F$5,"да","нет")</f>
        <v>да</v>
      </c>
      <c r="N2360" t="str">
        <f>IF(acs2015_county_data[[#This Row],[Unemployment]]&gt;='Описательные характеристики'!$I$5,"да","нет")</f>
        <v>да</v>
      </c>
    </row>
    <row r="2361" spans="1:14" x14ac:dyDescent="0.35">
      <c r="A2361">
        <v>45087</v>
      </c>
      <c r="B2361" t="s">
        <v>1443</v>
      </c>
      <c r="C2361" t="s">
        <v>175</v>
      </c>
      <c r="D2361" s="2">
        <v>28125</v>
      </c>
      <c r="E2361" s="2">
        <v>19087</v>
      </c>
      <c r="F2361" s="3">
        <v>0.7</v>
      </c>
      <c r="G2361" s="3">
        <v>11086</v>
      </c>
      <c r="H2361" s="3">
        <v>77</v>
      </c>
      <c r="I2361" s="3">
        <v>17.8</v>
      </c>
      <c r="J2361" s="3">
        <v>4.9000000000000004</v>
      </c>
      <c r="K2361" s="3">
        <v>0.3</v>
      </c>
      <c r="L2361" s="3">
        <v>12.3</v>
      </c>
      <c r="M2361" t="str">
        <f>IF(acs2015_county_data[[#This Row],[PublicWork]]&gt;='Описательные характеристики'!$F$5,"да","нет")</f>
        <v>да</v>
      </c>
      <c r="N2361" t="str">
        <f>IF(acs2015_county_data[[#This Row],[Unemployment]]&gt;='Описательные характеристики'!$I$5,"да","нет")</f>
        <v>да</v>
      </c>
    </row>
    <row r="2362" spans="1:14" x14ac:dyDescent="0.35">
      <c r="A2362">
        <v>45089</v>
      </c>
      <c r="B2362" t="s">
        <v>1443</v>
      </c>
      <c r="C2362" t="s">
        <v>1470</v>
      </c>
      <c r="D2362" s="2">
        <v>33238</v>
      </c>
      <c r="E2362" s="2">
        <v>16344</v>
      </c>
      <c r="F2362" s="3">
        <v>2.9</v>
      </c>
      <c r="G2362" s="3">
        <v>11416</v>
      </c>
      <c r="H2362" s="3">
        <v>73.3</v>
      </c>
      <c r="I2362" s="3">
        <v>21.6</v>
      </c>
      <c r="J2362" s="3">
        <v>5</v>
      </c>
      <c r="K2362" s="3">
        <v>0</v>
      </c>
      <c r="L2362" s="3">
        <v>11.6</v>
      </c>
      <c r="M2362" t="str">
        <f>IF(acs2015_county_data[[#This Row],[PublicWork]]&gt;='Описательные характеристики'!$F$5,"да","нет")</f>
        <v>да</v>
      </c>
      <c r="N2362" t="str">
        <f>IF(acs2015_county_data[[#This Row],[Unemployment]]&gt;='Описательные характеристики'!$I$5,"да","нет")</f>
        <v>да</v>
      </c>
    </row>
    <row r="2363" spans="1:14" x14ac:dyDescent="0.35">
      <c r="A2363">
        <v>45091</v>
      </c>
      <c r="B2363" t="s">
        <v>1443</v>
      </c>
      <c r="C2363" t="s">
        <v>824</v>
      </c>
      <c r="D2363" s="2">
        <v>240076</v>
      </c>
      <c r="E2363" s="2">
        <v>27868</v>
      </c>
      <c r="F2363" s="3">
        <v>4.7</v>
      </c>
      <c r="G2363" s="3">
        <v>112791</v>
      </c>
      <c r="H2363" s="3">
        <v>82.2</v>
      </c>
      <c r="I2363" s="3">
        <v>12.6</v>
      </c>
      <c r="J2363" s="3">
        <v>5</v>
      </c>
      <c r="K2363" s="3">
        <v>0.2</v>
      </c>
      <c r="L2363" s="3">
        <v>8.9</v>
      </c>
      <c r="M2363" t="str">
        <f>IF(acs2015_county_data[[#This Row],[PublicWork]]&gt;='Описательные характеристики'!$F$5,"да","нет")</f>
        <v>нет</v>
      </c>
      <c r="N2363" t="str">
        <f>IF(acs2015_county_data[[#This Row],[Unemployment]]&gt;='Описательные характеристики'!$I$5,"да","нет")</f>
        <v>да</v>
      </c>
    </row>
    <row r="2364" spans="1:14" x14ac:dyDescent="0.35">
      <c r="A2364">
        <v>46003</v>
      </c>
      <c r="B2364" t="s">
        <v>1471</v>
      </c>
      <c r="C2364" t="s">
        <v>1472</v>
      </c>
      <c r="D2364" s="2">
        <v>2729</v>
      </c>
      <c r="E2364" s="2">
        <v>25965</v>
      </c>
      <c r="F2364" s="3">
        <v>9.3000000000000007</v>
      </c>
      <c r="G2364" s="3">
        <v>1352</v>
      </c>
      <c r="H2364" s="3">
        <v>68.099999999999994</v>
      </c>
      <c r="I2364" s="3">
        <v>14.9</v>
      </c>
      <c r="J2364" s="3">
        <v>16.600000000000001</v>
      </c>
      <c r="K2364" s="3">
        <v>0.3</v>
      </c>
      <c r="L2364" s="3">
        <v>1.9</v>
      </c>
      <c r="M2364" t="str">
        <f>IF(acs2015_county_data[[#This Row],[PublicWork]]&gt;='Описательные характеристики'!$F$5,"да","нет")</f>
        <v>нет</v>
      </c>
      <c r="N2364" t="str">
        <f>IF(acs2015_county_data[[#This Row],[Unemployment]]&gt;='Описательные характеристики'!$I$5,"да","нет")</f>
        <v>нет</v>
      </c>
    </row>
    <row r="2365" spans="1:14" x14ac:dyDescent="0.35">
      <c r="A2365">
        <v>46005</v>
      </c>
      <c r="B2365" t="s">
        <v>1471</v>
      </c>
      <c r="C2365" t="s">
        <v>1473</v>
      </c>
      <c r="D2365" s="2">
        <v>18168</v>
      </c>
      <c r="E2365" s="2">
        <v>24662</v>
      </c>
      <c r="F2365" s="3">
        <v>2.9</v>
      </c>
      <c r="G2365" s="3">
        <v>9189</v>
      </c>
      <c r="H2365" s="3">
        <v>77.8</v>
      </c>
      <c r="I2365" s="3">
        <v>13.9</v>
      </c>
      <c r="J2365" s="3">
        <v>8</v>
      </c>
      <c r="K2365" s="3">
        <v>0.3</v>
      </c>
      <c r="L2365" s="3">
        <v>2.9</v>
      </c>
      <c r="M2365" t="str">
        <f>IF(acs2015_county_data[[#This Row],[PublicWork]]&gt;='Описательные характеристики'!$F$5,"да","нет")</f>
        <v>нет</v>
      </c>
      <c r="N2365" t="str">
        <f>IF(acs2015_county_data[[#This Row],[Unemployment]]&gt;='Описательные характеристики'!$I$5,"да","нет")</f>
        <v>нет</v>
      </c>
    </row>
    <row r="2366" spans="1:14" x14ac:dyDescent="0.35">
      <c r="A2366">
        <v>46007</v>
      </c>
      <c r="B2366" t="s">
        <v>1471</v>
      </c>
      <c r="C2366" t="s">
        <v>1474</v>
      </c>
      <c r="D2366" s="2">
        <v>3438</v>
      </c>
      <c r="E2366" s="2">
        <v>16549</v>
      </c>
      <c r="F2366" s="3">
        <v>11.8</v>
      </c>
      <c r="G2366" s="3">
        <v>1168</v>
      </c>
      <c r="H2366" s="3">
        <v>44.9</v>
      </c>
      <c r="I2366" s="3">
        <v>36.6</v>
      </c>
      <c r="J2366" s="3">
        <v>17.600000000000001</v>
      </c>
      <c r="K2366" s="3">
        <v>0.9</v>
      </c>
      <c r="L2366" s="3">
        <v>14.7</v>
      </c>
      <c r="M2366" t="str">
        <f>IF(acs2015_county_data[[#This Row],[PublicWork]]&gt;='Описательные характеристики'!$F$5,"да","нет")</f>
        <v>да</v>
      </c>
      <c r="N2366" t="str">
        <f>IF(acs2015_county_data[[#This Row],[Unemployment]]&gt;='Описательные характеристики'!$I$5,"да","нет")</f>
        <v>да</v>
      </c>
    </row>
    <row r="2367" spans="1:14" x14ac:dyDescent="0.35">
      <c r="A2367">
        <v>46009</v>
      </c>
      <c r="B2367" t="s">
        <v>1471</v>
      </c>
      <c r="C2367" t="s">
        <v>1475</v>
      </c>
      <c r="D2367" s="2">
        <v>7013</v>
      </c>
      <c r="E2367" s="2">
        <v>22165</v>
      </c>
      <c r="F2367" s="3">
        <v>13.6</v>
      </c>
      <c r="G2367" s="3">
        <v>2806</v>
      </c>
      <c r="H2367" s="3">
        <v>61</v>
      </c>
      <c r="I2367" s="3">
        <v>21.1</v>
      </c>
      <c r="J2367" s="3">
        <v>17.399999999999999</v>
      </c>
      <c r="K2367" s="3">
        <v>0.6</v>
      </c>
      <c r="L2367" s="3">
        <v>0.9</v>
      </c>
      <c r="M2367" t="str">
        <f>IF(acs2015_county_data[[#This Row],[PublicWork]]&gt;='Описательные характеристики'!$F$5,"да","нет")</f>
        <v>да</v>
      </c>
      <c r="N2367" t="str">
        <f>IF(acs2015_county_data[[#This Row],[Unemployment]]&gt;='Описательные характеристики'!$I$5,"да","нет")</f>
        <v>нет</v>
      </c>
    </row>
    <row r="2368" spans="1:14" x14ac:dyDescent="0.35">
      <c r="A2368">
        <v>46011</v>
      </c>
      <c r="B2368" t="s">
        <v>1471</v>
      </c>
      <c r="C2368" t="s">
        <v>1476</v>
      </c>
      <c r="D2368" s="2">
        <v>33046</v>
      </c>
      <c r="E2368" s="2">
        <v>25727</v>
      </c>
      <c r="F2368" s="3">
        <v>5</v>
      </c>
      <c r="G2368" s="3">
        <v>19007</v>
      </c>
      <c r="H2368" s="3">
        <v>75.5</v>
      </c>
      <c r="I2368" s="3">
        <v>18.600000000000001</v>
      </c>
      <c r="J2368" s="3">
        <v>5.6</v>
      </c>
      <c r="K2368" s="3">
        <v>0.4</v>
      </c>
      <c r="L2368" s="3">
        <v>3.1</v>
      </c>
      <c r="M2368" t="str">
        <f>IF(acs2015_county_data[[#This Row],[PublicWork]]&gt;='Описательные характеристики'!$F$5,"да","нет")</f>
        <v>да</v>
      </c>
      <c r="N2368" t="str">
        <f>IF(acs2015_county_data[[#This Row],[Unemployment]]&gt;='Описательные характеристики'!$I$5,"да","нет")</f>
        <v>нет</v>
      </c>
    </row>
    <row r="2369" spans="1:14" x14ac:dyDescent="0.35">
      <c r="A2369">
        <v>46013</v>
      </c>
      <c r="B2369" t="s">
        <v>1471</v>
      </c>
      <c r="C2369" t="s">
        <v>506</v>
      </c>
      <c r="D2369" s="2">
        <v>38060</v>
      </c>
      <c r="E2369" s="2">
        <v>28841</v>
      </c>
      <c r="F2369" s="3">
        <v>3.8</v>
      </c>
      <c r="G2369" s="3">
        <v>20762</v>
      </c>
      <c r="H2369" s="3">
        <v>80.099999999999994</v>
      </c>
      <c r="I2369" s="3">
        <v>12.6</v>
      </c>
      <c r="J2369" s="3">
        <v>7</v>
      </c>
      <c r="K2369" s="3">
        <v>0.3</v>
      </c>
      <c r="L2369" s="3">
        <v>2.5</v>
      </c>
      <c r="M2369" t="str">
        <f>IF(acs2015_county_data[[#This Row],[PublicWork]]&gt;='Описательные характеристики'!$F$5,"да","нет")</f>
        <v>нет</v>
      </c>
      <c r="N2369" t="str">
        <f>IF(acs2015_county_data[[#This Row],[Unemployment]]&gt;='Описательные характеристики'!$I$5,"да","нет")</f>
        <v>нет</v>
      </c>
    </row>
    <row r="2370" spans="1:14" x14ac:dyDescent="0.35">
      <c r="A2370">
        <v>46015</v>
      </c>
      <c r="B2370" t="s">
        <v>1471</v>
      </c>
      <c r="C2370" t="s">
        <v>1477</v>
      </c>
      <c r="D2370" s="2">
        <v>5330</v>
      </c>
      <c r="E2370" s="2">
        <v>22591</v>
      </c>
      <c r="F2370" s="3">
        <v>8.3000000000000007</v>
      </c>
      <c r="G2370" s="3">
        <v>2583</v>
      </c>
      <c r="H2370" s="3">
        <v>66.400000000000006</v>
      </c>
      <c r="I2370" s="3">
        <v>16.3</v>
      </c>
      <c r="J2370" s="3">
        <v>15.4</v>
      </c>
      <c r="K2370" s="3">
        <v>1.9</v>
      </c>
      <c r="L2370" s="3">
        <v>2.6</v>
      </c>
      <c r="M2370" t="str">
        <f>IF(acs2015_county_data[[#This Row],[PublicWork]]&gt;='Описательные характеристики'!$F$5,"да","нет")</f>
        <v>да</v>
      </c>
      <c r="N2370" t="str">
        <f>IF(acs2015_county_data[[#This Row],[Unemployment]]&gt;='Описательные характеристики'!$I$5,"да","нет")</f>
        <v>нет</v>
      </c>
    </row>
    <row r="2371" spans="1:14" x14ac:dyDescent="0.35">
      <c r="A2371">
        <v>46017</v>
      </c>
      <c r="B2371" t="s">
        <v>1471</v>
      </c>
      <c r="C2371" t="s">
        <v>1096</v>
      </c>
      <c r="D2371" s="2">
        <v>2038</v>
      </c>
      <c r="E2371" s="2">
        <v>11372</v>
      </c>
      <c r="F2371" s="3">
        <v>9</v>
      </c>
      <c r="G2371" s="3">
        <v>653</v>
      </c>
      <c r="H2371" s="3">
        <v>48.4</v>
      </c>
      <c r="I2371" s="3">
        <v>49.5</v>
      </c>
      <c r="J2371" s="3">
        <v>1.8</v>
      </c>
      <c r="K2371" s="3">
        <v>0.3</v>
      </c>
      <c r="L2371" s="3">
        <v>16.3</v>
      </c>
      <c r="M2371" t="str">
        <f>IF(acs2015_county_data[[#This Row],[PublicWork]]&gt;='Описательные характеристики'!$F$5,"да","нет")</f>
        <v>да</v>
      </c>
      <c r="N2371" t="str">
        <f>IF(acs2015_county_data[[#This Row],[Unemployment]]&gt;='Описательные характеристики'!$I$5,"да","нет")</f>
        <v>да</v>
      </c>
    </row>
    <row r="2372" spans="1:14" x14ac:dyDescent="0.35">
      <c r="A2372">
        <v>46019</v>
      </c>
      <c r="B2372" t="s">
        <v>1471</v>
      </c>
      <c r="C2372" t="s">
        <v>183</v>
      </c>
      <c r="D2372" s="2">
        <v>10292</v>
      </c>
      <c r="E2372" s="2">
        <v>23267</v>
      </c>
      <c r="F2372" s="3">
        <v>8.8000000000000007</v>
      </c>
      <c r="G2372" s="3">
        <v>5015</v>
      </c>
      <c r="H2372" s="3">
        <v>70</v>
      </c>
      <c r="I2372" s="3">
        <v>15.4</v>
      </c>
      <c r="J2372" s="3">
        <v>13.7</v>
      </c>
      <c r="K2372" s="3">
        <v>0.9</v>
      </c>
      <c r="L2372" s="3">
        <v>3</v>
      </c>
      <c r="M2372" t="str">
        <f>IF(acs2015_county_data[[#This Row],[PublicWork]]&gt;='Описательные характеристики'!$F$5,"да","нет")</f>
        <v>нет</v>
      </c>
      <c r="N2372" t="str">
        <f>IF(acs2015_county_data[[#This Row],[Unemployment]]&gt;='Описательные характеристики'!$I$5,"да","нет")</f>
        <v>нет</v>
      </c>
    </row>
    <row r="2373" spans="1:14" x14ac:dyDescent="0.35">
      <c r="A2373">
        <v>46021</v>
      </c>
      <c r="B2373" t="s">
        <v>1471</v>
      </c>
      <c r="C2373" t="s">
        <v>723</v>
      </c>
      <c r="D2373" s="2">
        <v>1548</v>
      </c>
      <c r="E2373" s="2">
        <v>30998</v>
      </c>
      <c r="F2373" s="3">
        <v>12.2</v>
      </c>
      <c r="G2373" s="3">
        <v>755</v>
      </c>
      <c r="H2373" s="3">
        <v>59.9</v>
      </c>
      <c r="I2373" s="3">
        <v>15.8</v>
      </c>
      <c r="J2373" s="3">
        <v>24.4</v>
      </c>
      <c r="K2373" s="3">
        <v>0</v>
      </c>
      <c r="L2373" s="3">
        <v>1.4</v>
      </c>
      <c r="M2373" t="str">
        <f>IF(acs2015_county_data[[#This Row],[PublicWork]]&gt;='Описательные характеристики'!$F$5,"да","нет")</f>
        <v>нет</v>
      </c>
      <c r="N2373" t="str">
        <f>IF(acs2015_county_data[[#This Row],[Unemployment]]&gt;='Описательные характеристики'!$I$5,"да","нет")</f>
        <v>нет</v>
      </c>
    </row>
    <row r="2374" spans="1:14" x14ac:dyDescent="0.35">
      <c r="A2374">
        <v>46023</v>
      </c>
      <c r="B2374" t="s">
        <v>1471</v>
      </c>
      <c r="C2374" t="s">
        <v>1478</v>
      </c>
      <c r="D2374" s="2">
        <v>9239</v>
      </c>
      <c r="E2374" s="2">
        <v>20814</v>
      </c>
      <c r="F2374" s="3">
        <v>9.4</v>
      </c>
      <c r="G2374" s="3">
        <v>3894</v>
      </c>
      <c r="H2374" s="3">
        <v>63.9</v>
      </c>
      <c r="I2374" s="3">
        <v>23.3</v>
      </c>
      <c r="J2374" s="3">
        <v>12.3</v>
      </c>
      <c r="K2374" s="3">
        <v>0.5</v>
      </c>
      <c r="L2374" s="3">
        <v>5.0999999999999996</v>
      </c>
      <c r="M2374" t="str">
        <f>IF(acs2015_county_data[[#This Row],[PublicWork]]&gt;='Описательные характеристики'!$F$5,"да","нет")</f>
        <v>да</v>
      </c>
      <c r="N2374" t="str">
        <f>IF(acs2015_county_data[[#This Row],[Unemployment]]&gt;='Описательные характеристики'!$I$5,"да","нет")</f>
        <v>нет</v>
      </c>
    </row>
    <row r="2375" spans="1:14" x14ac:dyDescent="0.35">
      <c r="A2375">
        <v>46025</v>
      </c>
      <c r="B2375" t="s">
        <v>1471</v>
      </c>
      <c r="C2375" t="s">
        <v>131</v>
      </c>
      <c r="D2375" s="2">
        <v>3625</v>
      </c>
      <c r="E2375" s="2">
        <v>25250</v>
      </c>
      <c r="F2375" s="3">
        <v>15.8</v>
      </c>
      <c r="G2375" s="3">
        <v>1826</v>
      </c>
      <c r="H2375" s="3">
        <v>66.900000000000006</v>
      </c>
      <c r="I2375" s="3">
        <v>12.8</v>
      </c>
      <c r="J2375" s="3">
        <v>18.7</v>
      </c>
      <c r="K2375" s="3">
        <v>1.5</v>
      </c>
      <c r="L2375" s="3">
        <v>2.8</v>
      </c>
      <c r="M2375" t="str">
        <f>IF(acs2015_county_data[[#This Row],[PublicWork]]&gt;='Описательные характеристики'!$F$5,"да","нет")</f>
        <v>нет</v>
      </c>
      <c r="N2375" t="str">
        <f>IF(acs2015_county_data[[#This Row],[Unemployment]]&gt;='Описательные характеристики'!$I$5,"да","нет")</f>
        <v>нет</v>
      </c>
    </row>
    <row r="2376" spans="1:14" x14ac:dyDescent="0.35">
      <c r="A2376">
        <v>46027</v>
      </c>
      <c r="B2376" t="s">
        <v>1471</v>
      </c>
      <c r="C2376" t="s">
        <v>28</v>
      </c>
      <c r="D2376" s="2">
        <v>14011</v>
      </c>
      <c r="E2376" s="2">
        <v>21121</v>
      </c>
      <c r="F2376" s="3">
        <v>5.9</v>
      </c>
      <c r="G2376" s="3">
        <v>7510</v>
      </c>
      <c r="H2376" s="3">
        <v>66.2</v>
      </c>
      <c r="I2376" s="3">
        <v>27.8</v>
      </c>
      <c r="J2376" s="3">
        <v>6</v>
      </c>
      <c r="K2376" s="3">
        <v>0.1</v>
      </c>
      <c r="L2376" s="3">
        <v>6.8</v>
      </c>
      <c r="M2376" t="str">
        <f>IF(acs2015_county_data[[#This Row],[PublicWork]]&gt;='Описательные характеристики'!$F$5,"да","нет")</f>
        <v>да</v>
      </c>
      <c r="N2376" t="str">
        <f>IF(acs2015_county_data[[#This Row],[Unemployment]]&gt;='Описательные характеристики'!$I$5,"да","нет")</f>
        <v>нет</v>
      </c>
    </row>
    <row r="2377" spans="1:14" x14ac:dyDescent="0.35">
      <c r="A2377">
        <v>46029</v>
      </c>
      <c r="B2377" t="s">
        <v>1471</v>
      </c>
      <c r="C2377" t="s">
        <v>1479</v>
      </c>
      <c r="D2377" s="2">
        <v>27750</v>
      </c>
      <c r="E2377" s="2">
        <v>26767</v>
      </c>
      <c r="F2377" s="3">
        <v>4.8</v>
      </c>
      <c r="G2377" s="3">
        <v>15575</v>
      </c>
      <c r="H2377" s="3">
        <v>82.2</v>
      </c>
      <c r="I2377" s="3">
        <v>11.7</v>
      </c>
      <c r="J2377" s="3">
        <v>6</v>
      </c>
      <c r="K2377" s="3">
        <v>0.1</v>
      </c>
      <c r="L2377" s="3">
        <v>2.9</v>
      </c>
      <c r="M2377" t="str">
        <f>IF(acs2015_county_data[[#This Row],[PublicWork]]&gt;='Описательные характеристики'!$F$5,"да","нет")</f>
        <v>нет</v>
      </c>
      <c r="N2377" t="str">
        <f>IF(acs2015_county_data[[#This Row],[Unemployment]]&gt;='Описательные характеристики'!$I$5,"да","нет")</f>
        <v>нет</v>
      </c>
    </row>
    <row r="2378" spans="1:14" x14ac:dyDescent="0.35">
      <c r="A2378">
        <v>46031</v>
      </c>
      <c r="B2378" t="s">
        <v>1471</v>
      </c>
      <c r="C2378" t="s">
        <v>1480</v>
      </c>
      <c r="D2378" s="2">
        <v>4149</v>
      </c>
      <c r="E2378" s="2">
        <v>13848</v>
      </c>
      <c r="F2378" s="3">
        <v>19</v>
      </c>
      <c r="G2378" s="3">
        <v>1240</v>
      </c>
      <c r="H2378" s="3">
        <v>36.1</v>
      </c>
      <c r="I2378" s="3">
        <v>40.799999999999997</v>
      </c>
      <c r="J2378" s="3">
        <v>21.5</v>
      </c>
      <c r="K2378" s="3">
        <v>1.5</v>
      </c>
      <c r="L2378" s="3">
        <v>29.4</v>
      </c>
      <c r="M2378" t="str">
        <f>IF(acs2015_county_data[[#This Row],[PublicWork]]&gt;='Описательные характеристики'!$F$5,"да","нет")</f>
        <v>да</v>
      </c>
      <c r="N2378" t="str">
        <f>IF(acs2015_county_data[[#This Row],[Unemployment]]&gt;='Описательные характеристики'!$I$5,"да","нет")</f>
        <v>да</v>
      </c>
    </row>
    <row r="2379" spans="1:14" x14ac:dyDescent="0.35">
      <c r="A2379">
        <v>46033</v>
      </c>
      <c r="B2379" t="s">
        <v>1471</v>
      </c>
      <c r="C2379" t="s">
        <v>485</v>
      </c>
      <c r="D2379" s="2">
        <v>8394</v>
      </c>
      <c r="E2379" s="2">
        <v>29934</v>
      </c>
      <c r="F2379" s="3">
        <v>9</v>
      </c>
      <c r="G2379" s="3">
        <v>3823</v>
      </c>
      <c r="H2379" s="3">
        <v>60.4</v>
      </c>
      <c r="I2379" s="3">
        <v>25.4</v>
      </c>
      <c r="J2379" s="3">
        <v>13.4</v>
      </c>
      <c r="K2379" s="3">
        <v>0.7</v>
      </c>
      <c r="L2379" s="3">
        <v>5.2</v>
      </c>
      <c r="M2379" t="str">
        <f>IF(acs2015_county_data[[#This Row],[PublicWork]]&gt;='Описательные характеристики'!$F$5,"да","нет")</f>
        <v>да</v>
      </c>
      <c r="N2379" t="str">
        <f>IF(acs2015_county_data[[#This Row],[Unemployment]]&gt;='Описательные характеристики'!$I$5,"да","нет")</f>
        <v>нет</v>
      </c>
    </row>
    <row r="2380" spans="1:14" x14ac:dyDescent="0.35">
      <c r="A2380">
        <v>46035</v>
      </c>
      <c r="B2380" t="s">
        <v>1471</v>
      </c>
      <c r="C2380" t="s">
        <v>1481</v>
      </c>
      <c r="D2380" s="2">
        <v>19787</v>
      </c>
      <c r="E2380" s="2">
        <v>25881</v>
      </c>
      <c r="F2380" s="3">
        <v>4.3</v>
      </c>
      <c r="G2380" s="3">
        <v>10359</v>
      </c>
      <c r="H2380" s="3">
        <v>79.900000000000006</v>
      </c>
      <c r="I2380" s="3">
        <v>12.7</v>
      </c>
      <c r="J2380" s="3">
        <v>7.2</v>
      </c>
      <c r="K2380" s="3">
        <v>0.3</v>
      </c>
      <c r="L2380" s="3">
        <v>3.3</v>
      </c>
      <c r="M2380" t="str">
        <f>IF(acs2015_county_data[[#This Row],[PublicWork]]&gt;='Описательные характеристики'!$F$5,"да","нет")</f>
        <v>нет</v>
      </c>
      <c r="N2380" t="str">
        <f>IF(acs2015_county_data[[#This Row],[Unemployment]]&gt;='Описательные характеристики'!$I$5,"да","нет")</f>
        <v>нет</v>
      </c>
    </row>
    <row r="2381" spans="1:14" x14ac:dyDescent="0.35">
      <c r="A2381">
        <v>46037</v>
      </c>
      <c r="B2381" t="s">
        <v>1471</v>
      </c>
      <c r="C2381" t="s">
        <v>1482</v>
      </c>
      <c r="D2381" s="2">
        <v>5618</v>
      </c>
      <c r="E2381" s="2">
        <v>25844</v>
      </c>
      <c r="F2381" s="3">
        <v>13</v>
      </c>
      <c r="G2381" s="3">
        <v>2652</v>
      </c>
      <c r="H2381" s="3">
        <v>68.400000000000006</v>
      </c>
      <c r="I2381" s="3">
        <v>14.4</v>
      </c>
      <c r="J2381" s="3">
        <v>16.5</v>
      </c>
      <c r="K2381" s="3">
        <v>0.7</v>
      </c>
      <c r="L2381" s="3">
        <v>3.9</v>
      </c>
      <c r="M2381" t="str">
        <f>IF(acs2015_county_data[[#This Row],[PublicWork]]&gt;='Описательные характеристики'!$F$5,"да","нет")</f>
        <v>нет</v>
      </c>
      <c r="N2381" t="str">
        <f>IF(acs2015_county_data[[#This Row],[Unemployment]]&gt;='Описательные характеристики'!$I$5,"да","нет")</f>
        <v>нет</v>
      </c>
    </row>
    <row r="2382" spans="1:14" x14ac:dyDescent="0.35">
      <c r="A2382">
        <v>46039</v>
      </c>
      <c r="B2382" t="s">
        <v>1471</v>
      </c>
      <c r="C2382" t="s">
        <v>1102</v>
      </c>
      <c r="D2382" s="2">
        <v>4341</v>
      </c>
      <c r="E2382" s="2">
        <v>30511</v>
      </c>
      <c r="F2382" s="3">
        <v>12.2</v>
      </c>
      <c r="G2382" s="3">
        <v>2317</v>
      </c>
      <c r="H2382" s="3">
        <v>71.8</v>
      </c>
      <c r="I2382" s="3">
        <v>11.9</v>
      </c>
      <c r="J2382" s="3">
        <v>16.3</v>
      </c>
      <c r="K2382" s="3">
        <v>0</v>
      </c>
      <c r="L2382" s="3">
        <v>3.1</v>
      </c>
      <c r="M2382" t="str">
        <f>IF(acs2015_county_data[[#This Row],[PublicWork]]&gt;='Описательные характеристики'!$F$5,"да","нет")</f>
        <v>нет</v>
      </c>
      <c r="N2382" t="str">
        <f>IF(acs2015_county_data[[#This Row],[Unemployment]]&gt;='Описательные характеристики'!$I$5,"да","нет")</f>
        <v>нет</v>
      </c>
    </row>
    <row r="2383" spans="1:14" x14ac:dyDescent="0.35">
      <c r="A2383">
        <v>46041</v>
      </c>
      <c r="B2383" t="s">
        <v>1471</v>
      </c>
      <c r="C2383" t="s">
        <v>1362</v>
      </c>
      <c r="D2383" s="2">
        <v>5579</v>
      </c>
      <c r="E2383" s="2">
        <v>16216</v>
      </c>
      <c r="F2383" s="3">
        <v>15.2</v>
      </c>
      <c r="G2383" s="3">
        <v>1900</v>
      </c>
      <c r="H2383" s="3">
        <v>34.9</v>
      </c>
      <c r="I2383" s="3">
        <v>49.2</v>
      </c>
      <c r="J2383" s="3">
        <v>14.7</v>
      </c>
      <c r="K2383" s="3">
        <v>1.2</v>
      </c>
      <c r="L2383" s="3">
        <v>24.6</v>
      </c>
      <c r="M2383" t="str">
        <f>IF(acs2015_county_data[[#This Row],[PublicWork]]&gt;='Описательные характеристики'!$F$5,"да","нет")</f>
        <v>да</v>
      </c>
      <c r="N2383" t="str">
        <f>IF(acs2015_county_data[[#This Row],[Unemployment]]&gt;='Описательные характеристики'!$I$5,"да","нет")</f>
        <v>да</v>
      </c>
    </row>
    <row r="2384" spans="1:14" x14ac:dyDescent="0.35">
      <c r="A2384">
        <v>46043</v>
      </c>
      <c r="B2384" t="s">
        <v>1471</v>
      </c>
      <c r="C2384" t="s">
        <v>254</v>
      </c>
      <c r="D2384" s="2">
        <v>2973</v>
      </c>
      <c r="E2384" s="2">
        <v>29235</v>
      </c>
      <c r="F2384" s="3">
        <v>14.5</v>
      </c>
      <c r="G2384" s="3">
        <v>1538</v>
      </c>
      <c r="H2384" s="3">
        <v>68.5</v>
      </c>
      <c r="I2384" s="3">
        <v>12.8</v>
      </c>
      <c r="J2384" s="3">
        <v>18.399999999999999</v>
      </c>
      <c r="K2384" s="3">
        <v>0.3</v>
      </c>
      <c r="L2384" s="3">
        <v>0.4</v>
      </c>
      <c r="M2384" t="str">
        <f>IF(acs2015_county_data[[#This Row],[PublicWork]]&gt;='Описательные характеристики'!$F$5,"да","нет")</f>
        <v>нет</v>
      </c>
      <c r="N2384" t="str">
        <f>IF(acs2015_county_data[[#This Row],[Unemployment]]&gt;='Описательные характеристики'!$I$5,"да","нет")</f>
        <v>нет</v>
      </c>
    </row>
    <row r="2385" spans="1:14" x14ac:dyDescent="0.35">
      <c r="A2385">
        <v>46045</v>
      </c>
      <c r="B2385" t="s">
        <v>1471</v>
      </c>
      <c r="C2385" t="s">
        <v>1483</v>
      </c>
      <c r="D2385" s="2">
        <v>4018</v>
      </c>
      <c r="E2385" s="2">
        <v>27487</v>
      </c>
      <c r="F2385" s="3">
        <v>9.6999999999999993</v>
      </c>
      <c r="G2385" s="3">
        <v>2070</v>
      </c>
      <c r="H2385" s="3">
        <v>73.099999999999994</v>
      </c>
      <c r="I2385" s="3">
        <v>11.8</v>
      </c>
      <c r="J2385" s="3">
        <v>14.7</v>
      </c>
      <c r="K2385" s="3">
        <v>0.4</v>
      </c>
      <c r="L2385" s="3">
        <v>1.8</v>
      </c>
      <c r="M2385" t="str">
        <f>IF(acs2015_county_data[[#This Row],[PublicWork]]&gt;='Описательные характеристики'!$F$5,"да","нет")</f>
        <v>нет</v>
      </c>
      <c r="N2385" t="str">
        <f>IF(acs2015_county_data[[#This Row],[Unemployment]]&gt;='Описательные характеристики'!$I$5,"да","нет")</f>
        <v>нет</v>
      </c>
    </row>
    <row r="2386" spans="1:14" x14ac:dyDescent="0.35">
      <c r="A2386">
        <v>46047</v>
      </c>
      <c r="B2386" t="s">
        <v>1471</v>
      </c>
      <c r="C2386" t="s">
        <v>1484</v>
      </c>
      <c r="D2386" s="2">
        <v>6906</v>
      </c>
      <c r="E2386" s="2">
        <v>24653</v>
      </c>
      <c r="F2386" s="3">
        <v>5.9</v>
      </c>
      <c r="G2386" s="3">
        <v>3005</v>
      </c>
      <c r="H2386" s="3">
        <v>56.2</v>
      </c>
      <c r="I2386" s="3">
        <v>35.5</v>
      </c>
      <c r="J2386" s="3">
        <v>7.8</v>
      </c>
      <c r="K2386" s="3">
        <v>0.6</v>
      </c>
      <c r="L2386" s="3">
        <v>4.0999999999999996</v>
      </c>
      <c r="M2386" t="str">
        <f>IF(acs2015_county_data[[#This Row],[PublicWork]]&gt;='Описательные характеристики'!$F$5,"да","нет")</f>
        <v>да</v>
      </c>
      <c r="N2386" t="str">
        <f>IF(acs2015_county_data[[#This Row],[Unemployment]]&gt;='Описательные характеристики'!$I$5,"да","нет")</f>
        <v>нет</v>
      </c>
    </row>
    <row r="2387" spans="1:14" x14ac:dyDescent="0.35">
      <c r="A2387">
        <v>46049</v>
      </c>
      <c r="B2387" t="s">
        <v>1471</v>
      </c>
      <c r="C2387" t="s">
        <v>1485</v>
      </c>
      <c r="D2387" s="2">
        <v>2359</v>
      </c>
      <c r="E2387" s="2">
        <v>26958</v>
      </c>
      <c r="F2387" s="3">
        <v>21.5</v>
      </c>
      <c r="G2387" s="3">
        <v>1162</v>
      </c>
      <c r="H2387" s="3">
        <v>58.1</v>
      </c>
      <c r="I2387" s="3">
        <v>18.399999999999999</v>
      </c>
      <c r="J2387" s="3">
        <v>23.2</v>
      </c>
      <c r="K2387" s="3">
        <v>0.3</v>
      </c>
      <c r="L2387" s="3">
        <v>0.7</v>
      </c>
      <c r="M2387" t="str">
        <f>IF(acs2015_county_data[[#This Row],[PublicWork]]&gt;='Описательные характеристики'!$F$5,"да","нет")</f>
        <v>да</v>
      </c>
      <c r="N2387" t="str">
        <f>IF(acs2015_county_data[[#This Row],[Unemployment]]&gt;='Описательные характеристики'!$I$5,"да","нет")</f>
        <v>нет</v>
      </c>
    </row>
    <row r="2388" spans="1:14" x14ac:dyDescent="0.35">
      <c r="A2388">
        <v>46051</v>
      </c>
      <c r="B2388" t="s">
        <v>1471</v>
      </c>
      <c r="C2388" t="s">
        <v>144</v>
      </c>
      <c r="D2388" s="2">
        <v>7227</v>
      </c>
      <c r="E2388" s="2">
        <v>26741</v>
      </c>
      <c r="F2388" s="3">
        <v>6</v>
      </c>
      <c r="G2388" s="3">
        <v>3953</v>
      </c>
      <c r="H2388" s="3">
        <v>77.599999999999994</v>
      </c>
      <c r="I2388" s="3">
        <v>11.7</v>
      </c>
      <c r="J2388" s="3">
        <v>10.7</v>
      </c>
      <c r="K2388" s="3">
        <v>0.1</v>
      </c>
      <c r="L2388" s="3">
        <v>4.0999999999999996</v>
      </c>
      <c r="M2388" t="str">
        <f>IF(acs2015_county_data[[#This Row],[PublicWork]]&gt;='Описательные характеристики'!$F$5,"да","нет")</f>
        <v>нет</v>
      </c>
      <c r="N2388" t="str">
        <f>IF(acs2015_county_data[[#This Row],[Unemployment]]&gt;='Описательные характеристики'!$I$5,"да","нет")</f>
        <v>нет</v>
      </c>
    </row>
    <row r="2389" spans="1:14" x14ac:dyDescent="0.35">
      <c r="A2389">
        <v>46053</v>
      </c>
      <c r="B2389" t="s">
        <v>1471</v>
      </c>
      <c r="C2389" t="s">
        <v>1486</v>
      </c>
      <c r="D2389" s="2">
        <v>4226</v>
      </c>
      <c r="E2389" s="2">
        <v>24035</v>
      </c>
      <c r="F2389" s="3">
        <v>9.8000000000000007</v>
      </c>
      <c r="G2389" s="3">
        <v>2007</v>
      </c>
      <c r="H2389" s="3">
        <v>63.1</v>
      </c>
      <c r="I2389" s="3">
        <v>17.600000000000001</v>
      </c>
      <c r="J2389" s="3">
        <v>18.600000000000001</v>
      </c>
      <c r="K2389" s="3">
        <v>0.7</v>
      </c>
      <c r="L2389" s="3">
        <v>2.1</v>
      </c>
      <c r="M2389" t="str">
        <f>IF(acs2015_county_data[[#This Row],[PublicWork]]&gt;='Описательные характеристики'!$F$5,"да","нет")</f>
        <v>да</v>
      </c>
      <c r="N2389" t="str">
        <f>IF(acs2015_county_data[[#This Row],[Unemployment]]&gt;='Описательные характеристики'!$I$5,"да","нет")</f>
        <v>нет</v>
      </c>
    </row>
    <row r="2390" spans="1:14" x14ac:dyDescent="0.35">
      <c r="A2390">
        <v>46055</v>
      </c>
      <c r="B2390" t="s">
        <v>1471</v>
      </c>
      <c r="C2390" t="s">
        <v>1487</v>
      </c>
      <c r="D2390" s="2">
        <v>2083</v>
      </c>
      <c r="E2390" s="2">
        <v>23599</v>
      </c>
      <c r="F2390" s="3">
        <v>22.1</v>
      </c>
      <c r="G2390" s="3">
        <v>1018</v>
      </c>
      <c r="H2390" s="3">
        <v>59.3</v>
      </c>
      <c r="I2390" s="3">
        <v>11.7</v>
      </c>
      <c r="J2390" s="3">
        <v>28.5</v>
      </c>
      <c r="K2390" s="3">
        <v>0.5</v>
      </c>
      <c r="L2390" s="3">
        <v>2.5</v>
      </c>
      <c r="M2390" t="str">
        <f>IF(acs2015_county_data[[#This Row],[PublicWork]]&gt;='Описательные характеристики'!$F$5,"да","нет")</f>
        <v>нет</v>
      </c>
      <c r="N2390" t="str">
        <f>IF(acs2015_county_data[[#This Row],[Unemployment]]&gt;='Описательные характеристики'!$I$5,"да","нет")</f>
        <v>нет</v>
      </c>
    </row>
    <row r="2391" spans="1:14" x14ac:dyDescent="0.35">
      <c r="A2391">
        <v>46057</v>
      </c>
      <c r="B2391" t="s">
        <v>1471</v>
      </c>
      <c r="C2391" t="s">
        <v>1488</v>
      </c>
      <c r="D2391" s="2">
        <v>5982</v>
      </c>
      <c r="E2391" s="2">
        <v>26153</v>
      </c>
      <c r="F2391" s="3">
        <v>8.5</v>
      </c>
      <c r="G2391" s="3">
        <v>2874</v>
      </c>
      <c r="H2391" s="3">
        <v>74.900000000000006</v>
      </c>
      <c r="I2391" s="3">
        <v>11.2</v>
      </c>
      <c r="J2391" s="3">
        <v>13.4</v>
      </c>
      <c r="K2391" s="3">
        <v>0.5</v>
      </c>
      <c r="L2391" s="3">
        <v>2.5</v>
      </c>
      <c r="M2391" t="str">
        <f>IF(acs2015_county_data[[#This Row],[PublicWork]]&gt;='Описательные характеристики'!$F$5,"да","нет")</f>
        <v>нет</v>
      </c>
      <c r="N2391" t="str">
        <f>IF(acs2015_county_data[[#This Row],[Unemployment]]&gt;='Описательные характеристики'!$I$5,"да","нет")</f>
        <v>нет</v>
      </c>
    </row>
    <row r="2392" spans="1:14" x14ac:dyDescent="0.35">
      <c r="A2392">
        <v>46059</v>
      </c>
      <c r="B2392" t="s">
        <v>1471</v>
      </c>
      <c r="C2392" t="s">
        <v>1489</v>
      </c>
      <c r="D2392" s="2">
        <v>3375</v>
      </c>
      <c r="E2392" s="2">
        <v>29723</v>
      </c>
      <c r="F2392" s="3">
        <v>13.6</v>
      </c>
      <c r="G2392" s="3">
        <v>1768</v>
      </c>
      <c r="H2392" s="3">
        <v>71</v>
      </c>
      <c r="I2392" s="3">
        <v>12.3</v>
      </c>
      <c r="J2392" s="3">
        <v>16.600000000000001</v>
      </c>
      <c r="K2392" s="3">
        <v>0.2</v>
      </c>
      <c r="L2392" s="3">
        <v>1.7</v>
      </c>
      <c r="M2392" t="str">
        <f>IF(acs2015_county_data[[#This Row],[PublicWork]]&gt;='Описательные характеристики'!$F$5,"да","нет")</f>
        <v>нет</v>
      </c>
      <c r="N2392" t="str">
        <f>IF(acs2015_county_data[[#This Row],[Unemployment]]&gt;='Описательные характеристики'!$I$5,"да","нет")</f>
        <v>нет</v>
      </c>
    </row>
    <row r="2393" spans="1:14" x14ac:dyDescent="0.35">
      <c r="A2393">
        <v>46061</v>
      </c>
      <c r="B2393" t="s">
        <v>1471</v>
      </c>
      <c r="C2393" t="s">
        <v>1490</v>
      </c>
      <c r="D2393" s="2">
        <v>3386</v>
      </c>
      <c r="E2393" s="2">
        <v>23656</v>
      </c>
      <c r="F2393" s="3">
        <v>7.9</v>
      </c>
      <c r="G2393" s="3">
        <v>1673</v>
      </c>
      <c r="H2393" s="3">
        <v>73.400000000000006</v>
      </c>
      <c r="I2393" s="3">
        <v>15</v>
      </c>
      <c r="J2393" s="3">
        <v>11.4</v>
      </c>
      <c r="K2393" s="3">
        <v>0.2</v>
      </c>
      <c r="L2393" s="3">
        <v>1.1000000000000001</v>
      </c>
      <c r="M2393" t="str">
        <f>IF(acs2015_county_data[[#This Row],[PublicWork]]&gt;='Описательные характеристики'!$F$5,"да","нет")</f>
        <v>нет</v>
      </c>
      <c r="N2393" t="str">
        <f>IF(acs2015_county_data[[#This Row],[Unemployment]]&gt;='Описательные характеристики'!$I$5,"да","нет")</f>
        <v>нет</v>
      </c>
    </row>
    <row r="2394" spans="1:14" x14ac:dyDescent="0.35">
      <c r="A2394">
        <v>46063</v>
      </c>
      <c r="B2394" t="s">
        <v>1471</v>
      </c>
      <c r="C2394" t="s">
        <v>1173</v>
      </c>
      <c r="D2394" s="2">
        <v>1328</v>
      </c>
      <c r="E2394" s="2">
        <v>25087</v>
      </c>
      <c r="F2394" s="3">
        <v>29.4</v>
      </c>
      <c r="G2394" s="3">
        <v>684</v>
      </c>
      <c r="H2394" s="3">
        <v>53.7</v>
      </c>
      <c r="I2394" s="3">
        <v>18.600000000000001</v>
      </c>
      <c r="J2394" s="3">
        <v>24.4</v>
      </c>
      <c r="K2394" s="3">
        <v>3.4</v>
      </c>
      <c r="L2394" s="3">
        <v>1.4</v>
      </c>
      <c r="M2394" t="str">
        <f>IF(acs2015_county_data[[#This Row],[PublicWork]]&gt;='Описательные характеристики'!$F$5,"да","нет")</f>
        <v>да</v>
      </c>
      <c r="N2394" t="str">
        <f>IF(acs2015_county_data[[#This Row],[Unemployment]]&gt;='Описательные характеристики'!$I$5,"да","нет")</f>
        <v>нет</v>
      </c>
    </row>
    <row r="2395" spans="1:14" x14ac:dyDescent="0.35">
      <c r="A2395">
        <v>46065</v>
      </c>
      <c r="B2395" t="s">
        <v>1471</v>
      </c>
      <c r="C2395" t="s">
        <v>1366</v>
      </c>
      <c r="D2395" s="2">
        <v>17466</v>
      </c>
      <c r="E2395" s="2">
        <v>29642</v>
      </c>
      <c r="F2395" s="3">
        <v>1.9</v>
      </c>
      <c r="G2395" s="3">
        <v>9620</v>
      </c>
      <c r="H2395" s="3">
        <v>63.1</v>
      </c>
      <c r="I2395" s="3">
        <v>32.799999999999997</v>
      </c>
      <c r="J2395" s="3">
        <v>3.9</v>
      </c>
      <c r="K2395" s="3">
        <v>0.2</v>
      </c>
      <c r="L2395" s="3">
        <v>3.1</v>
      </c>
      <c r="M2395" t="str">
        <f>IF(acs2015_county_data[[#This Row],[PublicWork]]&gt;='Описательные характеристики'!$F$5,"да","нет")</f>
        <v>да</v>
      </c>
      <c r="N2395" t="str">
        <f>IF(acs2015_county_data[[#This Row],[Unemployment]]&gt;='Описательные характеристики'!$I$5,"да","нет")</f>
        <v>нет</v>
      </c>
    </row>
    <row r="2396" spans="1:14" x14ac:dyDescent="0.35">
      <c r="A2396">
        <v>46067</v>
      </c>
      <c r="B2396" t="s">
        <v>1471</v>
      </c>
      <c r="C2396" t="s">
        <v>1491</v>
      </c>
      <c r="D2396" s="2">
        <v>7226</v>
      </c>
      <c r="E2396" s="2">
        <v>27880</v>
      </c>
      <c r="F2396" s="3">
        <v>10.199999999999999</v>
      </c>
      <c r="G2396" s="3">
        <v>3745</v>
      </c>
      <c r="H2396" s="3">
        <v>68.900000000000006</v>
      </c>
      <c r="I2396" s="3">
        <v>12.6</v>
      </c>
      <c r="J2396" s="3">
        <v>18.100000000000001</v>
      </c>
      <c r="K2396" s="3">
        <v>0.4</v>
      </c>
      <c r="L2396" s="3">
        <v>3</v>
      </c>
      <c r="M2396" t="str">
        <f>IF(acs2015_county_data[[#This Row],[PublicWork]]&gt;='Описательные характеристики'!$F$5,"да","нет")</f>
        <v>нет</v>
      </c>
      <c r="N2396" t="str">
        <f>IF(acs2015_county_data[[#This Row],[Unemployment]]&gt;='Описательные характеристики'!$I$5,"да","нет")</f>
        <v>нет</v>
      </c>
    </row>
    <row r="2397" spans="1:14" x14ac:dyDescent="0.35">
      <c r="A2397">
        <v>46069</v>
      </c>
      <c r="B2397" t="s">
        <v>1471</v>
      </c>
      <c r="C2397" t="s">
        <v>1252</v>
      </c>
      <c r="D2397" s="2">
        <v>1413</v>
      </c>
      <c r="E2397" s="2">
        <v>26239</v>
      </c>
      <c r="F2397" s="3">
        <v>14.7</v>
      </c>
      <c r="G2397" s="3">
        <v>762</v>
      </c>
      <c r="H2397" s="3">
        <v>66</v>
      </c>
      <c r="I2397" s="3">
        <v>19.2</v>
      </c>
      <c r="J2397" s="3">
        <v>13.4</v>
      </c>
      <c r="K2397" s="3">
        <v>1.4</v>
      </c>
      <c r="L2397" s="3">
        <v>1.8</v>
      </c>
      <c r="M2397" t="str">
        <f>IF(acs2015_county_data[[#This Row],[PublicWork]]&gt;='Описательные характеристики'!$F$5,"да","нет")</f>
        <v>да</v>
      </c>
      <c r="N2397" t="str">
        <f>IF(acs2015_county_data[[#This Row],[Unemployment]]&gt;='Описательные характеристики'!$I$5,"да","нет")</f>
        <v>нет</v>
      </c>
    </row>
    <row r="2398" spans="1:14" x14ac:dyDescent="0.35">
      <c r="A2398">
        <v>46071</v>
      </c>
      <c r="B2398" t="s">
        <v>1471</v>
      </c>
      <c r="C2398" t="s">
        <v>49</v>
      </c>
      <c r="D2398" s="2">
        <v>3237</v>
      </c>
      <c r="E2398" s="2">
        <v>19216</v>
      </c>
      <c r="F2398" s="3">
        <v>16.8</v>
      </c>
      <c r="G2398" s="3">
        <v>1202</v>
      </c>
      <c r="H2398" s="3">
        <v>34.1</v>
      </c>
      <c r="I2398" s="3">
        <v>43.1</v>
      </c>
      <c r="J2398" s="3">
        <v>21.5</v>
      </c>
      <c r="K2398" s="3">
        <v>1.2</v>
      </c>
      <c r="L2398" s="3">
        <v>17.399999999999999</v>
      </c>
      <c r="M2398" t="str">
        <f>IF(acs2015_county_data[[#This Row],[PublicWork]]&gt;='Описательные характеристики'!$F$5,"да","нет")</f>
        <v>да</v>
      </c>
      <c r="N2398" t="str">
        <f>IF(acs2015_county_data[[#This Row],[Unemployment]]&gt;='Описательные характеристики'!$I$5,"да","нет")</f>
        <v>да</v>
      </c>
    </row>
    <row r="2399" spans="1:14" x14ac:dyDescent="0.35">
      <c r="A2399">
        <v>46073</v>
      </c>
      <c r="B2399" t="s">
        <v>1471</v>
      </c>
      <c r="C2399" t="s">
        <v>1492</v>
      </c>
      <c r="D2399" s="2">
        <v>2031</v>
      </c>
      <c r="E2399" s="2">
        <v>34277</v>
      </c>
      <c r="F2399" s="3">
        <v>11.2</v>
      </c>
      <c r="G2399" s="3">
        <v>1033</v>
      </c>
      <c r="H2399" s="3">
        <v>73.2</v>
      </c>
      <c r="I2399" s="3">
        <v>11.9</v>
      </c>
      <c r="J2399" s="3">
        <v>14.9</v>
      </c>
      <c r="K2399" s="3">
        <v>0</v>
      </c>
      <c r="L2399" s="3">
        <v>0.9</v>
      </c>
      <c r="M2399" t="str">
        <f>IF(acs2015_county_data[[#This Row],[PublicWork]]&gt;='Описательные характеристики'!$F$5,"да","нет")</f>
        <v>нет</v>
      </c>
      <c r="N2399" t="str">
        <f>IF(acs2015_county_data[[#This Row],[Unemployment]]&gt;='Описательные характеристики'!$I$5,"да","нет")</f>
        <v>нет</v>
      </c>
    </row>
    <row r="2400" spans="1:14" x14ac:dyDescent="0.35">
      <c r="A2400">
        <v>46075</v>
      </c>
      <c r="B2400" t="s">
        <v>1471</v>
      </c>
      <c r="C2400" t="s">
        <v>415</v>
      </c>
      <c r="D2400" s="2">
        <v>781</v>
      </c>
      <c r="E2400" s="2">
        <v>26103</v>
      </c>
      <c r="F2400" s="3">
        <v>11.2</v>
      </c>
      <c r="G2400" s="3">
        <v>482</v>
      </c>
      <c r="H2400" s="3">
        <v>62.9</v>
      </c>
      <c r="I2400" s="3">
        <v>14.7</v>
      </c>
      <c r="J2400" s="3">
        <v>20.3</v>
      </c>
      <c r="K2400" s="3">
        <v>2.1</v>
      </c>
      <c r="L2400" s="3">
        <v>3.6</v>
      </c>
      <c r="M2400" t="str">
        <f>IF(acs2015_county_data[[#This Row],[PublicWork]]&gt;='Описательные характеристики'!$F$5,"да","нет")</f>
        <v>нет</v>
      </c>
      <c r="N2400" t="str">
        <f>IF(acs2015_county_data[[#This Row],[Unemployment]]&gt;='Описательные характеристики'!$I$5,"да","нет")</f>
        <v>нет</v>
      </c>
    </row>
    <row r="2401" spans="1:14" x14ac:dyDescent="0.35">
      <c r="A2401">
        <v>46077</v>
      </c>
      <c r="B2401" t="s">
        <v>1471</v>
      </c>
      <c r="C2401" t="s">
        <v>1493</v>
      </c>
      <c r="D2401" s="2">
        <v>5107</v>
      </c>
      <c r="E2401" s="2">
        <v>29747</v>
      </c>
      <c r="F2401" s="3">
        <v>10.9</v>
      </c>
      <c r="G2401" s="3">
        <v>2631</v>
      </c>
      <c r="H2401" s="3">
        <v>72.5</v>
      </c>
      <c r="I2401" s="3">
        <v>11.3</v>
      </c>
      <c r="J2401" s="3">
        <v>15.8</v>
      </c>
      <c r="K2401" s="3">
        <v>0.4</v>
      </c>
      <c r="L2401" s="3">
        <v>2</v>
      </c>
      <c r="M2401" t="str">
        <f>IF(acs2015_county_data[[#This Row],[PublicWork]]&gt;='Описательные характеристики'!$F$5,"да","нет")</f>
        <v>нет</v>
      </c>
      <c r="N2401" t="str">
        <f>IF(acs2015_county_data[[#This Row],[Unemployment]]&gt;='Описательные характеристики'!$I$5,"да","нет")</f>
        <v>нет</v>
      </c>
    </row>
    <row r="2402" spans="1:14" x14ac:dyDescent="0.35">
      <c r="A2402">
        <v>46079</v>
      </c>
      <c r="B2402" t="s">
        <v>1471</v>
      </c>
      <c r="C2402" t="s">
        <v>196</v>
      </c>
      <c r="D2402" s="2">
        <v>12086</v>
      </c>
      <c r="E2402" s="2">
        <v>29610</v>
      </c>
      <c r="F2402" s="3">
        <v>8.5</v>
      </c>
      <c r="G2402" s="3">
        <v>6468</v>
      </c>
      <c r="H2402" s="3">
        <v>74.599999999999994</v>
      </c>
      <c r="I2402" s="3">
        <v>15.1</v>
      </c>
      <c r="J2402" s="3">
        <v>10.1</v>
      </c>
      <c r="K2402" s="3">
        <v>0.2</v>
      </c>
      <c r="L2402" s="3">
        <v>4.4000000000000004</v>
      </c>
      <c r="M2402" t="str">
        <f>IF(acs2015_county_data[[#This Row],[PublicWork]]&gt;='Описательные характеристики'!$F$5,"да","нет")</f>
        <v>нет</v>
      </c>
      <c r="N2402" t="str">
        <f>IF(acs2015_county_data[[#This Row],[Unemployment]]&gt;='Описательные характеристики'!$I$5,"да","нет")</f>
        <v>нет</v>
      </c>
    </row>
    <row r="2403" spans="1:14" x14ac:dyDescent="0.35">
      <c r="A2403">
        <v>46081</v>
      </c>
      <c r="B2403" t="s">
        <v>1471</v>
      </c>
      <c r="C2403" t="s">
        <v>52</v>
      </c>
      <c r="D2403" s="2">
        <v>24645</v>
      </c>
      <c r="E2403" s="2">
        <v>27083</v>
      </c>
      <c r="F2403" s="3">
        <v>4.5</v>
      </c>
      <c r="G2403" s="3">
        <v>13004</v>
      </c>
      <c r="H2403" s="3">
        <v>76</v>
      </c>
      <c r="I2403" s="3">
        <v>17.3</v>
      </c>
      <c r="J2403" s="3">
        <v>6.7</v>
      </c>
      <c r="K2403" s="3">
        <v>0</v>
      </c>
      <c r="L2403" s="3">
        <v>3.8</v>
      </c>
      <c r="M2403" t="str">
        <f>IF(acs2015_county_data[[#This Row],[PublicWork]]&gt;='Описательные характеристики'!$F$5,"да","нет")</f>
        <v>да</v>
      </c>
      <c r="N2403" t="str">
        <f>IF(acs2015_county_data[[#This Row],[Unemployment]]&gt;='Описательные характеристики'!$I$5,"да","нет")</f>
        <v>нет</v>
      </c>
    </row>
    <row r="2404" spans="1:14" x14ac:dyDescent="0.35">
      <c r="A2404">
        <v>46083</v>
      </c>
      <c r="B2404" t="s">
        <v>1471</v>
      </c>
      <c r="C2404" t="s">
        <v>152</v>
      </c>
      <c r="D2404" s="2">
        <v>49874</v>
      </c>
      <c r="E2404" s="2">
        <v>35559</v>
      </c>
      <c r="F2404" s="3">
        <v>3.5</v>
      </c>
      <c r="G2404" s="3">
        <v>27623</v>
      </c>
      <c r="H2404" s="3">
        <v>83.3</v>
      </c>
      <c r="I2404" s="3">
        <v>10.8</v>
      </c>
      <c r="J2404" s="3">
        <v>5.9</v>
      </c>
      <c r="K2404" s="3">
        <v>0</v>
      </c>
      <c r="L2404" s="3">
        <v>1.9</v>
      </c>
      <c r="M2404" t="str">
        <f>IF(acs2015_county_data[[#This Row],[PublicWork]]&gt;='Описательные характеристики'!$F$5,"да","нет")</f>
        <v>нет</v>
      </c>
      <c r="N2404" t="str">
        <f>IF(acs2015_county_data[[#This Row],[Unemployment]]&gt;='Описательные характеристики'!$I$5,"да","нет")</f>
        <v>нет</v>
      </c>
    </row>
    <row r="2405" spans="1:14" x14ac:dyDescent="0.35">
      <c r="A2405">
        <v>46085</v>
      </c>
      <c r="B2405" t="s">
        <v>1471</v>
      </c>
      <c r="C2405" t="s">
        <v>1494</v>
      </c>
      <c r="D2405" s="2">
        <v>3837</v>
      </c>
      <c r="E2405" s="2">
        <v>20912</v>
      </c>
      <c r="F2405" s="3">
        <v>11</v>
      </c>
      <c r="G2405" s="3">
        <v>1719</v>
      </c>
      <c r="H2405" s="3">
        <v>50.4</v>
      </c>
      <c r="I2405" s="3">
        <v>34.200000000000003</v>
      </c>
      <c r="J2405" s="3">
        <v>15</v>
      </c>
      <c r="K2405" s="3">
        <v>0.3</v>
      </c>
      <c r="L2405" s="3">
        <v>7.4</v>
      </c>
      <c r="M2405" t="str">
        <f>IF(acs2015_county_data[[#This Row],[PublicWork]]&gt;='Описательные характеристики'!$F$5,"да","нет")</f>
        <v>да</v>
      </c>
      <c r="N2405" t="str">
        <f>IF(acs2015_county_data[[#This Row],[Unemployment]]&gt;='Описательные характеристики'!$I$5,"да","нет")</f>
        <v>нет</v>
      </c>
    </row>
    <row r="2406" spans="1:14" x14ac:dyDescent="0.35">
      <c r="A2406">
        <v>46087</v>
      </c>
      <c r="B2406" t="s">
        <v>1471</v>
      </c>
      <c r="C2406" t="s">
        <v>1495</v>
      </c>
      <c r="D2406" s="2">
        <v>5613</v>
      </c>
      <c r="E2406" s="2">
        <v>30086</v>
      </c>
      <c r="F2406" s="3">
        <v>12.5</v>
      </c>
      <c r="G2406" s="3">
        <v>2974</v>
      </c>
      <c r="H2406" s="3">
        <v>74.900000000000006</v>
      </c>
      <c r="I2406" s="3">
        <v>9.4</v>
      </c>
      <c r="J2406" s="3">
        <v>15.2</v>
      </c>
      <c r="K2406" s="3">
        <v>0.5</v>
      </c>
      <c r="L2406" s="3">
        <v>2.1</v>
      </c>
      <c r="M2406" t="str">
        <f>IF(acs2015_county_data[[#This Row],[PublicWork]]&gt;='Описательные характеристики'!$F$5,"да","нет")</f>
        <v>нет</v>
      </c>
      <c r="N2406" t="str">
        <f>IF(acs2015_county_data[[#This Row],[Unemployment]]&gt;='Описательные характеристики'!$I$5,"да","нет")</f>
        <v>нет</v>
      </c>
    </row>
    <row r="2407" spans="1:14" x14ac:dyDescent="0.35">
      <c r="A2407">
        <v>46089</v>
      </c>
      <c r="B2407" t="s">
        <v>1471</v>
      </c>
      <c r="C2407" t="s">
        <v>674</v>
      </c>
      <c r="D2407" s="2">
        <v>2263</v>
      </c>
      <c r="E2407" s="2">
        <v>22263</v>
      </c>
      <c r="F2407" s="3">
        <v>13.3</v>
      </c>
      <c r="G2407" s="3">
        <v>1017</v>
      </c>
      <c r="H2407" s="3">
        <v>56.6</v>
      </c>
      <c r="I2407" s="3">
        <v>17.7</v>
      </c>
      <c r="J2407" s="3">
        <v>22.6</v>
      </c>
      <c r="K2407" s="3">
        <v>3</v>
      </c>
      <c r="L2407" s="3">
        <v>6.7</v>
      </c>
      <c r="M2407" t="str">
        <f>IF(acs2015_county_data[[#This Row],[PublicWork]]&gt;='Описательные характеристики'!$F$5,"да","нет")</f>
        <v>да</v>
      </c>
      <c r="N2407" t="str">
        <f>IF(acs2015_county_data[[#This Row],[Unemployment]]&gt;='Описательные характеристики'!$I$5,"да","нет")</f>
        <v>нет</v>
      </c>
    </row>
    <row r="2408" spans="1:14" x14ac:dyDescent="0.35">
      <c r="A2408">
        <v>46091</v>
      </c>
      <c r="B2408" t="s">
        <v>1471</v>
      </c>
      <c r="C2408" t="s">
        <v>60</v>
      </c>
      <c r="D2408" s="2">
        <v>4701</v>
      </c>
      <c r="E2408" s="2">
        <v>25161</v>
      </c>
      <c r="F2408" s="3">
        <v>5.7</v>
      </c>
      <c r="G2408" s="3">
        <v>2394</v>
      </c>
      <c r="H2408" s="3">
        <v>67.7</v>
      </c>
      <c r="I2408" s="3">
        <v>18</v>
      </c>
      <c r="J2408" s="3">
        <v>14.2</v>
      </c>
      <c r="K2408" s="3">
        <v>0.2</v>
      </c>
      <c r="L2408" s="3">
        <v>0.7</v>
      </c>
      <c r="M2408" t="str">
        <f>IF(acs2015_county_data[[#This Row],[PublicWork]]&gt;='Описательные характеристики'!$F$5,"да","нет")</f>
        <v>да</v>
      </c>
      <c r="N2408" t="str">
        <f>IF(acs2015_county_data[[#This Row],[Unemployment]]&gt;='Описательные характеристики'!$I$5,"да","нет")</f>
        <v>нет</v>
      </c>
    </row>
    <row r="2409" spans="1:14" x14ac:dyDescent="0.35">
      <c r="A2409">
        <v>46093</v>
      </c>
      <c r="B2409" t="s">
        <v>1471</v>
      </c>
      <c r="C2409" t="s">
        <v>675</v>
      </c>
      <c r="D2409" s="2">
        <v>26381</v>
      </c>
      <c r="E2409" s="2">
        <v>27123</v>
      </c>
      <c r="F2409" s="3">
        <v>6.4</v>
      </c>
      <c r="G2409" s="3">
        <v>12907</v>
      </c>
      <c r="H2409" s="3">
        <v>73.2</v>
      </c>
      <c r="I2409" s="3">
        <v>18.600000000000001</v>
      </c>
      <c r="J2409" s="3">
        <v>8.1999999999999993</v>
      </c>
      <c r="K2409" s="3">
        <v>0</v>
      </c>
      <c r="L2409" s="3">
        <v>2.2999999999999998</v>
      </c>
      <c r="M2409" t="str">
        <f>IF(acs2015_county_data[[#This Row],[PublicWork]]&gt;='Описательные характеристики'!$F$5,"да","нет")</f>
        <v>да</v>
      </c>
      <c r="N2409" t="str">
        <f>IF(acs2015_county_data[[#This Row],[Unemployment]]&gt;='Описательные характеристики'!$I$5,"да","нет")</f>
        <v>нет</v>
      </c>
    </row>
    <row r="2410" spans="1:14" x14ac:dyDescent="0.35">
      <c r="A2410">
        <v>46095</v>
      </c>
      <c r="B2410" t="s">
        <v>1471</v>
      </c>
      <c r="C2410" t="s">
        <v>1496</v>
      </c>
      <c r="D2410" s="2">
        <v>2086</v>
      </c>
      <c r="E2410" s="2">
        <v>14123</v>
      </c>
      <c r="F2410" s="3">
        <v>24.3</v>
      </c>
      <c r="G2410" s="3">
        <v>740</v>
      </c>
      <c r="H2410" s="3">
        <v>37.299999999999997</v>
      </c>
      <c r="I2410" s="3">
        <v>39.9</v>
      </c>
      <c r="J2410" s="3">
        <v>22.4</v>
      </c>
      <c r="K2410" s="3">
        <v>0.4</v>
      </c>
      <c r="L2410" s="3">
        <v>12</v>
      </c>
      <c r="M2410" t="str">
        <f>IF(acs2015_county_data[[#This Row],[PublicWork]]&gt;='Описательные характеристики'!$F$5,"да","нет")</f>
        <v>да</v>
      </c>
      <c r="N2410" t="str">
        <f>IF(acs2015_county_data[[#This Row],[Unemployment]]&gt;='Описательные характеристики'!$I$5,"да","нет")</f>
        <v>да</v>
      </c>
    </row>
    <row r="2411" spans="1:14" x14ac:dyDescent="0.35">
      <c r="A2411">
        <v>46097</v>
      </c>
      <c r="B2411" t="s">
        <v>1471</v>
      </c>
      <c r="C2411" t="s">
        <v>1497</v>
      </c>
      <c r="D2411" s="2">
        <v>2306</v>
      </c>
      <c r="E2411" s="2">
        <v>30204</v>
      </c>
      <c r="F2411" s="3">
        <v>10.5</v>
      </c>
      <c r="G2411" s="3">
        <v>1174</v>
      </c>
      <c r="H2411" s="3">
        <v>68.7</v>
      </c>
      <c r="I2411" s="3">
        <v>11.9</v>
      </c>
      <c r="J2411" s="3">
        <v>19.3</v>
      </c>
      <c r="K2411" s="3">
        <v>0.1</v>
      </c>
      <c r="L2411" s="3">
        <v>4.0999999999999996</v>
      </c>
      <c r="M2411" t="str">
        <f>IF(acs2015_county_data[[#This Row],[PublicWork]]&gt;='Описательные характеристики'!$F$5,"да","нет")</f>
        <v>нет</v>
      </c>
      <c r="N2411" t="str">
        <f>IF(acs2015_county_data[[#This Row],[Unemployment]]&gt;='Описательные характеристики'!$I$5,"да","нет")</f>
        <v>нет</v>
      </c>
    </row>
    <row r="2412" spans="1:14" x14ac:dyDescent="0.35">
      <c r="A2412">
        <v>46099</v>
      </c>
      <c r="B2412" t="s">
        <v>1471</v>
      </c>
      <c r="C2412" t="s">
        <v>1498</v>
      </c>
      <c r="D2412" s="2">
        <v>178942</v>
      </c>
      <c r="E2412" s="2">
        <v>27387</v>
      </c>
      <c r="F2412" s="3">
        <v>3.2</v>
      </c>
      <c r="G2412" s="3">
        <v>98459</v>
      </c>
      <c r="H2412" s="3">
        <v>86.1</v>
      </c>
      <c r="I2412" s="3">
        <v>9.1999999999999993</v>
      </c>
      <c r="J2412" s="3">
        <v>4.5999999999999996</v>
      </c>
      <c r="K2412" s="3">
        <v>0.1</v>
      </c>
      <c r="L2412" s="3">
        <v>4.4000000000000004</v>
      </c>
      <c r="M2412" t="str">
        <f>IF(acs2015_county_data[[#This Row],[PublicWork]]&gt;='Описательные характеристики'!$F$5,"да","нет")</f>
        <v>нет</v>
      </c>
      <c r="N2412" t="str">
        <f>IF(acs2015_county_data[[#This Row],[Unemployment]]&gt;='Описательные характеристики'!$I$5,"да","нет")</f>
        <v>нет</v>
      </c>
    </row>
    <row r="2413" spans="1:14" x14ac:dyDescent="0.35">
      <c r="A2413">
        <v>46101</v>
      </c>
      <c r="B2413" t="s">
        <v>1471</v>
      </c>
      <c r="C2413" t="s">
        <v>1499</v>
      </c>
      <c r="D2413" s="2">
        <v>6439</v>
      </c>
      <c r="E2413" s="2">
        <v>26918</v>
      </c>
      <c r="F2413" s="3">
        <v>7.9</v>
      </c>
      <c r="G2413" s="3">
        <v>3379</v>
      </c>
      <c r="H2413" s="3">
        <v>66</v>
      </c>
      <c r="I2413" s="3">
        <v>18.600000000000001</v>
      </c>
      <c r="J2413" s="3">
        <v>14.8</v>
      </c>
      <c r="K2413" s="3">
        <v>0.5</v>
      </c>
      <c r="L2413" s="3">
        <v>6.1</v>
      </c>
      <c r="M2413" t="str">
        <f>IF(acs2015_county_data[[#This Row],[PublicWork]]&gt;='Описательные характеристики'!$F$5,"да","нет")</f>
        <v>да</v>
      </c>
      <c r="N2413" t="str">
        <f>IF(acs2015_county_data[[#This Row],[Unemployment]]&gt;='Описательные характеристики'!$I$5,"да","нет")</f>
        <v>нет</v>
      </c>
    </row>
    <row r="2414" spans="1:14" x14ac:dyDescent="0.35">
      <c r="A2414">
        <v>46102</v>
      </c>
      <c r="B2414" t="s">
        <v>1471</v>
      </c>
      <c r="C2414" t="s">
        <v>1500</v>
      </c>
      <c r="D2414" s="2">
        <v>14153</v>
      </c>
      <c r="E2414" s="2">
        <v>9150</v>
      </c>
      <c r="F2414" s="3">
        <v>5.8</v>
      </c>
      <c r="G2414" s="3">
        <v>3226</v>
      </c>
      <c r="H2414" s="3">
        <v>29.5</v>
      </c>
      <c r="I2414" s="3">
        <v>66.2</v>
      </c>
      <c r="J2414" s="3">
        <v>4.3</v>
      </c>
      <c r="K2414" s="3">
        <v>0</v>
      </c>
      <c r="L2414" s="3">
        <v>28.7</v>
      </c>
      <c r="M2414" t="str">
        <f>IF(acs2015_county_data[[#This Row],[PublicWork]]&gt;='Описательные характеристики'!$F$5,"да","нет")</f>
        <v>да</v>
      </c>
      <c r="N2414" t="str">
        <f>IF(acs2015_county_data[[#This Row],[Unemployment]]&gt;='Описательные характеристики'!$I$5,"да","нет")</f>
        <v>да</v>
      </c>
    </row>
    <row r="2415" spans="1:14" x14ac:dyDescent="0.35">
      <c r="A2415">
        <v>46103</v>
      </c>
      <c r="B2415" t="s">
        <v>1471</v>
      </c>
      <c r="C2415" t="s">
        <v>955</v>
      </c>
      <c r="D2415" s="2">
        <v>106085</v>
      </c>
      <c r="E2415" s="2">
        <v>27298</v>
      </c>
      <c r="F2415" s="3">
        <v>3.5</v>
      </c>
      <c r="G2415" s="3">
        <v>53612</v>
      </c>
      <c r="H2415" s="3">
        <v>79.900000000000006</v>
      </c>
      <c r="I2415" s="3">
        <v>13.9</v>
      </c>
      <c r="J2415" s="3">
        <v>6.1</v>
      </c>
      <c r="K2415" s="3">
        <v>0.1</v>
      </c>
      <c r="L2415" s="3">
        <v>4.8</v>
      </c>
      <c r="M2415" t="str">
        <f>IF(acs2015_county_data[[#This Row],[PublicWork]]&gt;='Описательные характеристики'!$F$5,"да","нет")</f>
        <v>нет</v>
      </c>
      <c r="N2415" t="str">
        <f>IF(acs2015_county_data[[#This Row],[Unemployment]]&gt;='Описательные характеристики'!$I$5,"да","нет")</f>
        <v>нет</v>
      </c>
    </row>
    <row r="2416" spans="1:14" x14ac:dyDescent="0.35">
      <c r="A2416">
        <v>46105</v>
      </c>
      <c r="B2416" t="s">
        <v>1471</v>
      </c>
      <c r="C2416" t="s">
        <v>1124</v>
      </c>
      <c r="D2416" s="2">
        <v>2981</v>
      </c>
      <c r="E2416" s="2">
        <v>27174</v>
      </c>
      <c r="F2416" s="3">
        <v>19.600000000000001</v>
      </c>
      <c r="G2416" s="3">
        <v>1490</v>
      </c>
      <c r="H2416" s="3">
        <v>57.2</v>
      </c>
      <c r="I2416" s="3">
        <v>16.100000000000001</v>
      </c>
      <c r="J2416" s="3">
        <v>24.9</v>
      </c>
      <c r="K2416" s="3">
        <v>1.7</v>
      </c>
      <c r="L2416" s="3">
        <v>4.5</v>
      </c>
      <c r="M2416" t="str">
        <f>IF(acs2015_county_data[[#This Row],[PublicWork]]&gt;='Описательные характеристики'!$F$5,"да","нет")</f>
        <v>нет</v>
      </c>
      <c r="N2416" t="str">
        <f>IF(acs2015_county_data[[#This Row],[Unemployment]]&gt;='Описательные характеристики'!$I$5,"да","нет")</f>
        <v>нет</v>
      </c>
    </row>
    <row r="2417" spans="1:14" x14ac:dyDescent="0.35">
      <c r="A2417">
        <v>46107</v>
      </c>
      <c r="B2417" t="s">
        <v>1471</v>
      </c>
      <c r="C2417" t="s">
        <v>1434</v>
      </c>
      <c r="D2417" s="2">
        <v>2307</v>
      </c>
      <c r="E2417" s="2">
        <v>29158</v>
      </c>
      <c r="F2417" s="3">
        <v>9</v>
      </c>
      <c r="G2417" s="3">
        <v>1142</v>
      </c>
      <c r="H2417" s="3">
        <v>72.400000000000006</v>
      </c>
      <c r="I2417" s="3">
        <v>12.5</v>
      </c>
      <c r="J2417" s="3">
        <v>14.9</v>
      </c>
      <c r="K2417" s="3">
        <v>0.2</v>
      </c>
      <c r="L2417" s="3">
        <v>0.5</v>
      </c>
      <c r="M2417" t="str">
        <f>IF(acs2015_county_data[[#This Row],[PublicWork]]&gt;='Описательные характеристики'!$F$5,"да","нет")</f>
        <v>нет</v>
      </c>
      <c r="N2417" t="str">
        <f>IF(acs2015_county_data[[#This Row],[Unemployment]]&gt;='Описательные характеристики'!$I$5,"да","нет")</f>
        <v>нет</v>
      </c>
    </row>
    <row r="2418" spans="1:14" x14ac:dyDescent="0.35">
      <c r="A2418">
        <v>46109</v>
      </c>
      <c r="B2418" t="s">
        <v>1471</v>
      </c>
      <c r="C2418" t="s">
        <v>1501</v>
      </c>
      <c r="D2418" s="2">
        <v>10318</v>
      </c>
      <c r="E2418" s="2">
        <v>23010</v>
      </c>
      <c r="F2418" s="3">
        <v>7.4</v>
      </c>
      <c r="G2418" s="3">
        <v>4416</v>
      </c>
      <c r="H2418" s="3">
        <v>63.8</v>
      </c>
      <c r="I2418" s="3">
        <v>21.1</v>
      </c>
      <c r="J2418" s="3">
        <v>14.6</v>
      </c>
      <c r="K2418" s="3">
        <v>0.5</v>
      </c>
      <c r="L2418" s="3">
        <v>7.6</v>
      </c>
      <c r="M2418" t="str">
        <f>IF(acs2015_county_data[[#This Row],[PublicWork]]&gt;='Описательные характеристики'!$F$5,"да","нет")</f>
        <v>да</v>
      </c>
      <c r="N2418" t="str">
        <f>IF(acs2015_county_data[[#This Row],[Unemployment]]&gt;='Описательные характеристики'!$I$5,"да","нет")</f>
        <v>да</v>
      </c>
    </row>
    <row r="2419" spans="1:14" x14ac:dyDescent="0.35">
      <c r="A2419">
        <v>46111</v>
      </c>
      <c r="B2419" t="s">
        <v>1471</v>
      </c>
      <c r="C2419" t="s">
        <v>1502</v>
      </c>
      <c r="D2419" s="2">
        <v>2339</v>
      </c>
      <c r="E2419" s="2">
        <v>29952</v>
      </c>
      <c r="F2419" s="3">
        <v>15.5</v>
      </c>
      <c r="G2419" s="3">
        <v>1289</v>
      </c>
      <c r="H2419" s="3">
        <v>70.2</v>
      </c>
      <c r="I2419" s="3">
        <v>9.6999999999999993</v>
      </c>
      <c r="J2419" s="3">
        <v>19.7</v>
      </c>
      <c r="K2419" s="3">
        <v>0.4</v>
      </c>
      <c r="L2419" s="3">
        <v>3.4</v>
      </c>
      <c r="M2419" t="str">
        <f>IF(acs2015_county_data[[#This Row],[PublicWork]]&gt;='Описательные характеристики'!$F$5,"да","нет")</f>
        <v>нет</v>
      </c>
      <c r="N2419" t="str">
        <f>IF(acs2015_county_data[[#This Row],[Unemployment]]&gt;='Описательные характеристики'!$I$5,"да","нет")</f>
        <v>нет</v>
      </c>
    </row>
    <row r="2420" spans="1:14" x14ac:dyDescent="0.35">
      <c r="A2420">
        <v>46115</v>
      </c>
      <c r="B2420" t="s">
        <v>1471</v>
      </c>
      <c r="C2420" t="s">
        <v>1503</v>
      </c>
      <c r="D2420" s="2">
        <v>6570</v>
      </c>
      <c r="E2420" s="2">
        <v>28165</v>
      </c>
      <c r="F2420" s="3">
        <v>11.8</v>
      </c>
      <c r="G2420" s="3">
        <v>3266</v>
      </c>
      <c r="H2420" s="3">
        <v>61.4</v>
      </c>
      <c r="I2420" s="3">
        <v>21.7</v>
      </c>
      <c r="J2420" s="3">
        <v>15.5</v>
      </c>
      <c r="K2420" s="3">
        <v>1.4</v>
      </c>
      <c r="L2420" s="3">
        <v>1.1000000000000001</v>
      </c>
      <c r="M2420" t="str">
        <f>IF(acs2015_county_data[[#This Row],[PublicWork]]&gt;='Описательные характеристики'!$F$5,"да","нет")</f>
        <v>да</v>
      </c>
      <c r="N2420" t="str">
        <f>IF(acs2015_county_data[[#This Row],[Unemployment]]&gt;='Описательные характеристики'!$I$5,"да","нет")</f>
        <v>нет</v>
      </c>
    </row>
    <row r="2421" spans="1:14" x14ac:dyDescent="0.35">
      <c r="A2421">
        <v>46117</v>
      </c>
      <c r="B2421" t="s">
        <v>1471</v>
      </c>
      <c r="C2421" t="s">
        <v>1504</v>
      </c>
      <c r="D2421" s="2">
        <v>2962</v>
      </c>
      <c r="E2421" s="2">
        <v>30597</v>
      </c>
      <c r="F2421" s="3">
        <v>9.3000000000000007</v>
      </c>
      <c r="G2421" s="3">
        <v>1674</v>
      </c>
      <c r="H2421" s="3">
        <v>66.5</v>
      </c>
      <c r="I2421" s="3">
        <v>24</v>
      </c>
      <c r="J2421" s="3">
        <v>8.6999999999999993</v>
      </c>
      <c r="K2421" s="3">
        <v>0.8</v>
      </c>
      <c r="L2421" s="3">
        <v>1.4</v>
      </c>
      <c r="M2421" t="str">
        <f>IF(acs2015_county_data[[#This Row],[PublicWork]]&gt;='Описательные характеристики'!$F$5,"да","нет")</f>
        <v>да</v>
      </c>
      <c r="N2421" t="str">
        <f>IF(acs2015_county_data[[#This Row],[Unemployment]]&gt;='Описательные характеристики'!$I$5,"да","нет")</f>
        <v>нет</v>
      </c>
    </row>
    <row r="2422" spans="1:14" x14ac:dyDescent="0.35">
      <c r="A2422">
        <v>46119</v>
      </c>
      <c r="B2422" t="s">
        <v>1471</v>
      </c>
      <c r="C2422" t="s">
        <v>1505</v>
      </c>
      <c r="D2422" s="2">
        <v>1469</v>
      </c>
      <c r="E2422" s="2">
        <v>37078</v>
      </c>
      <c r="F2422" s="3">
        <v>14</v>
      </c>
      <c r="G2422" s="3">
        <v>788</v>
      </c>
      <c r="H2422" s="3">
        <v>67.900000000000006</v>
      </c>
      <c r="I2422" s="3">
        <v>15.1</v>
      </c>
      <c r="J2422" s="3">
        <v>16.8</v>
      </c>
      <c r="K2422" s="3">
        <v>0.3</v>
      </c>
      <c r="L2422" s="3">
        <v>1.7</v>
      </c>
      <c r="M2422" t="str">
        <f>IF(acs2015_county_data[[#This Row],[PublicWork]]&gt;='Описательные характеристики'!$F$5,"да","нет")</f>
        <v>нет</v>
      </c>
      <c r="N2422" t="str">
        <f>IF(acs2015_county_data[[#This Row],[Unemployment]]&gt;='Описательные характеристики'!$I$5,"да","нет")</f>
        <v>нет</v>
      </c>
    </row>
    <row r="2423" spans="1:14" x14ac:dyDescent="0.35">
      <c r="A2423">
        <v>46121</v>
      </c>
      <c r="B2423" t="s">
        <v>1471</v>
      </c>
      <c r="C2423" t="s">
        <v>762</v>
      </c>
      <c r="D2423" s="2">
        <v>9942</v>
      </c>
      <c r="E2423" s="2">
        <v>11616</v>
      </c>
      <c r="F2423" s="3">
        <v>11.7</v>
      </c>
      <c r="G2423" s="3">
        <v>2901</v>
      </c>
      <c r="H2423" s="3">
        <v>34.4</v>
      </c>
      <c r="I2423" s="3">
        <v>55</v>
      </c>
      <c r="J2423" s="3">
        <v>9.8000000000000007</v>
      </c>
      <c r="K2423" s="3">
        <v>0.8</v>
      </c>
      <c r="L2423" s="3">
        <v>25.4</v>
      </c>
      <c r="M2423" t="str">
        <f>IF(acs2015_county_data[[#This Row],[PublicWork]]&gt;='Описательные характеристики'!$F$5,"да","нет")</f>
        <v>да</v>
      </c>
      <c r="N2423" t="str">
        <f>IF(acs2015_county_data[[#This Row],[Unemployment]]&gt;='Описательные характеристики'!$I$5,"да","нет")</f>
        <v>да</v>
      </c>
    </row>
    <row r="2424" spans="1:14" x14ac:dyDescent="0.35">
      <c r="A2424">
        <v>46123</v>
      </c>
      <c r="B2424" t="s">
        <v>1471</v>
      </c>
      <c r="C2424" t="s">
        <v>1506</v>
      </c>
      <c r="D2424" s="2">
        <v>5504</v>
      </c>
      <c r="E2424" s="2">
        <v>24560</v>
      </c>
      <c r="F2424" s="3">
        <v>11.1</v>
      </c>
      <c r="G2424" s="3">
        <v>2863</v>
      </c>
      <c r="H2424" s="3">
        <v>57.7</v>
      </c>
      <c r="I2424" s="3">
        <v>19.600000000000001</v>
      </c>
      <c r="J2424" s="3">
        <v>22.3</v>
      </c>
      <c r="K2424" s="3">
        <v>0.5</v>
      </c>
      <c r="L2424" s="3">
        <v>2.1</v>
      </c>
      <c r="M2424" t="str">
        <f>IF(acs2015_county_data[[#This Row],[PublicWork]]&gt;='Описательные характеристики'!$F$5,"да","нет")</f>
        <v>да</v>
      </c>
      <c r="N2424" t="str">
        <f>IF(acs2015_county_data[[#This Row],[Unemployment]]&gt;='Описательные характеристики'!$I$5,"да","нет")</f>
        <v>нет</v>
      </c>
    </row>
    <row r="2425" spans="1:14" x14ac:dyDescent="0.35">
      <c r="A2425">
        <v>46125</v>
      </c>
      <c r="B2425" t="s">
        <v>1471</v>
      </c>
      <c r="C2425" t="s">
        <v>451</v>
      </c>
      <c r="D2425" s="2">
        <v>8302</v>
      </c>
      <c r="E2425" s="2">
        <v>26958</v>
      </c>
      <c r="F2425" s="3">
        <v>7.5</v>
      </c>
      <c r="G2425" s="3">
        <v>4248</v>
      </c>
      <c r="H2425" s="3">
        <v>70.400000000000006</v>
      </c>
      <c r="I2425" s="3">
        <v>11.9</v>
      </c>
      <c r="J2425" s="3">
        <v>17.399999999999999</v>
      </c>
      <c r="K2425" s="3">
        <v>0.3</v>
      </c>
      <c r="L2425" s="3">
        <v>2.5</v>
      </c>
      <c r="M2425" t="str">
        <f>IF(acs2015_county_data[[#This Row],[PublicWork]]&gt;='Описательные характеристики'!$F$5,"да","нет")</f>
        <v>нет</v>
      </c>
      <c r="N2425" t="str">
        <f>IF(acs2015_county_data[[#This Row],[Unemployment]]&gt;='Описательные характеристики'!$I$5,"да","нет")</f>
        <v>нет</v>
      </c>
    </row>
    <row r="2426" spans="1:14" x14ac:dyDescent="0.35">
      <c r="A2426">
        <v>46127</v>
      </c>
      <c r="B2426" t="s">
        <v>1471</v>
      </c>
      <c r="C2426" t="s">
        <v>175</v>
      </c>
      <c r="D2426" s="2">
        <v>14842</v>
      </c>
      <c r="E2426" s="2">
        <v>36730</v>
      </c>
      <c r="F2426" s="3">
        <v>3.9</v>
      </c>
      <c r="G2426" s="3">
        <v>7576</v>
      </c>
      <c r="H2426" s="3">
        <v>79</v>
      </c>
      <c r="I2426" s="3">
        <v>13.3</v>
      </c>
      <c r="J2426" s="3">
        <v>7</v>
      </c>
      <c r="K2426" s="3">
        <v>0.8</v>
      </c>
      <c r="L2426" s="3">
        <v>2.9</v>
      </c>
      <c r="M2426" t="str">
        <f>IF(acs2015_county_data[[#This Row],[PublicWork]]&gt;='Описательные характеристики'!$F$5,"да","нет")</f>
        <v>нет</v>
      </c>
      <c r="N2426" t="str">
        <f>IF(acs2015_county_data[[#This Row],[Unemployment]]&gt;='Описательные характеристики'!$I$5,"да","нет")</f>
        <v>нет</v>
      </c>
    </row>
    <row r="2427" spans="1:14" x14ac:dyDescent="0.35">
      <c r="A2427">
        <v>46129</v>
      </c>
      <c r="B2427" t="s">
        <v>1471</v>
      </c>
      <c r="C2427" t="s">
        <v>1507</v>
      </c>
      <c r="D2427" s="2">
        <v>5495</v>
      </c>
      <c r="E2427" s="2">
        <v>25553</v>
      </c>
      <c r="F2427" s="3">
        <v>3.6</v>
      </c>
      <c r="G2427" s="3">
        <v>2595</v>
      </c>
      <c r="H2427" s="3">
        <v>75.3</v>
      </c>
      <c r="I2427" s="3">
        <v>15.8</v>
      </c>
      <c r="J2427" s="3">
        <v>8.6</v>
      </c>
      <c r="K2427" s="3">
        <v>0.3</v>
      </c>
      <c r="L2427" s="3">
        <v>5.8</v>
      </c>
      <c r="M2427" t="str">
        <f>IF(acs2015_county_data[[#This Row],[PublicWork]]&gt;='Описательные характеристики'!$F$5,"да","нет")</f>
        <v>нет</v>
      </c>
      <c r="N2427" t="str">
        <f>IF(acs2015_county_data[[#This Row],[Unemployment]]&gt;='Описательные характеристики'!$I$5,"да","нет")</f>
        <v>нет</v>
      </c>
    </row>
    <row r="2428" spans="1:14" x14ac:dyDescent="0.35">
      <c r="A2428">
        <v>46135</v>
      </c>
      <c r="B2428" t="s">
        <v>1471</v>
      </c>
      <c r="C2428" t="s">
        <v>1508</v>
      </c>
      <c r="D2428" s="2">
        <v>22636</v>
      </c>
      <c r="E2428" s="2">
        <v>27044</v>
      </c>
      <c r="F2428" s="3">
        <v>3.9</v>
      </c>
      <c r="G2428" s="3">
        <v>11348</v>
      </c>
      <c r="H2428" s="3">
        <v>77.2</v>
      </c>
      <c r="I2428" s="3">
        <v>14.8</v>
      </c>
      <c r="J2428" s="3">
        <v>7.9</v>
      </c>
      <c r="K2428" s="3">
        <v>0.1</v>
      </c>
      <c r="L2428" s="3">
        <v>3.6</v>
      </c>
      <c r="M2428" t="str">
        <f>IF(acs2015_county_data[[#This Row],[PublicWork]]&gt;='Описательные характеристики'!$F$5,"да","нет")</f>
        <v>нет</v>
      </c>
      <c r="N2428" t="str">
        <f>IF(acs2015_county_data[[#This Row],[Unemployment]]&gt;='Описательные характеристики'!$I$5,"да","нет")</f>
        <v>нет</v>
      </c>
    </row>
    <row r="2429" spans="1:14" x14ac:dyDescent="0.35">
      <c r="A2429">
        <v>46137</v>
      </c>
      <c r="B2429" t="s">
        <v>1471</v>
      </c>
      <c r="C2429" t="s">
        <v>1509</v>
      </c>
      <c r="D2429" s="2">
        <v>2833</v>
      </c>
      <c r="E2429" s="2">
        <v>12877</v>
      </c>
      <c r="F2429" s="3">
        <v>20</v>
      </c>
      <c r="G2429" s="3">
        <v>948</v>
      </c>
      <c r="H2429" s="3">
        <v>40.9</v>
      </c>
      <c r="I2429" s="3">
        <v>41.7</v>
      </c>
      <c r="J2429" s="3">
        <v>16.600000000000001</v>
      </c>
      <c r="K2429" s="3">
        <v>0.8</v>
      </c>
      <c r="L2429" s="3">
        <v>27.4</v>
      </c>
      <c r="M2429" t="str">
        <f>IF(acs2015_county_data[[#This Row],[PublicWork]]&gt;='Описательные характеристики'!$F$5,"да","нет")</f>
        <v>да</v>
      </c>
      <c r="N2429" t="str">
        <f>IF(acs2015_county_data[[#This Row],[Unemployment]]&gt;='Описательные характеристики'!$I$5,"да","нет")</f>
        <v>да</v>
      </c>
    </row>
    <row r="2430" spans="1:14" x14ac:dyDescent="0.35">
      <c r="A2430">
        <v>47001</v>
      </c>
      <c r="B2430" t="s">
        <v>1510</v>
      </c>
      <c r="C2430" t="s">
        <v>644</v>
      </c>
      <c r="D2430" s="2">
        <v>75430</v>
      </c>
      <c r="E2430" s="2">
        <v>25590</v>
      </c>
      <c r="F2430" s="3">
        <v>3</v>
      </c>
      <c r="G2430" s="3">
        <v>31814</v>
      </c>
      <c r="H2430" s="3">
        <v>75.900000000000006</v>
      </c>
      <c r="I2430" s="3">
        <v>18.399999999999999</v>
      </c>
      <c r="J2430" s="3">
        <v>5.7</v>
      </c>
      <c r="K2430" s="3">
        <v>0.1</v>
      </c>
      <c r="L2430" s="3">
        <v>7.7</v>
      </c>
      <c r="M2430" t="str">
        <f>IF(acs2015_county_data[[#This Row],[PublicWork]]&gt;='Описательные характеристики'!$F$5,"да","нет")</f>
        <v>да</v>
      </c>
      <c r="N2430" t="str">
        <f>IF(acs2015_county_data[[#This Row],[Unemployment]]&gt;='Описательные характеристики'!$I$5,"да","нет")</f>
        <v>да</v>
      </c>
    </row>
    <row r="2431" spans="1:14" x14ac:dyDescent="0.35">
      <c r="A2431">
        <v>47003</v>
      </c>
      <c r="B2431" t="s">
        <v>1510</v>
      </c>
      <c r="C2431" t="s">
        <v>1411</v>
      </c>
      <c r="D2431" s="2">
        <v>45986</v>
      </c>
      <c r="E2431" s="2">
        <v>20390</v>
      </c>
      <c r="F2431" s="3">
        <v>3.4</v>
      </c>
      <c r="G2431" s="3">
        <v>19939</v>
      </c>
      <c r="H2431" s="3">
        <v>75.900000000000006</v>
      </c>
      <c r="I2431" s="3">
        <v>13.4</v>
      </c>
      <c r="J2431" s="3">
        <v>10.4</v>
      </c>
      <c r="K2431" s="3">
        <v>0.3</v>
      </c>
      <c r="L2431" s="3">
        <v>7.7</v>
      </c>
      <c r="M2431" t="str">
        <f>IF(acs2015_county_data[[#This Row],[PublicWork]]&gt;='Описательные характеристики'!$F$5,"да","нет")</f>
        <v>нет</v>
      </c>
      <c r="N2431" t="str">
        <f>IF(acs2015_county_data[[#This Row],[Unemployment]]&gt;='Описательные характеристики'!$I$5,"да","нет")</f>
        <v>да</v>
      </c>
    </row>
    <row r="2432" spans="1:14" x14ac:dyDescent="0.35">
      <c r="A2432">
        <v>47005</v>
      </c>
      <c r="B2432" t="s">
        <v>1510</v>
      </c>
      <c r="C2432" t="s">
        <v>127</v>
      </c>
      <c r="D2432" s="2">
        <v>16261</v>
      </c>
      <c r="E2432" s="2">
        <v>19285</v>
      </c>
      <c r="F2432" s="3">
        <v>2.2999999999999998</v>
      </c>
      <c r="G2432" s="3">
        <v>5844</v>
      </c>
      <c r="H2432" s="3">
        <v>73.599999999999994</v>
      </c>
      <c r="I2432" s="3">
        <v>18.399999999999999</v>
      </c>
      <c r="J2432" s="3">
        <v>7.8</v>
      </c>
      <c r="K2432" s="3">
        <v>0.2</v>
      </c>
      <c r="L2432" s="3">
        <v>14.3</v>
      </c>
      <c r="M2432" t="str">
        <f>IF(acs2015_county_data[[#This Row],[PublicWork]]&gt;='Описательные характеристики'!$F$5,"да","нет")</f>
        <v>да</v>
      </c>
      <c r="N2432" t="str">
        <f>IF(acs2015_county_data[[#This Row],[Unemployment]]&gt;='Описательные характеристики'!$I$5,"да","нет")</f>
        <v>да</v>
      </c>
    </row>
    <row r="2433" spans="1:14" x14ac:dyDescent="0.35">
      <c r="A2433">
        <v>47007</v>
      </c>
      <c r="B2433" t="s">
        <v>1510</v>
      </c>
      <c r="C2433" t="s">
        <v>1511</v>
      </c>
      <c r="D2433" s="2">
        <v>13686</v>
      </c>
      <c r="E2433" s="2">
        <v>18061</v>
      </c>
      <c r="F2433" s="3">
        <v>4.9000000000000004</v>
      </c>
      <c r="G2433" s="3">
        <v>4739</v>
      </c>
      <c r="H2433" s="3">
        <v>69.099999999999994</v>
      </c>
      <c r="I2433" s="3">
        <v>20.399999999999999</v>
      </c>
      <c r="J2433" s="3">
        <v>10.3</v>
      </c>
      <c r="K2433" s="3">
        <v>0.2</v>
      </c>
      <c r="L2433" s="3">
        <v>9.6</v>
      </c>
      <c r="M2433" t="str">
        <f>IF(acs2015_county_data[[#This Row],[PublicWork]]&gt;='Описательные характеристики'!$F$5,"да","нет")</f>
        <v>да</v>
      </c>
      <c r="N2433" t="str">
        <f>IF(acs2015_county_data[[#This Row],[Unemployment]]&gt;='Описательные характеристики'!$I$5,"да","нет")</f>
        <v>да</v>
      </c>
    </row>
    <row r="2434" spans="1:14" x14ac:dyDescent="0.35">
      <c r="A2434">
        <v>47009</v>
      </c>
      <c r="B2434" t="s">
        <v>1510</v>
      </c>
      <c r="C2434" t="s">
        <v>19</v>
      </c>
      <c r="D2434" s="2">
        <v>125188</v>
      </c>
      <c r="E2434" s="2">
        <v>25916</v>
      </c>
      <c r="F2434" s="3">
        <v>3.7</v>
      </c>
      <c r="G2434" s="3">
        <v>56262</v>
      </c>
      <c r="H2434" s="3">
        <v>79.599999999999994</v>
      </c>
      <c r="I2434" s="3">
        <v>13.2</v>
      </c>
      <c r="J2434" s="3">
        <v>7</v>
      </c>
      <c r="K2434" s="3">
        <v>0.1</v>
      </c>
      <c r="L2434" s="3">
        <v>7.8</v>
      </c>
      <c r="M2434" t="str">
        <f>IF(acs2015_county_data[[#This Row],[PublicWork]]&gt;='Описательные характеристики'!$F$5,"да","нет")</f>
        <v>нет</v>
      </c>
      <c r="N2434" t="str">
        <f>IF(acs2015_county_data[[#This Row],[Unemployment]]&gt;='Описательные характеристики'!$I$5,"да","нет")</f>
        <v>да</v>
      </c>
    </row>
    <row r="2435" spans="1:14" x14ac:dyDescent="0.35">
      <c r="A2435">
        <v>47011</v>
      </c>
      <c r="B2435" t="s">
        <v>1510</v>
      </c>
      <c r="C2435" t="s">
        <v>1512</v>
      </c>
      <c r="D2435" s="2">
        <v>102062</v>
      </c>
      <c r="E2435" s="2">
        <v>23336</v>
      </c>
      <c r="F2435" s="3">
        <v>4</v>
      </c>
      <c r="G2435" s="3">
        <v>43685</v>
      </c>
      <c r="H2435" s="3">
        <v>82.4</v>
      </c>
      <c r="I2435" s="3">
        <v>10.4</v>
      </c>
      <c r="J2435" s="3">
        <v>7.1</v>
      </c>
      <c r="K2435" s="3">
        <v>0.2</v>
      </c>
      <c r="L2435" s="3">
        <v>11.2</v>
      </c>
      <c r="M2435" t="str">
        <f>IF(acs2015_county_data[[#This Row],[PublicWork]]&gt;='Описательные характеристики'!$F$5,"да","нет")</f>
        <v>нет</v>
      </c>
      <c r="N2435" t="str">
        <f>IF(acs2015_county_data[[#This Row],[Unemployment]]&gt;='Описательные характеристики'!$I$5,"да","нет")</f>
        <v>да</v>
      </c>
    </row>
    <row r="2436" spans="1:14" x14ac:dyDescent="0.35">
      <c r="A2436">
        <v>47013</v>
      </c>
      <c r="B2436" t="s">
        <v>1510</v>
      </c>
      <c r="C2436" t="s">
        <v>723</v>
      </c>
      <c r="D2436" s="2">
        <v>40176</v>
      </c>
      <c r="E2436" s="2">
        <v>18117</v>
      </c>
      <c r="F2436" s="3">
        <v>1.2</v>
      </c>
      <c r="G2436" s="3">
        <v>13897</v>
      </c>
      <c r="H2436" s="3">
        <v>78</v>
      </c>
      <c r="I2436" s="3">
        <v>15.8</v>
      </c>
      <c r="J2436" s="3">
        <v>6.1</v>
      </c>
      <c r="K2436" s="3">
        <v>0</v>
      </c>
      <c r="L2436" s="3">
        <v>9.9</v>
      </c>
      <c r="M2436" t="str">
        <f>IF(acs2015_county_data[[#This Row],[PublicWork]]&gt;='Описательные характеристики'!$F$5,"да","нет")</f>
        <v>нет</v>
      </c>
      <c r="N2436" t="str">
        <f>IF(acs2015_county_data[[#This Row],[Unemployment]]&gt;='Описательные характеристики'!$I$5,"да","нет")</f>
        <v>да</v>
      </c>
    </row>
    <row r="2437" spans="1:14" x14ac:dyDescent="0.35">
      <c r="A2437">
        <v>47015</v>
      </c>
      <c r="B2437" t="s">
        <v>1510</v>
      </c>
      <c r="C2437" t="s">
        <v>1513</v>
      </c>
      <c r="D2437" s="2">
        <v>13787</v>
      </c>
      <c r="E2437" s="2">
        <v>21897</v>
      </c>
      <c r="F2437" s="3">
        <v>3.4</v>
      </c>
      <c r="G2437" s="3">
        <v>5724</v>
      </c>
      <c r="H2437" s="3">
        <v>75</v>
      </c>
      <c r="I2437" s="3">
        <v>14</v>
      </c>
      <c r="J2437" s="3">
        <v>10.8</v>
      </c>
      <c r="K2437" s="3">
        <v>0.2</v>
      </c>
      <c r="L2437" s="3">
        <v>12.9</v>
      </c>
      <c r="M2437" t="str">
        <f>IF(acs2015_county_data[[#This Row],[PublicWork]]&gt;='Описательные характеристики'!$F$5,"да","нет")</f>
        <v>нет</v>
      </c>
      <c r="N2437" t="str">
        <f>IF(acs2015_county_data[[#This Row],[Unemployment]]&gt;='Описательные характеристики'!$I$5,"да","нет")</f>
        <v>да</v>
      </c>
    </row>
    <row r="2438" spans="1:14" x14ac:dyDescent="0.35">
      <c r="A2438">
        <v>47017</v>
      </c>
      <c r="B2438" t="s">
        <v>1510</v>
      </c>
      <c r="C2438" t="s">
        <v>129</v>
      </c>
      <c r="D2438" s="2">
        <v>28353</v>
      </c>
      <c r="E2438" s="2">
        <v>19086</v>
      </c>
      <c r="F2438" s="3">
        <v>2.2999999999999998</v>
      </c>
      <c r="G2438" s="3">
        <v>10700</v>
      </c>
      <c r="H2438" s="3">
        <v>76.3</v>
      </c>
      <c r="I2438" s="3">
        <v>16.2</v>
      </c>
      <c r="J2438" s="3">
        <v>7.3</v>
      </c>
      <c r="K2438" s="3">
        <v>0.1</v>
      </c>
      <c r="L2438" s="3">
        <v>11.5</v>
      </c>
      <c r="M2438" t="str">
        <f>IF(acs2015_county_data[[#This Row],[PublicWork]]&gt;='Описательные характеристики'!$F$5,"да","нет")</f>
        <v>да</v>
      </c>
      <c r="N2438" t="str">
        <f>IF(acs2015_county_data[[#This Row],[Unemployment]]&gt;='Описательные характеристики'!$I$5,"да","нет")</f>
        <v>да</v>
      </c>
    </row>
    <row r="2439" spans="1:14" x14ac:dyDescent="0.35">
      <c r="A2439">
        <v>47019</v>
      </c>
      <c r="B2439" t="s">
        <v>1510</v>
      </c>
      <c r="C2439" t="s">
        <v>725</v>
      </c>
      <c r="D2439" s="2">
        <v>56941</v>
      </c>
      <c r="E2439" s="2">
        <v>19166</v>
      </c>
      <c r="F2439" s="3">
        <v>4.0999999999999996</v>
      </c>
      <c r="G2439" s="3">
        <v>23210</v>
      </c>
      <c r="H2439" s="3">
        <v>74.7</v>
      </c>
      <c r="I2439" s="3">
        <v>17.2</v>
      </c>
      <c r="J2439" s="3">
        <v>8</v>
      </c>
      <c r="K2439" s="3">
        <v>0</v>
      </c>
      <c r="L2439" s="3">
        <v>8.1</v>
      </c>
      <c r="M2439" t="str">
        <f>IF(acs2015_county_data[[#This Row],[PublicWork]]&gt;='Описательные характеристики'!$F$5,"да","нет")</f>
        <v>да</v>
      </c>
      <c r="N2439" t="str">
        <f>IF(acs2015_county_data[[#This Row],[Unemployment]]&gt;='Описательные характеристики'!$I$5,"да","нет")</f>
        <v>да</v>
      </c>
    </row>
    <row r="2440" spans="1:14" x14ac:dyDescent="0.35">
      <c r="A2440">
        <v>47021</v>
      </c>
      <c r="B2440" t="s">
        <v>1510</v>
      </c>
      <c r="C2440" t="s">
        <v>1514</v>
      </c>
      <c r="D2440" s="2">
        <v>39422</v>
      </c>
      <c r="E2440" s="2">
        <v>23922</v>
      </c>
      <c r="F2440" s="3">
        <v>3.9</v>
      </c>
      <c r="G2440" s="3">
        <v>18572</v>
      </c>
      <c r="H2440" s="3">
        <v>76</v>
      </c>
      <c r="I2440" s="3">
        <v>14.5</v>
      </c>
      <c r="J2440" s="3">
        <v>9.1999999999999993</v>
      </c>
      <c r="K2440" s="3">
        <v>0.3</v>
      </c>
      <c r="L2440" s="3">
        <v>7.8</v>
      </c>
      <c r="M2440" t="str">
        <f>IF(acs2015_county_data[[#This Row],[PublicWork]]&gt;='Описательные характеристики'!$F$5,"да","нет")</f>
        <v>нет</v>
      </c>
      <c r="N2440" t="str">
        <f>IF(acs2015_county_data[[#This Row],[Unemployment]]&gt;='Описательные характеристики'!$I$5,"да","нет")</f>
        <v>да</v>
      </c>
    </row>
    <row r="2441" spans="1:14" x14ac:dyDescent="0.35">
      <c r="A2441">
        <v>47023</v>
      </c>
      <c r="B2441" t="s">
        <v>1510</v>
      </c>
      <c r="C2441" t="s">
        <v>1417</v>
      </c>
      <c r="D2441" s="2">
        <v>17324</v>
      </c>
      <c r="E2441" s="2">
        <v>19440</v>
      </c>
      <c r="F2441" s="3">
        <v>3.1</v>
      </c>
      <c r="G2441" s="3">
        <v>7235</v>
      </c>
      <c r="H2441" s="3">
        <v>76.8</v>
      </c>
      <c r="I2441" s="3">
        <v>16.8</v>
      </c>
      <c r="J2441" s="3">
        <v>6.5</v>
      </c>
      <c r="K2441" s="3">
        <v>0</v>
      </c>
      <c r="L2441" s="3">
        <v>13.5</v>
      </c>
      <c r="M2441" t="str">
        <f>IF(acs2015_county_data[[#This Row],[PublicWork]]&gt;='Описательные характеристики'!$F$5,"да","нет")</f>
        <v>да</v>
      </c>
      <c r="N2441" t="str">
        <f>IF(acs2015_county_data[[#This Row],[Unemployment]]&gt;='Описательные характеристики'!$I$5,"да","нет")</f>
        <v>да</v>
      </c>
    </row>
    <row r="2442" spans="1:14" x14ac:dyDescent="0.35">
      <c r="A2442">
        <v>47025</v>
      </c>
      <c r="B2442" t="s">
        <v>1510</v>
      </c>
      <c r="C2442" t="s">
        <v>778</v>
      </c>
      <c r="D2442" s="2">
        <v>31748</v>
      </c>
      <c r="E2442" s="2">
        <v>18817</v>
      </c>
      <c r="F2442" s="3">
        <v>4</v>
      </c>
      <c r="G2442" s="3">
        <v>11935</v>
      </c>
      <c r="H2442" s="3">
        <v>77.8</v>
      </c>
      <c r="I2442" s="3">
        <v>13.5</v>
      </c>
      <c r="J2442" s="3">
        <v>8.4</v>
      </c>
      <c r="K2442" s="3">
        <v>0.3</v>
      </c>
      <c r="L2442" s="3">
        <v>8.1999999999999993</v>
      </c>
      <c r="M2442" t="str">
        <f>IF(acs2015_county_data[[#This Row],[PublicWork]]&gt;='Описательные характеристики'!$F$5,"да","нет")</f>
        <v>нет</v>
      </c>
      <c r="N2442" t="str">
        <f>IF(acs2015_county_data[[#This Row],[Unemployment]]&gt;='Описательные характеристики'!$I$5,"да","нет")</f>
        <v>да</v>
      </c>
    </row>
    <row r="2443" spans="1:14" x14ac:dyDescent="0.35">
      <c r="A2443">
        <v>47027</v>
      </c>
      <c r="B2443" t="s">
        <v>1510</v>
      </c>
      <c r="C2443" t="s">
        <v>28</v>
      </c>
      <c r="D2443" s="2">
        <v>7780</v>
      </c>
      <c r="E2443" s="2">
        <v>16881</v>
      </c>
      <c r="F2443" s="3">
        <v>4.3</v>
      </c>
      <c r="G2443" s="3">
        <v>2765</v>
      </c>
      <c r="H2443" s="3">
        <v>65.3</v>
      </c>
      <c r="I2443" s="3">
        <v>23.1</v>
      </c>
      <c r="J2443" s="3">
        <v>11.6</v>
      </c>
      <c r="K2443" s="3">
        <v>0</v>
      </c>
      <c r="L2443" s="3">
        <v>7.2</v>
      </c>
      <c r="M2443" t="str">
        <f>IF(acs2015_county_data[[#This Row],[PublicWork]]&gt;='Описательные характеристики'!$F$5,"да","нет")</f>
        <v>да</v>
      </c>
      <c r="N2443" t="str">
        <f>IF(acs2015_county_data[[#This Row],[Unemployment]]&gt;='Описательные характеристики'!$I$5,"да","нет")</f>
        <v>нет</v>
      </c>
    </row>
    <row r="2444" spans="1:14" x14ac:dyDescent="0.35">
      <c r="A2444">
        <v>47029</v>
      </c>
      <c r="B2444" t="s">
        <v>1510</v>
      </c>
      <c r="C2444" t="s">
        <v>1515</v>
      </c>
      <c r="D2444" s="2">
        <v>35321</v>
      </c>
      <c r="E2444" s="2">
        <v>18691</v>
      </c>
      <c r="F2444" s="3">
        <v>1.4</v>
      </c>
      <c r="G2444" s="3">
        <v>14071</v>
      </c>
      <c r="H2444" s="3">
        <v>77.400000000000006</v>
      </c>
      <c r="I2444" s="3">
        <v>15.3</v>
      </c>
      <c r="J2444" s="3">
        <v>7.2</v>
      </c>
      <c r="K2444" s="3">
        <v>0.1</v>
      </c>
      <c r="L2444" s="3">
        <v>11.1</v>
      </c>
      <c r="M2444" t="str">
        <f>IF(acs2015_county_data[[#This Row],[PublicWork]]&gt;='Описательные характеристики'!$F$5,"да","нет")</f>
        <v>нет</v>
      </c>
      <c r="N2444" t="str">
        <f>IF(acs2015_county_data[[#This Row],[Unemployment]]&gt;='Описательные характеристики'!$I$5,"да","нет")</f>
        <v>да</v>
      </c>
    </row>
    <row r="2445" spans="1:14" x14ac:dyDescent="0.35">
      <c r="A2445">
        <v>47031</v>
      </c>
      <c r="B2445" t="s">
        <v>1510</v>
      </c>
      <c r="C2445" t="s">
        <v>30</v>
      </c>
      <c r="D2445" s="2">
        <v>53448</v>
      </c>
      <c r="E2445" s="2">
        <v>21680</v>
      </c>
      <c r="F2445" s="3">
        <v>2.7</v>
      </c>
      <c r="G2445" s="3">
        <v>21841</v>
      </c>
      <c r="H2445" s="3">
        <v>77.900000000000006</v>
      </c>
      <c r="I2445" s="3">
        <v>14</v>
      </c>
      <c r="J2445" s="3">
        <v>7.8</v>
      </c>
      <c r="K2445" s="3">
        <v>0.3</v>
      </c>
      <c r="L2445" s="3">
        <v>8.8000000000000007</v>
      </c>
      <c r="M2445" t="str">
        <f>IF(acs2015_county_data[[#This Row],[PublicWork]]&gt;='Описательные характеристики'!$F$5,"да","нет")</f>
        <v>нет</v>
      </c>
      <c r="N2445" t="str">
        <f>IF(acs2015_county_data[[#This Row],[Unemployment]]&gt;='Описательные характеристики'!$I$5,"да","нет")</f>
        <v>да</v>
      </c>
    </row>
    <row r="2446" spans="1:14" x14ac:dyDescent="0.35">
      <c r="A2446">
        <v>47033</v>
      </c>
      <c r="B2446" t="s">
        <v>1510</v>
      </c>
      <c r="C2446" t="s">
        <v>1516</v>
      </c>
      <c r="D2446" s="2">
        <v>14600</v>
      </c>
      <c r="E2446" s="2">
        <v>19178</v>
      </c>
      <c r="F2446" s="3">
        <v>3.7</v>
      </c>
      <c r="G2446" s="3">
        <v>5766</v>
      </c>
      <c r="H2446" s="3">
        <v>77.7</v>
      </c>
      <c r="I2446" s="3">
        <v>14.3</v>
      </c>
      <c r="J2446" s="3">
        <v>7.9</v>
      </c>
      <c r="K2446" s="3">
        <v>0.1</v>
      </c>
      <c r="L2446" s="3">
        <v>7.4</v>
      </c>
      <c r="M2446" t="str">
        <f>IF(acs2015_county_data[[#This Row],[PublicWork]]&gt;='Описательные характеристики'!$F$5,"да","нет")</f>
        <v>нет</v>
      </c>
      <c r="N2446" t="str">
        <f>IF(acs2015_county_data[[#This Row],[Unemployment]]&gt;='Описательные характеристики'!$I$5,"да","нет")</f>
        <v>нет</v>
      </c>
    </row>
    <row r="2447" spans="1:14" x14ac:dyDescent="0.35">
      <c r="A2447">
        <v>47035</v>
      </c>
      <c r="B2447" t="s">
        <v>1510</v>
      </c>
      <c r="C2447" t="s">
        <v>513</v>
      </c>
      <c r="D2447" s="2">
        <v>57455</v>
      </c>
      <c r="E2447" s="2">
        <v>21770</v>
      </c>
      <c r="F2447" s="3">
        <v>3.1</v>
      </c>
      <c r="G2447" s="3">
        <v>20279</v>
      </c>
      <c r="H2447" s="3">
        <v>76.400000000000006</v>
      </c>
      <c r="I2447" s="3">
        <v>14.4</v>
      </c>
      <c r="J2447" s="3">
        <v>8.6999999999999993</v>
      </c>
      <c r="K2447" s="3">
        <v>0.4</v>
      </c>
      <c r="L2447" s="3">
        <v>9</v>
      </c>
      <c r="M2447" t="str">
        <f>IF(acs2015_county_data[[#This Row],[PublicWork]]&gt;='Описательные характеристики'!$F$5,"да","нет")</f>
        <v>нет</v>
      </c>
      <c r="N2447" t="str">
        <f>IF(acs2015_county_data[[#This Row],[Unemployment]]&gt;='Описательные характеристики'!$I$5,"да","нет")</f>
        <v>да</v>
      </c>
    </row>
    <row r="2448" spans="1:14" x14ac:dyDescent="0.35">
      <c r="A2448">
        <v>47037</v>
      </c>
      <c r="B2448" t="s">
        <v>1510</v>
      </c>
      <c r="C2448" t="s">
        <v>1238</v>
      </c>
      <c r="D2448" s="2">
        <v>658506</v>
      </c>
      <c r="E2448" s="2">
        <v>29589</v>
      </c>
      <c r="F2448" s="3">
        <v>4.5999999999999996</v>
      </c>
      <c r="G2448" s="3">
        <v>341548</v>
      </c>
      <c r="H2448" s="3">
        <v>82.1</v>
      </c>
      <c r="I2448" s="3">
        <v>11.1</v>
      </c>
      <c r="J2448" s="3">
        <v>6.8</v>
      </c>
      <c r="K2448" s="3">
        <v>0.1</v>
      </c>
      <c r="L2448" s="3">
        <v>7.2</v>
      </c>
      <c r="M2448" t="str">
        <f>IF(acs2015_county_data[[#This Row],[PublicWork]]&gt;='Описательные характеристики'!$F$5,"да","нет")</f>
        <v>нет</v>
      </c>
      <c r="N2448" t="str">
        <f>IF(acs2015_county_data[[#This Row],[Unemployment]]&gt;='Описательные характеристики'!$I$5,"да","нет")</f>
        <v>нет</v>
      </c>
    </row>
    <row r="2449" spans="1:14" x14ac:dyDescent="0.35">
      <c r="A2449">
        <v>47039</v>
      </c>
      <c r="B2449" t="s">
        <v>1510</v>
      </c>
      <c r="C2449" t="s">
        <v>386</v>
      </c>
      <c r="D2449" s="2">
        <v>11686</v>
      </c>
      <c r="E2449" s="2">
        <v>23715</v>
      </c>
      <c r="F2449" s="3">
        <v>3.5</v>
      </c>
      <c r="G2449" s="3">
        <v>4569</v>
      </c>
      <c r="H2449" s="3">
        <v>63.7</v>
      </c>
      <c r="I2449" s="3">
        <v>25.1</v>
      </c>
      <c r="J2449" s="3">
        <v>11.1</v>
      </c>
      <c r="K2449" s="3">
        <v>0.2</v>
      </c>
      <c r="L2449" s="3">
        <v>10.1</v>
      </c>
      <c r="M2449" t="str">
        <f>IF(acs2015_county_data[[#This Row],[PublicWork]]&gt;='Описательные характеристики'!$F$5,"да","нет")</f>
        <v>да</v>
      </c>
      <c r="N2449" t="str">
        <f>IF(acs2015_county_data[[#This Row],[Unemployment]]&gt;='Описательные характеристики'!$I$5,"да","нет")</f>
        <v>да</v>
      </c>
    </row>
    <row r="2450" spans="1:14" x14ac:dyDescent="0.35">
      <c r="A2450">
        <v>47041</v>
      </c>
      <c r="B2450" t="s">
        <v>1510</v>
      </c>
      <c r="C2450" t="s">
        <v>38</v>
      </c>
      <c r="D2450" s="2">
        <v>19038</v>
      </c>
      <c r="E2450" s="2">
        <v>25573</v>
      </c>
      <c r="F2450" s="3">
        <v>2.2999999999999998</v>
      </c>
      <c r="G2450" s="3">
        <v>7409</v>
      </c>
      <c r="H2450" s="3">
        <v>79.7</v>
      </c>
      <c r="I2450" s="3">
        <v>13.4</v>
      </c>
      <c r="J2450" s="3">
        <v>6.8</v>
      </c>
      <c r="K2450" s="3">
        <v>0.2</v>
      </c>
      <c r="L2450" s="3">
        <v>7.6</v>
      </c>
      <c r="M2450" t="str">
        <f>IF(acs2015_county_data[[#This Row],[PublicWork]]&gt;='Описательные характеристики'!$F$5,"да","нет")</f>
        <v>нет</v>
      </c>
      <c r="N2450" t="str">
        <f>IF(acs2015_county_data[[#This Row],[Unemployment]]&gt;='Описательные характеристики'!$I$5,"да","нет")</f>
        <v>да</v>
      </c>
    </row>
    <row r="2451" spans="1:14" x14ac:dyDescent="0.35">
      <c r="A2451">
        <v>47043</v>
      </c>
      <c r="B2451" t="s">
        <v>1510</v>
      </c>
      <c r="C2451" t="s">
        <v>1517</v>
      </c>
      <c r="D2451" s="2">
        <v>50472</v>
      </c>
      <c r="E2451" s="2">
        <v>22369</v>
      </c>
      <c r="F2451" s="3">
        <v>2.2000000000000002</v>
      </c>
      <c r="G2451" s="3">
        <v>21847</v>
      </c>
      <c r="H2451" s="3">
        <v>78.599999999999994</v>
      </c>
      <c r="I2451" s="3">
        <v>14.6</v>
      </c>
      <c r="J2451" s="3">
        <v>6.7</v>
      </c>
      <c r="K2451" s="3">
        <v>0</v>
      </c>
      <c r="L2451" s="3">
        <v>7.5</v>
      </c>
      <c r="M2451" t="str">
        <f>IF(acs2015_county_data[[#This Row],[PublicWork]]&gt;='Описательные характеристики'!$F$5,"да","нет")</f>
        <v>нет</v>
      </c>
      <c r="N2451" t="str">
        <f>IF(acs2015_county_data[[#This Row],[Unemployment]]&gt;='Описательные характеристики'!$I$5,"да","нет")</f>
        <v>нет</v>
      </c>
    </row>
    <row r="2452" spans="1:14" x14ac:dyDescent="0.35">
      <c r="A2452">
        <v>47045</v>
      </c>
      <c r="B2452" t="s">
        <v>1510</v>
      </c>
      <c r="C2452" t="s">
        <v>1518</v>
      </c>
      <c r="D2452" s="2">
        <v>38054</v>
      </c>
      <c r="E2452" s="2">
        <v>23044</v>
      </c>
      <c r="F2452" s="3">
        <v>1.3</v>
      </c>
      <c r="G2452" s="3">
        <v>16095</v>
      </c>
      <c r="H2452" s="3">
        <v>77.099999999999994</v>
      </c>
      <c r="I2452" s="3">
        <v>16.399999999999999</v>
      </c>
      <c r="J2452" s="3">
        <v>6.3</v>
      </c>
      <c r="K2452" s="3">
        <v>0.2</v>
      </c>
      <c r="L2452" s="3">
        <v>6.6</v>
      </c>
      <c r="M2452" t="str">
        <f>IF(acs2015_county_data[[#This Row],[PublicWork]]&gt;='Описательные характеристики'!$F$5,"да","нет")</f>
        <v>да</v>
      </c>
      <c r="N2452" t="str">
        <f>IF(acs2015_county_data[[#This Row],[Unemployment]]&gt;='Описательные характеристики'!$I$5,"да","нет")</f>
        <v>нет</v>
      </c>
    </row>
    <row r="2453" spans="1:14" x14ac:dyDescent="0.35">
      <c r="A2453">
        <v>47047</v>
      </c>
      <c r="B2453" t="s">
        <v>1510</v>
      </c>
      <c r="C2453" t="s">
        <v>42</v>
      </c>
      <c r="D2453" s="2">
        <v>38814</v>
      </c>
      <c r="E2453" s="2">
        <v>29431</v>
      </c>
      <c r="F2453" s="3">
        <v>3.6</v>
      </c>
      <c r="G2453" s="3">
        <v>17031</v>
      </c>
      <c r="H2453" s="3">
        <v>79.8</v>
      </c>
      <c r="I2453" s="3">
        <v>13</v>
      </c>
      <c r="J2453" s="3">
        <v>7.1</v>
      </c>
      <c r="K2453" s="3">
        <v>0.1</v>
      </c>
      <c r="L2453" s="3">
        <v>8.5</v>
      </c>
      <c r="M2453" t="str">
        <f>IF(acs2015_county_data[[#This Row],[PublicWork]]&gt;='Описательные характеристики'!$F$5,"да","нет")</f>
        <v>нет</v>
      </c>
      <c r="N2453" t="str">
        <f>IF(acs2015_county_data[[#This Row],[Unemployment]]&gt;='Описательные характеристики'!$I$5,"да","нет")</f>
        <v>да</v>
      </c>
    </row>
    <row r="2454" spans="1:14" x14ac:dyDescent="0.35">
      <c r="A2454">
        <v>47049</v>
      </c>
      <c r="B2454" t="s">
        <v>1510</v>
      </c>
      <c r="C2454" t="s">
        <v>1519</v>
      </c>
      <c r="D2454" s="2">
        <v>17931</v>
      </c>
      <c r="E2454" s="2">
        <v>16539</v>
      </c>
      <c r="F2454" s="3">
        <v>2.1</v>
      </c>
      <c r="G2454" s="3">
        <v>5998</v>
      </c>
      <c r="H2454" s="3">
        <v>70</v>
      </c>
      <c r="I2454" s="3">
        <v>17.2</v>
      </c>
      <c r="J2454" s="3">
        <v>12.7</v>
      </c>
      <c r="K2454" s="3">
        <v>0.2</v>
      </c>
      <c r="L2454" s="3">
        <v>10.4</v>
      </c>
      <c r="M2454" t="str">
        <f>IF(acs2015_county_data[[#This Row],[PublicWork]]&gt;='Описательные характеристики'!$F$5,"да","нет")</f>
        <v>да</v>
      </c>
      <c r="N2454" t="str">
        <f>IF(acs2015_county_data[[#This Row],[Unemployment]]&gt;='Описательные характеристики'!$I$5,"да","нет")</f>
        <v>да</v>
      </c>
    </row>
    <row r="2455" spans="1:14" x14ac:dyDescent="0.35">
      <c r="A2455">
        <v>47051</v>
      </c>
      <c r="B2455" t="s">
        <v>1510</v>
      </c>
      <c r="C2455" t="s">
        <v>43</v>
      </c>
      <c r="D2455" s="2">
        <v>41138</v>
      </c>
      <c r="E2455" s="2">
        <v>22889</v>
      </c>
      <c r="F2455" s="3">
        <v>3</v>
      </c>
      <c r="G2455" s="3">
        <v>17027</v>
      </c>
      <c r="H2455" s="3">
        <v>75.400000000000006</v>
      </c>
      <c r="I2455" s="3">
        <v>17</v>
      </c>
      <c r="J2455" s="3">
        <v>7.4</v>
      </c>
      <c r="K2455" s="3">
        <v>0.2</v>
      </c>
      <c r="L2455" s="3">
        <v>9.5</v>
      </c>
      <c r="M2455" t="str">
        <f>IF(acs2015_county_data[[#This Row],[PublicWork]]&gt;='Описательные характеристики'!$F$5,"да","нет")</f>
        <v>да</v>
      </c>
      <c r="N2455" t="str">
        <f>IF(acs2015_county_data[[#This Row],[Unemployment]]&gt;='Описательные характеристики'!$I$5,"да","нет")</f>
        <v>да</v>
      </c>
    </row>
    <row r="2456" spans="1:14" x14ac:dyDescent="0.35">
      <c r="A2456">
        <v>47053</v>
      </c>
      <c r="B2456" t="s">
        <v>1510</v>
      </c>
      <c r="C2456" t="s">
        <v>567</v>
      </c>
      <c r="D2456" s="2">
        <v>49572</v>
      </c>
      <c r="E2456" s="2">
        <v>20704</v>
      </c>
      <c r="F2456" s="3">
        <v>2.4</v>
      </c>
      <c r="G2456" s="3">
        <v>20201</v>
      </c>
      <c r="H2456" s="3">
        <v>79.5</v>
      </c>
      <c r="I2456" s="3">
        <v>12.4</v>
      </c>
      <c r="J2456" s="3">
        <v>7.9</v>
      </c>
      <c r="K2456" s="3">
        <v>0.1</v>
      </c>
      <c r="L2456" s="3">
        <v>9.5</v>
      </c>
      <c r="M2456" t="str">
        <f>IF(acs2015_county_data[[#This Row],[PublicWork]]&gt;='Описательные характеристики'!$F$5,"да","нет")</f>
        <v>нет</v>
      </c>
      <c r="N2456" t="str">
        <f>IF(acs2015_county_data[[#This Row],[Unemployment]]&gt;='Описательные характеристики'!$I$5,"да","нет")</f>
        <v>да</v>
      </c>
    </row>
    <row r="2457" spans="1:14" x14ac:dyDescent="0.35">
      <c r="A2457">
        <v>47055</v>
      </c>
      <c r="B2457" t="s">
        <v>1510</v>
      </c>
      <c r="C2457" t="s">
        <v>1520</v>
      </c>
      <c r="D2457" s="2">
        <v>28949</v>
      </c>
      <c r="E2457" s="2">
        <v>20765</v>
      </c>
      <c r="F2457" s="3">
        <v>2.2000000000000002</v>
      </c>
      <c r="G2457" s="3">
        <v>11881</v>
      </c>
      <c r="H2457" s="3">
        <v>75.8</v>
      </c>
      <c r="I2457" s="3">
        <v>15.5</v>
      </c>
      <c r="J2457" s="3">
        <v>8.8000000000000007</v>
      </c>
      <c r="K2457" s="3">
        <v>0</v>
      </c>
      <c r="L2457" s="3">
        <v>9.9</v>
      </c>
      <c r="M2457" t="str">
        <f>IF(acs2015_county_data[[#This Row],[PublicWork]]&gt;='Описательные характеристики'!$F$5,"да","нет")</f>
        <v>нет</v>
      </c>
      <c r="N2457" t="str">
        <f>IF(acs2015_county_data[[#This Row],[Unemployment]]&gt;='Описательные характеристики'!$I$5,"да","нет")</f>
        <v>да</v>
      </c>
    </row>
    <row r="2458" spans="1:14" x14ac:dyDescent="0.35">
      <c r="A2458">
        <v>47057</v>
      </c>
      <c r="B2458" t="s">
        <v>1510</v>
      </c>
      <c r="C2458" t="s">
        <v>1521</v>
      </c>
      <c r="D2458" s="2">
        <v>22736</v>
      </c>
      <c r="E2458" s="2">
        <v>18974</v>
      </c>
      <c r="F2458" s="3">
        <v>3.5</v>
      </c>
      <c r="G2458" s="3">
        <v>8940</v>
      </c>
      <c r="H2458" s="3">
        <v>76.5</v>
      </c>
      <c r="I2458" s="3">
        <v>13</v>
      </c>
      <c r="J2458" s="3">
        <v>10.199999999999999</v>
      </c>
      <c r="K2458" s="3">
        <v>0.3</v>
      </c>
      <c r="L2458" s="3">
        <v>9.5</v>
      </c>
      <c r="M2458" t="str">
        <f>IF(acs2015_county_data[[#This Row],[PublicWork]]&gt;='Описательные характеристики'!$F$5,"да","нет")</f>
        <v>нет</v>
      </c>
      <c r="N2458" t="str">
        <f>IF(acs2015_county_data[[#This Row],[Unemployment]]&gt;='Описательные характеристики'!$I$5,"да","нет")</f>
        <v>да</v>
      </c>
    </row>
    <row r="2459" spans="1:14" x14ac:dyDescent="0.35">
      <c r="A2459">
        <v>47059</v>
      </c>
      <c r="B2459" t="s">
        <v>1510</v>
      </c>
      <c r="C2459" t="s">
        <v>45</v>
      </c>
      <c r="D2459" s="2">
        <v>68576</v>
      </c>
      <c r="E2459" s="2">
        <v>20398</v>
      </c>
      <c r="F2459" s="3">
        <v>2.2000000000000002</v>
      </c>
      <c r="G2459" s="3">
        <v>28160</v>
      </c>
      <c r="H2459" s="3">
        <v>76.400000000000006</v>
      </c>
      <c r="I2459" s="3">
        <v>15.9</v>
      </c>
      <c r="J2459" s="3">
        <v>7.5</v>
      </c>
      <c r="K2459" s="3">
        <v>0.2</v>
      </c>
      <c r="L2459" s="3">
        <v>8.6999999999999993</v>
      </c>
      <c r="M2459" t="str">
        <f>IF(acs2015_county_data[[#This Row],[PublicWork]]&gt;='Описательные характеристики'!$F$5,"да","нет")</f>
        <v>нет</v>
      </c>
      <c r="N2459" t="str">
        <f>IF(acs2015_county_data[[#This Row],[Unemployment]]&gt;='Описательные характеристики'!$I$5,"да","нет")</f>
        <v>да</v>
      </c>
    </row>
    <row r="2460" spans="1:14" x14ac:dyDescent="0.35">
      <c r="A2460">
        <v>47061</v>
      </c>
      <c r="B2460" t="s">
        <v>1510</v>
      </c>
      <c r="C2460" t="s">
        <v>520</v>
      </c>
      <c r="D2460" s="2">
        <v>13524</v>
      </c>
      <c r="E2460" s="2">
        <v>16356</v>
      </c>
      <c r="F2460" s="3">
        <v>5.6</v>
      </c>
      <c r="G2460" s="3">
        <v>4529</v>
      </c>
      <c r="H2460" s="3">
        <v>77.900000000000006</v>
      </c>
      <c r="I2460" s="3">
        <v>12.2</v>
      </c>
      <c r="J2460" s="3">
        <v>9.8000000000000007</v>
      </c>
      <c r="K2460" s="3">
        <v>0.2</v>
      </c>
      <c r="L2460" s="3">
        <v>10.199999999999999</v>
      </c>
      <c r="M2460" t="str">
        <f>IF(acs2015_county_data[[#This Row],[PublicWork]]&gt;='Описательные характеристики'!$F$5,"да","нет")</f>
        <v>нет</v>
      </c>
      <c r="N2460" t="str">
        <f>IF(acs2015_county_data[[#This Row],[Unemployment]]&gt;='Описательные характеристики'!$I$5,"да","нет")</f>
        <v>да</v>
      </c>
    </row>
    <row r="2461" spans="1:14" x14ac:dyDescent="0.35">
      <c r="A2461">
        <v>47063</v>
      </c>
      <c r="B2461" t="s">
        <v>1510</v>
      </c>
      <c r="C2461" t="s">
        <v>1522</v>
      </c>
      <c r="D2461" s="2">
        <v>62999</v>
      </c>
      <c r="E2461" s="2">
        <v>20246</v>
      </c>
      <c r="F2461" s="3">
        <v>2</v>
      </c>
      <c r="G2461" s="3">
        <v>25095</v>
      </c>
      <c r="H2461" s="3">
        <v>81.7</v>
      </c>
      <c r="I2461" s="3">
        <v>11.3</v>
      </c>
      <c r="J2461" s="3">
        <v>6.8</v>
      </c>
      <c r="K2461" s="3">
        <v>0.1</v>
      </c>
      <c r="L2461" s="3">
        <v>10.1</v>
      </c>
      <c r="M2461" t="str">
        <f>IF(acs2015_county_data[[#This Row],[PublicWork]]&gt;='Описательные характеристики'!$F$5,"да","нет")</f>
        <v>нет</v>
      </c>
      <c r="N2461" t="str">
        <f>IF(acs2015_county_data[[#This Row],[Unemployment]]&gt;='Описательные характеристики'!$I$5,"да","нет")</f>
        <v>да</v>
      </c>
    </row>
    <row r="2462" spans="1:14" x14ac:dyDescent="0.35">
      <c r="A2462">
        <v>47065</v>
      </c>
      <c r="B2462" t="s">
        <v>1510</v>
      </c>
      <c r="C2462" t="s">
        <v>323</v>
      </c>
      <c r="D2462" s="2">
        <v>348121</v>
      </c>
      <c r="E2462" s="2">
        <v>27518</v>
      </c>
      <c r="F2462" s="3">
        <v>4.2</v>
      </c>
      <c r="G2462" s="3">
        <v>162818</v>
      </c>
      <c r="H2462" s="3">
        <v>79.599999999999994</v>
      </c>
      <c r="I2462" s="3">
        <v>14.3</v>
      </c>
      <c r="J2462" s="3">
        <v>5.9</v>
      </c>
      <c r="K2462" s="3">
        <v>0.2</v>
      </c>
      <c r="L2462" s="3">
        <v>8</v>
      </c>
      <c r="M2462" t="str">
        <f>IF(acs2015_county_data[[#This Row],[PublicWork]]&gt;='Описательные характеристики'!$F$5,"да","нет")</f>
        <v>нет</v>
      </c>
      <c r="N2462" t="str">
        <f>IF(acs2015_county_data[[#This Row],[Unemployment]]&gt;='Описательные характеристики'!$I$5,"да","нет")</f>
        <v>да</v>
      </c>
    </row>
    <row r="2463" spans="1:14" x14ac:dyDescent="0.35">
      <c r="A2463">
        <v>47067</v>
      </c>
      <c r="B2463" t="s">
        <v>1510</v>
      </c>
      <c r="C2463" t="s">
        <v>406</v>
      </c>
      <c r="D2463" s="2">
        <v>6642</v>
      </c>
      <c r="E2463" s="2">
        <v>15169</v>
      </c>
      <c r="F2463" s="3">
        <v>4.2</v>
      </c>
      <c r="G2463" s="3">
        <v>2240</v>
      </c>
      <c r="H2463" s="3">
        <v>64.400000000000006</v>
      </c>
      <c r="I2463" s="3">
        <v>22.1</v>
      </c>
      <c r="J2463" s="3">
        <v>13.5</v>
      </c>
      <c r="K2463" s="3">
        <v>0</v>
      </c>
      <c r="L2463" s="3">
        <v>12.1</v>
      </c>
      <c r="M2463" t="str">
        <f>IF(acs2015_county_data[[#This Row],[PublicWork]]&gt;='Описательные характеристики'!$F$5,"да","нет")</f>
        <v>да</v>
      </c>
      <c r="N2463" t="str">
        <f>IF(acs2015_county_data[[#This Row],[Unemployment]]&gt;='Описательные характеристики'!$I$5,"да","нет")</f>
        <v>да</v>
      </c>
    </row>
    <row r="2464" spans="1:14" x14ac:dyDescent="0.35">
      <c r="A2464">
        <v>47069</v>
      </c>
      <c r="B2464" t="s">
        <v>1510</v>
      </c>
      <c r="C2464" t="s">
        <v>1523</v>
      </c>
      <c r="D2464" s="2">
        <v>26253</v>
      </c>
      <c r="E2464" s="2">
        <v>15671</v>
      </c>
      <c r="F2464" s="3">
        <v>5.3</v>
      </c>
      <c r="G2464" s="3">
        <v>8256</v>
      </c>
      <c r="H2464" s="3">
        <v>70.7</v>
      </c>
      <c r="I2464" s="3">
        <v>22</v>
      </c>
      <c r="J2464" s="3">
        <v>7.2</v>
      </c>
      <c r="K2464" s="3">
        <v>0</v>
      </c>
      <c r="L2464" s="3">
        <v>18.7</v>
      </c>
      <c r="M2464" t="str">
        <f>IF(acs2015_county_data[[#This Row],[PublicWork]]&gt;='Описательные характеристики'!$F$5,"да","нет")</f>
        <v>да</v>
      </c>
      <c r="N2464" t="str">
        <f>IF(acs2015_county_data[[#This Row],[Unemployment]]&gt;='Описательные характеристики'!$I$5,"да","нет")</f>
        <v>да</v>
      </c>
    </row>
    <row r="2465" spans="1:14" x14ac:dyDescent="0.35">
      <c r="A2465">
        <v>47071</v>
      </c>
      <c r="B2465" t="s">
        <v>1510</v>
      </c>
      <c r="C2465" t="s">
        <v>521</v>
      </c>
      <c r="D2465" s="2">
        <v>25900</v>
      </c>
      <c r="E2465" s="2">
        <v>20740</v>
      </c>
      <c r="F2465" s="3">
        <v>4.8</v>
      </c>
      <c r="G2465" s="3">
        <v>9438</v>
      </c>
      <c r="H2465" s="3">
        <v>72.900000000000006</v>
      </c>
      <c r="I2465" s="3">
        <v>15.5</v>
      </c>
      <c r="J2465" s="3">
        <v>11.6</v>
      </c>
      <c r="K2465" s="3">
        <v>0</v>
      </c>
      <c r="L2465" s="3">
        <v>13.9</v>
      </c>
      <c r="M2465" t="str">
        <f>IF(acs2015_county_data[[#This Row],[PublicWork]]&gt;='Описательные характеристики'!$F$5,"да","нет")</f>
        <v>нет</v>
      </c>
      <c r="N2465" t="str">
        <f>IF(acs2015_county_data[[#This Row],[Unemployment]]&gt;='Описательные характеристики'!$I$5,"да","нет")</f>
        <v>да</v>
      </c>
    </row>
    <row r="2466" spans="1:14" x14ac:dyDescent="0.35">
      <c r="A2466">
        <v>47073</v>
      </c>
      <c r="B2466" t="s">
        <v>1510</v>
      </c>
      <c r="C2466" t="s">
        <v>1524</v>
      </c>
      <c r="D2466" s="2">
        <v>56595</v>
      </c>
      <c r="E2466" s="2">
        <v>20338</v>
      </c>
      <c r="F2466" s="3">
        <v>2.2000000000000002</v>
      </c>
      <c r="G2466" s="3">
        <v>21893</v>
      </c>
      <c r="H2466" s="3">
        <v>79.8</v>
      </c>
      <c r="I2466" s="3">
        <v>12.6</v>
      </c>
      <c r="J2466" s="3">
        <v>7.6</v>
      </c>
      <c r="K2466" s="3">
        <v>0</v>
      </c>
      <c r="L2466" s="3">
        <v>10</v>
      </c>
      <c r="M2466" t="str">
        <f>IF(acs2015_county_data[[#This Row],[PublicWork]]&gt;='Описательные характеристики'!$F$5,"да","нет")</f>
        <v>нет</v>
      </c>
      <c r="N2466" t="str">
        <f>IF(acs2015_county_data[[#This Row],[Unemployment]]&gt;='Описательные характеристики'!$I$5,"да","нет")</f>
        <v>да</v>
      </c>
    </row>
    <row r="2467" spans="1:14" x14ac:dyDescent="0.35">
      <c r="A2467">
        <v>47075</v>
      </c>
      <c r="B2467" t="s">
        <v>1510</v>
      </c>
      <c r="C2467" t="s">
        <v>1249</v>
      </c>
      <c r="D2467" s="2">
        <v>18248</v>
      </c>
      <c r="E2467" s="2">
        <v>19027</v>
      </c>
      <c r="F2467" s="3">
        <v>2.4</v>
      </c>
      <c r="G2467" s="3">
        <v>7194</v>
      </c>
      <c r="H2467" s="3">
        <v>75.7</v>
      </c>
      <c r="I2467" s="3">
        <v>17.600000000000001</v>
      </c>
      <c r="J2467" s="3">
        <v>6.2</v>
      </c>
      <c r="K2467" s="3">
        <v>0.6</v>
      </c>
      <c r="L2467" s="3">
        <v>10.5</v>
      </c>
      <c r="M2467" t="str">
        <f>IF(acs2015_county_data[[#This Row],[PublicWork]]&gt;='Описательные характеристики'!$F$5,"да","нет")</f>
        <v>да</v>
      </c>
      <c r="N2467" t="str">
        <f>IF(acs2015_county_data[[#This Row],[Unemployment]]&gt;='Описательные характеристики'!$I$5,"да","нет")</f>
        <v>да</v>
      </c>
    </row>
    <row r="2468" spans="1:14" x14ac:dyDescent="0.35">
      <c r="A2468">
        <v>47077</v>
      </c>
      <c r="B2468" t="s">
        <v>1510</v>
      </c>
      <c r="C2468" t="s">
        <v>522</v>
      </c>
      <c r="D2468" s="2">
        <v>28013</v>
      </c>
      <c r="E2468" s="2">
        <v>19269</v>
      </c>
      <c r="F2468" s="3">
        <v>3</v>
      </c>
      <c r="G2468" s="3">
        <v>11115</v>
      </c>
      <c r="H2468" s="3">
        <v>76.900000000000006</v>
      </c>
      <c r="I2468" s="3">
        <v>13.8</v>
      </c>
      <c r="J2468" s="3">
        <v>9.3000000000000007</v>
      </c>
      <c r="K2468" s="3">
        <v>0</v>
      </c>
      <c r="L2468" s="3">
        <v>9.4</v>
      </c>
      <c r="M2468" t="str">
        <f>IF(acs2015_county_data[[#This Row],[PublicWork]]&gt;='Описательные характеристики'!$F$5,"да","нет")</f>
        <v>нет</v>
      </c>
      <c r="N2468" t="str">
        <f>IF(acs2015_county_data[[#This Row],[Unemployment]]&gt;='Описательные характеристики'!$I$5,"да","нет")</f>
        <v>да</v>
      </c>
    </row>
    <row r="2469" spans="1:14" x14ac:dyDescent="0.35">
      <c r="A2469">
        <v>47079</v>
      </c>
      <c r="B2469" t="s">
        <v>1510</v>
      </c>
      <c r="C2469" t="s">
        <v>47</v>
      </c>
      <c r="D2469" s="2">
        <v>32269</v>
      </c>
      <c r="E2469" s="2">
        <v>22207</v>
      </c>
      <c r="F2469" s="3">
        <v>3.9</v>
      </c>
      <c r="G2469" s="3">
        <v>12592</v>
      </c>
      <c r="H2469" s="3">
        <v>72.2</v>
      </c>
      <c r="I2469" s="3">
        <v>16.8</v>
      </c>
      <c r="J2469" s="3">
        <v>10.3</v>
      </c>
      <c r="K2469" s="3">
        <v>0.6</v>
      </c>
      <c r="L2469" s="3">
        <v>9.6999999999999993</v>
      </c>
      <c r="M2469" t="str">
        <f>IF(acs2015_county_data[[#This Row],[PublicWork]]&gt;='Описательные характеристики'!$F$5,"да","нет")</f>
        <v>да</v>
      </c>
      <c r="N2469" t="str">
        <f>IF(acs2015_county_data[[#This Row],[Unemployment]]&gt;='Описательные характеристики'!$I$5,"да","нет")</f>
        <v>да</v>
      </c>
    </row>
    <row r="2470" spans="1:14" x14ac:dyDescent="0.35">
      <c r="A2470">
        <v>47081</v>
      </c>
      <c r="B2470" t="s">
        <v>1510</v>
      </c>
      <c r="C2470" t="s">
        <v>737</v>
      </c>
      <c r="D2470" s="2">
        <v>24283</v>
      </c>
      <c r="E2470" s="2">
        <v>17957</v>
      </c>
      <c r="F2470" s="3">
        <v>3.5</v>
      </c>
      <c r="G2470" s="3">
        <v>9388</v>
      </c>
      <c r="H2470" s="3">
        <v>77.7</v>
      </c>
      <c r="I2470" s="3">
        <v>14</v>
      </c>
      <c r="J2470" s="3">
        <v>8.3000000000000007</v>
      </c>
      <c r="K2470" s="3">
        <v>0</v>
      </c>
      <c r="L2470" s="3">
        <v>8.6</v>
      </c>
      <c r="M2470" t="str">
        <f>IF(acs2015_county_data[[#This Row],[PublicWork]]&gt;='Описательные характеристики'!$F$5,"да","нет")</f>
        <v>нет</v>
      </c>
      <c r="N2470" t="str">
        <f>IF(acs2015_county_data[[#This Row],[Unemployment]]&gt;='Описательные характеристики'!$I$5,"да","нет")</f>
        <v>да</v>
      </c>
    </row>
    <row r="2471" spans="1:14" x14ac:dyDescent="0.35">
      <c r="A2471">
        <v>47083</v>
      </c>
      <c r="B2471" t="s">
        <v>1510</v>
      </c>
      <c r="C2471" t="s">
        <v>48</v>
      </c>
      <c r="D2471" s="2">
        <v>8290</v>
      </c>
      <c r="E2471" s="2">
        <v>18234</v>
      </c>
      <c r="F2471" s="3">
        <v>1.3</v>
      </c>
      <c r="G2471" s="3">
        <v>2997</v>
      </c>
      <c r="H2471" s="3">
        <v>66.8</v>
      </c>
      <c r="I2471" s="3">
        <v>19.2</v>
      </c>
      <c r="J2471" s="3">
        <v>13.9</v>
      </c>
      <c r="K2471" s="3">
        <v>0.1</v>
      </c>
      <c r="L2471" s="3">
        <v>8.1</v>
      </c>
      <c r="M2471" t="str">
        <f>IF(acs2015_county_data[[#This Row],[PublicWork]]&gt;='Описательные характеристики'!$F$5,"да","нет")</f>
        <v>да</v>
      </c>
      <c r="N2471" t="str">
        <f>IF(acs2015_county_data[[#This Row],[Unemployment]]&gt;='Описательные характеристики'!$I$5,"да","нет")</f>
        <v>да</v>
      </c>
    </row>
    <row r="2472" spans="1:14" x14ac:dyDescent="0.35">
      <c r="A2472">
        <v>47085</v>
      </c>
      <c r="B2472" t="s">
        <v>1510</v>
      </c>
      <c r="C2472" t="s">
        <v>989</v>
      </c>
      <c r="D2472" s="2">
        <v>18240</v>
      </c>
      <c r="E2472" s="2">
        <v>22329</v>
      </c>
      <c r="F2472" s="3">
        <v>3.8</v>
      </c>
      <c r="G2472" s="3">
        <v>7067</v>
      </c>
      <c r="H2472" s="3">
        <v>73.099999999999994</v>
      </c>
      <c r="I2472" s="3">
        <v>18.600000000000001</v>
      </c>
      <c r="J2472" s="3">
        <v>7.9</v>
      </c>
      <c r="K2472" s="3">
        <v>0.4</v>
      </c>
      <c r="L2472" s="3">
        <v>8.9</v>
      </c>
      <c r="M2472" t="str">
        <f>IF(acs2015_county_data[[#This Row],[PublicWork]]&gt;='Описательные характеристики'!$F$5,"да","нет")</f>
        <v>да</v>
      </c>
      <c r="N2472" t="str">
        <f>IF(acs2015_county_data[[#This Row],[Unemployment]]&gt;='Описательные характеристики'!$I$5,"да","нет")</f>
        <v>да</v>
      </c>
    </row>
    <row r="2473" spans="1:14" x14ac:dyDescent="0.35">
      <c r="A2473">
        <v>47087</v>
      </c>
      <c r="B2473" t="s">
        <v>1510</v>
      </c>
      <c r="C2473" t="s">
        <v>49</v>
      </c>
      <c r="D2473" s="2">
        <v>11496</v>
      </c>
      <c r="E2473" s="2">
        <v>17788</v>
      </c>
      <c r="F2473" s="3">
        <v>2.1</v>
      </c>
      <c r="G2473" s="3">
        <v>3842</v>
      </c>
      <c r="H2473" s="3">
        <v>72.7</v>
      </c>
      <c r="I2473" s="3">
        <v>17.399999999999999</v>
      </c>
      <c r="J2473" s="3">
        <v>8.6</v>
      </c>
      <c r="K2473" s="3">
        <v>1.2</v>
      </c>
      <c r="L2473" s="3">
        <v>14.5</v>
      </c>
      <c r="M2473" t="str">
        <f>IF(acs2015_county_data[[#This Row],[PublicWork]]&gt;='Описательные характеристики'!$F$5,"да","нет")</f>
        <v>да</v>
      </c>
      <c r="N2473" t="str">
        <f>IF(acs2015_county_data[[#This Row],[Unemployment]]&gt;='Описательные характеристики'!$I$5,"да","нет")</f>
        <v>да</v>
      </c>
    </row>
    <row r="2474" spans="1:14" x14ac:dyDescent="0.35">
      <c r="A2474">
        <v>47089</v>
      </c>
      <c r="B2474" t="s">
        <v>1510</v>
      </c>
      <c r="C2474" t="s">
        <v>50</v>
      </c>
      <c r="D2474" s="2">
        <v>52490</v>
      </c>
      <c r="E2474" s="2">
        <v>22383</v>
      </c>
      <c r="F2474" s="3">
        <v>3.1</v>
      </c>
      <c r="G2474" s="3">
        <v>23000</v>
      </c>
      <c r="H2474" s="3">
        <v>77.900000000000006</v>
      </c>
      <c r="I2474" s="3">
        <v>14.9</v>
      </c>
      <c r="J2474" s="3">
        <v>7.1</v>
      </c>
      <c r="K2474" s="3">
        <v>0.1</v>
      </c>
      <c r="L2474" s="3">
        <v>9.1</v>
      </c>
      <c r="M2474" t="str">
        <f>IF(acs2015_county_data[[#This Row],[PublicWork]]&gt;='Описательные характеристики'!$F$5,"да","нет")</f>
        <v>нет</v>
      </c>
      <c r="N2474" t="str">
        <f>IF(acs2015_county_data[[#This Row],[Unemployment]]&gt;='Описательные характеристики'!$I$5,"да","нет")</f>
        <v>да</v>
      </c>
    </row>
    <row r="2475" spans="1:14" x14ac:dyDescent="0.35">
      <c r="A2475">
        <v>47091</v>
      </c>
      <c r="B2475" t="s">
        <v>1510</v>
      </c>
      <c r="C2475" t="s">
        <v>150</v>
      </c>
      <c r="D2475" s="2">
        <v>18017</v>
      </c>
      <c r="E2475" s="2">
        <v>16916</v>
      </c>
      <c r="F2475" s="3">
        <v>6.7</v>
      </c>
      <c r="G2475" s="3">
        <v>6048</v>
      </c>
      <c r="H2475" s="3">
        <v>65.599999999999994</v>
      </c>
      <c r="I2475" s="3">
        <v>24.8</v>
      </c>
      <c r="J2475" s="3">
        <v>9.4</v>
      </c>
      <c r="K2475" s="3">
        <v>0.2</v>
      </c>
      <c r="L2475" s="3">
        <v>9</v>
      </c>
      <c r="M2475" t="str">
        <f>IF(acs2015_county_data[[#This Row],[PublicWork]]&gt;='Описательные характеристики'!$F$5,"да","нет")</f>
        <v>да</v>
      </c>
      <c r="N2475" t="str">
        <f>IF(acs2015_county_data[[#This Row],[Unemployment]]&gt;='Описательные характеристики'!$I$5,"да","нет")</f>
        <v>да</v>
      </c>
    </row>
    <row r="2476" spans="1:14" x14ac:dyDescent="0.35">
      <c r="A2476">
        <v>47093</v>
      </c>
      <c r="B2476" t="s">
        <v>1510</v>
      </c>
      <c r="C2476" t="s">
        <v>529</v>
      </c>
      <c r="D2476" s="2">
        <v>444348</v>
      </c>
      <c r="E2476" s="2">
        <v>28337</v>
      </c>
      <c r="F2476" s="3">
        <v>4.0999999999999996</v>
      </c>
      <c r="G2476" s="3">
        <v>215253</v>
      </c>
      <c r="H2476" s="3">
        <v>80.400000000000006</v>
      </c>
      <c r="I2476" s="3">
        <v>13.6</v>
      </c>
      <c r="J2476" s="3">
        <v>5.9</v>
      </c>
      <c r="K2476" s="3">
        <v>0.1</v>
      </c>
      <c r="L2476" s="3">
        <v>6.5</v>
      </c>
      <c r="M2476" t="str">
        <f>IF(acs2015_county_data[[#This Row],[PublicWork]]&gt;='Описательные характеристики'!$F$5,"да","нет")</f>
        <v>нет</v>
      </c>
      <c r="N2476" t="str">
        <f>IF(acs2015_county_data[[#This Row],[Unemployment]]&gt;='Описательные характеристики'!$I$5,"да","нет")</f>
        <v>нет</v>
      </c>
    </row>
    <row r="2477" spans="1:14" x14ac:dyDescent="0.35">
      <c r="A2477">
        <v>47095</v>
      </c>
      <c r="B2477" t="s">
        <v>1510</v>
      </c>
      <c r="C2477" t="s">
        <v>196</v>
      </c>
      <c r="D2477" s="2">
        <v>7687</v>
      </c>
      <c r="E2477" s="2">
        <v>12810</v>
      </c>
      <c r="F2477" s="3">
        <v>2.2999999999999998</v>
      </c>
      <c r="G2477" s="3">
        <v>1840</v>
      </c>
      <c r="H2477" s="3">
        <v>63.1</v>
      </c>
      <c r="I2477" s="3">
        <v>29.9</v>
      </c>
      <c r="J2477" s="3">
        <v>6.4</v>
      </c>
      <c r="K2477" s="3">
        <v>0.5</v>
      </c>
      <c r="L2477" s="3">
        <v>10.1</v>
      </c>
      <c r="M2477" t="str">
        <f>IF(acs2015_county_data[[#This Row],[PublicWork]]&gt;='Описательные характеристики'!$F$5,"да","нет")</f>
        <v>да</v>
      </c>
      <c r="N2477" t="str">
        <f>IF(acs2015_county_data[[#This Row],[Unemployment]]&gt;='Описательные характеристики'!$I$5,"да","нет")</f>
        <v>да</v>
      </c>
    </row>
    <row r="2478" spans="1:14" x14ac:dyDescent="0.35">
      <c r="A2478">
        <v>47097</v>
      </c>
      <c r="B2478" t="s">
        <v>1510</v>
      </c>
      <c r="C2478" t="s">
        <v>993</v>
      </c>
      <c r="D2478" s="2">
        <v>27427</v>
      </c>
      <c r="E2478" s="2">
        <v>15769</v>
      </c>
      <c r="F2478" s="3">
        <v>1.4</v>
      </c>
      <c r="G2478" s="3">
        <v>9099</v>
      </c>
      <c r="H2478" s="3">
        <v>72.5</v>
      </c>
      <c r="I2478" s="3">
        <v>21.8</v>
      </c>
      <c r="J2478" s="3">
        <v>5.5</v>
      </c>
      <c r="K2478" s="3">
        <v>0.3</v>
      </c>
      <c r="L2478" s="3">
        <v>13.4</v>
      </c>
      <c r="M2478" t="str">
        <f>IF(acs2015_county_data[[#This Row],[PublicWork]]&gt;='Описательные характеристики'!$F$5,"да","нет")</f>
        <v>да</v>
      </c>
      <c r="N2478" t="str">
        <f>IF(acs2015_county_data[[#This Row],[Unemployment]]&gt;='Описательные характеристики'!$I$5,"да","нет")</f>
        <v>да</v>
      </c>
    </row>
    <row r="2479" spans="1:14" x14ac:dyDescent="0.35">
      <c r="A2479">
        <v>47099</v>
      </c>
      <c r="B2479" t="s">
        <v>1510</v>
      </c>
      <c r="C2479" t="s">
        <v>52</v>
      </c>
      <c r="D2479" s="2">
        <v>42226</v>
      </c>
      <c r="E2479" s="2">
        <v>19214</v>
      </c>
      <c r="F2479" s="3">
        <v>3.3</v>
      </c>
      <c r="G2479" s="3">
        <v>16607</v>
      </c>
      <c r="H2479" s="3">
        <v>75.8</v>
      </c>
      <c r="I2479" s="3">
        <v>14.8</v>
      </c>
      <c r="J2479" s="3">
        <v>9</v>
      </c>
      <c r="K2479" s="3">
        <v>0.5</v>
      </c>
      <c r="L2479" s="3">
        <v>10.8</v>
      </c>
      <c r="M2479" t="str">
        <f>IF(acs2015_county_data[[#This Row],[PublicWork]]&gt;='Описательные характеристики'!$F$5,"да","нет")</f>
        <v>нет</v>
      </c>
      <c r="N2479" t="str">
        <f>IF(acs2015_county_data[[#This Row],[Unemployment]]&gt;='Описательные характеристики'!$I$5,"да","нет")</f>
        <v>да</v>
      </c>
    </row>
    <row r="2480" spans="1:14" x14ac:dyDescent="0.35">
      <c r="A2480">
        <v>47101</v>
      </c>
      <c r="B2480" t="s">
        <v>1510</v>
      </c>
      <c r="C2480" t="s">
        <v>492</v>
      </c>
      <c r="D2480" s="2">
        <v>11944</v>
      </c>
      <c r="E2480" s="2">
        <v>18236</v>
      </c>
      <c r="F2480" s="3">
        <v>3.7</v>
      </c>
      <c r="G2480" s="3">
        <v>4858</v>
      </c>
      <c r="H2480" s="3">
        <v>74.8</v>
      </c>
      <c r="I2480" s="3">
        <v>10.3</v>
      </c>
      <c r="J2480" s="3">
        <v>15</v>
      </c>
      <c r="K2480" s="3">
        <v>0</v>
      </c>
      <c r="L2480" s="3">
        <v>7.7</v>
      </c>
      <c r="M2480" t="str">
        <f>IF(acs2015_county_data[[#This Row],[PublicWork]]&gt;='Описательные характеристики'!$F$5,"да","нет")</f>
        <v>нет</v>
      </c>
      <c r="N2480" t="str">
        <f>IF(acs2015_county_data[[#This Row],[Unemployment]]&gt;='Описательные характеристики'!$I$5,"да","нет")</f>
        <v>да</v>
      </c>
    </row>
    <row r="2481" spans="1:14" x14ac:dyDescent="0.35">
      <c r="A2481">
        <v>47103</v>
      </c>
      <c r="B2481" t="s">
        <v>1510</v>
      </c>
      <c r="C2481" t="s">
        <v>152</v>
      </c>
      <c r="D2481" s="2">
        <v>33550</v>
      </c>
      <c r="E2481" s="2">
        <v>21655</v>
      </c>
      <c r="F2481" s="3">
        <v>2.1</v>
      </c>
      <c r="G2481" s="3">
        <v>14232</v>
      </c>
      <c r="H2481" s="3">
        <v>77.8</v>
      </c>
      <c r="I2481" s="3">
        <v>12.9</v>
      </c>
      <c r="J2481" s="3">
        <v>9</v>
      </c>
      <c r="K2481" s="3">
        <v>0.2</v>
      </c>
      <c r="L2481" s="3">
        <v>7.6</v>
      </c>
      <c r="M2481" t="str">
        <f>IF(acs2015_county_data[[#This Row],[PublicWork]]&gt;='Описательные характеристики'!$F$5,"да","нет")</f>
        <v>нет</v>
      </c>
      <c r="N2481" t="str">
        <f>IF(acs2015_county_data[[#This Row],[Unemployment]]&gt;='Описательные характеристики'!$I$5,"да","нет")</f>
        <v>да</v>
      </c>
    </row>
    <row r="2482" spans="1:14" x14ac:dyDescent="0.35">
      <c r="A2482">
        <v>47105</v>
      </c>
      <c r="B2482" t="s">
        <v>1510</v>
      </c>
      <c r="C2482" t="s">
        <v>1525</v>
      </c>
      <c r="D2482" s="2">
        <v>50229</v>
      </c>
      <c r="E2482" s="2">
        <v>27466</v>
      </c>
      <c r="F2482" s="3">
        <v>3.7</v>
      </c>
      <c r="G2482" s="3">
        <v>19909</v>
      </c>
      <c r="H2482" s="3">
        <v>80.3</v>
      </c>
      <c r="I2482" s="3">
        <v>12.6</v>
      </c>
      <c r="J2482" s="3">
        <v>6.9</v>
      </c>
      <c r="K2482" s="3">
        <v>0.3</v>
      </c>
      <c r="L2482" s="3">
        <v>8.9</v>
      </c>
      <c r="M2482" t="str">
        <f>IF(acs2015_county_data[[#This Row],[PublicWork]]&gt;='Описательные характеристики'!$F$5,"да","нет")</f>
        <v>нет</v>
      </c>
      <c r="N2482" t="str">
        <f>IF(acs2015_county_data[[#This Row],[Unemployment]]&gt;='Описательные характеристики'!$I$5,"да","нет")</f>
        <v>да</v>
      </c>
    </row>
    <row r="2483" spans="1:14" x14ac:dyDescent="0.35">
      <c r="A2483">
        <v>47107</v>
      </c>
      <c r="B2483" t="s">
        <v>1510</v>
      </c>
      <c r="C2483" t="s">
        <v>1526</v>
      </c>
      <c r="D2483" s="2">
        <v>52506</v>
      </c>
      <c r="E2483" s="2">
        <v>20215</v>
      </c>
      <c r="F2483" s="3">
        <v>3</v>
      </c>
      <c r="G2483" s="3">
        <v>20767</v>
      </c>
      <c r="H2483" s="3">
        <v>83</v>
      </c>
      <c r="I2483" s="3">
        <v>11.5</v>
      </c>
      <c r="J2483" s="3">
        <v>5.5</v>
      </c>
      <c r="K2483" s="3">
        <v>0</v>
      </c>
      <c r="L2483" s="3">
        <v>9.3000000000000007</v>
      </c>
      <c r="M2483" t="str">
        <f>IF(acs2015_county_data[[#This Row],[PublicWork]]&gt;='Описательные характеристики'!$F$5,"да","нет")</f>
        <v>нет</v>
      </c>
      <c r="N2483" t="str">
        <f>IF(acs2015_county_data[[#This Row],[Unemployment]]&gt;='Описательные характеристики'!$I$5,"да","нет")</f>
        <v>да</v>
      </c>
    </row>
    <row r="2484" spans="1:14" x14ac:dyDescent="0.35">
      <c r="A2484">
        <v>47109</v>
      </c>
      <c r="B2484" t="s">
        <v>1510</v>
      </c>
      <c r="C2484" t="s">
        <v>1527</v>
      </c>
      <c r="D2484" s="2">
        <v>26103</v>
      </c>
      <c r="E2484" s="2">
        <v>17751</v>
      </c>
      <c r="F2484" s="3">
        <v>4</v>
      </c>
      <c r="G2484" s="3">
        <v>8901</v>
      </c>
      <c r="H2484" s="3">
        <v>72.7</v>
      </c>
      <c r="I2484" s="3">
        <v>17.3</v>
      </c>
      <c r="J2484" s="3">
        <v>10</v>
      </c>
      <c r="K2484" s="3">
        <v>0.1</v>
      </c>
      <c r="L2484" s="3">
        <v>14.9</v>
      </c>
      <c r="M2484" t="str">
        <f>IF(acs2015_county_data[[#This Row],[PublicWork]]&gt;='Описательные характеристики'!$F$5,"да","нет")</f>
        <v>да</v>
      </c>
      <c r="N2484" t="str">
        <f>IF(acs2015_county_data[[#This Row],[Unemployment]]&gt;='Описательные характеристики'!$I$5,"да","нет")</f>
        <v>да</v>
      </c>
    </row>
    <row r="2485" spans="1:14" x14ac:dyDescent="0.35">
      <c r="A2485">
        <v>47111</v>
      </c>
      <c r="B2485" t="s">
        <v>1510</v>
      </c>
      <c r="C2485" t="s">
        <v>56</v>
      </c>
      <c r="D2485" s="2">
        <v>22761</v>
      </c>
      <c r="E2485" s="2">
        <v>17882</v>
      </c>
      <c r="F2485" s="3">
        <v>1.9</v>
      </c>
      <c r="G2485" s="3">
        <v>9657</v>
      </c>
      <c r="H2485" s="3">
        <v>77.099999999999994</v>
      </c>
      <c r="I2485" s="3">
        <v>13.4</v>
      </c>
      <c r="J2485" s="3">
        <v>9.4</v>
      </c>
      <c r="K2485" s="3">
        <v>0.1</v>
      </c>
      <c r="L2485" s="3">
        <v>7.4</v>
      </c>
      <c r="M2485" t="str">
        <f>IF(acs2015_county_data[[#This Row],[PublicWork]]&gt;='Описательные характеристики'!$F$5,"да","нет")</f>
        <v>нет</v>
      </c>
      <c r="N2485" t="str">
        <f>IF(acs2015_county_data[[#This Row],[Unemployment]]&gt;='Описательные характеристики'!$I$5,"да","нет")</f>
        <v>нет</v>
      </c>
    </row>
    <row r="2486" spans="1:14" x14ac:dyDescent="0.35">
      <c r="A2486">
        <v>47113</v>
      </c>
      <c r="B2486" t="s">
        <v>1510</v>
      </c>
      <c r="C2486" t="s">
        <v>57</v>
      </c>
      <c r="D2486" s="2">
        <v>98184</v>
      </c>
      <c r="E2486" s="2">
        <v>23467</v>
      </c>
      <c r="F2486" s="3">
        <v>3.9</v>
      </c>
      <c r="G2486" s="3">
        <v>43039</v>
      </c>
      <c r="H2486" s="3">
        <v>80</v>
      </c>
      <c r="I2486" s="3">
        <v>14.2</v>
      </c>
      <c r="J2486" s="3">
        <v>5.5</v>
      </c>
      <c r="K2486" s="3">
        <v>0.3</v>
      </c>
      <c r="L2486" s="3">
        <v>8.4</v>
      </c>
      <c r="M2486" t="str">
        <f>IF(acs2015_county_data[[#This Row],[PublicWork]]&gt;='Описательные характеристики'!$F$5,"да","нет")</f>
        <v>нет</v>
      </c>
      <c r="N2486" t="str">
        <f>IF(acs2015_county_data[[#This Row],[Unemployment]]&gt;='Описательные характеристики'!$I$5,"да","нет")</f>
        <v>да</v>
      </c>
    </row>
    <row r="2487" spans="1:14" x14ac:dyDescent="0.35">
      <c r="A2487">
        <v>47115</v>
      </c>
      <c r="B2487" t="s">
        <v>1510</v>
      </c>
      <c r="C2487" t="s">
        <v>59</v>
      </c>
      <c r="D2487" s="2">
        <v>28306</v>
      </c>
      <c r="E2487" s="2">
        <v>21784</v>
      </c>
      <c r="F2487" s="3">
        <v>4.5999999999999996</v>
      </c>
      <c r="G2487" s="3">
        <v>11895</v>
      </c>
      <c r="H2487" s="3">
        <v>79.599999999999994</v>
      </c>
      <c r="I2487" s="3">
        <v>14.1</v>
      </c>
      <c r="J2487" s="3">
        <v>6.2</v>
      </c>
      <c r="K2487" s="3">
        <v>0.1</v>
      </c>
      <c r="L2487" s="3">
        <v>6.7</v>
      </c>
      <c r="M2487" t="str">
        <f>IF(acs2015_county_data[[#This Row],[PublicWork]]&gt;='Описательные характеристики'!$F$5,"да","нет")</f>
        <v>нет</v>
      </c>
      <c r="N2487" t="str">
        <f>IF(acs2015_county_data[[#This Row],[Unemployment]]&gt;='Описательные характеристики'!$I$5,"да","нет")</f>
        <v>нет</v>
      </c>
    </row>
    <row r="2488" spans="1:14" x14ac:dyDescent="0.35">
      <c r="A2488">
        <v>47117</v>
      </c>
      <c r="B2488" t="s">
        <v>1510</v>
      </c>
      <c r="C2488" t="s">
        <v>60</v>
      </c>
      <c r="D2488" s="2">
        <v>31159</v>
      </c>
      <c r="E2488" s="2">
        <v>21962</v>
      </c>
      <c r="F2488" s="3">
        <v>1.5</v>
      </c>
      <c r="G2488" s="3">
        <v>13637</v>
      </c>
      <c r="H2488" s="3">
        <v>80.8</v>
      </c>
      <c r="I2488" s="3">
        <v>12.9</v>
      </c>
      <c r="J2488" s="3">
        <v>6.2</v>
      </c>
      <c r="K2488" s="3">
        <v>0.1</v>
      </c>
      <c r="L2488" s="3">
        <v>8.4</v>
      </c>
      <c r="M2488" t="str">
        <f>IF(acs2015_county_data[[#This Row],[PublicWork]]&gt;='Описательные характеристики'!$F$5,"да","нет")</f>
        <v>нет</v>
      </c>
      <c r="N2488" t="str">
        <f>IF(acs2015_county_data[[#This Row],[Unemployment]]&gt;='Описательные характеристики'!$I$5,"да","нет")</f>
        <v>да</v>
      </c>
    </row>
    <row r="2489" spans="1:14" x14ac:dyDescent="0.35">
      <c r="A2489">
        <v>47119</v>
      </c>
      <c r="B2489" t="s">
        <v>1510</v>
      </c>
      <c r="C2489" t="s">
        <v>1528</v>
      </c>
      <c r="D2489" s="2">
        <v>84089</v>
      </c>
      <c r="E2489" s="2">
        <v>24155</v>
      </c>
      <c r="F2489" s="3">
        <v>3.5</v>
      </c>
      <c r="G2489" s="3">
        <v>38831</v>
      </c>
      <c r="H2489" s="3">
        <v>81.2</v>
      </c>
      <c r="I2489" s="3">
        <v>11.6</v>
      </c>
      <c r="J2489" s="3">
        <v>7</v>
      </c>
      <c r="K2489" s="3">
        <v>0.2</v>
      </c>
      <c r="L2489" s="3">
        <v>7.7</v>
      </c>
      <c r="M2489" t="str">
        <f>IF(acs2015_county_data[[#This Row],[PublicWork]]&gt;='Описательные характеристики'!$F$5,"да","нет")</f>
        <v>нет</v>
      </c>
      <c r="N2489" t="str">
        <f>IF(acs2015_county_data[[#This Row],[Unemployment]]&gt;='Описательные характеристики'!$I$5,"да","нет")</f>
        <v>да</v>
      </c>
    </row>
    <row r="2490" spans="1:14" x14ac:dyDescent="0.35">
      <c r="A2490">
        <v>47121</v>
      </c>
      <c r="B2490" t="s">
        <v>1510</v>
      </c>
      <c r="C2490" t="s">
        <v>1336</v>
      </c>
      <c r="D2490" s="2">
        <v>11716</v>
      </c>
      <c r="E2490" s="2">
        <v>19212</v>
      </c>
      <c r="F2490" s="3">
        <v>1.8</v>
      </c>
      <c r="G2490" s="3">
        <v>3907</v>
      </c>
      <c r="H2490" s="3">
        <v>81.2</v>
      </c>
      <c r="I2490" s="3">
        <v>12.6</v>
      </c>
      <c r="J2490" s="3">
        <v>6.3</v>
      </c>
      <c r="K2490" s="3">
        <v>0</v>
      </c>
      <c r="L2490" s="3">
        <v>15</v>
      </c>
      <c r="M2490" t="str">
        <f>IF(acs2015_county_data[[#This Row],[PublicWork]]&gt;='Описательные характеристики'!$F$5,"да","нет")</f>
        <v>нет</v>
      </c>
      <c r="N2490" t="str">
        <f>IF(acs2015_county_data[[#This Row],[Unemployment]]&gt;='Описательные характеристики'!$I$5,"да","нет")</f>
        <v>да</v>
      </c>
    </row>
    <row r="2491" spans="1:14" x14ac:dyDescent="0.35">
      <c r="A2491">
        <v>47123</v>
      </c>
      <c r="B2491" t="s">
        <v>1510</v>
      </c>
      <c r="C2491" t="s">
        <v>62</v>
      </c>
      <c r="D2491" s="2">
        <v>45293</v>
      </c>
      <c r="E2491" s="2">
        <v>19351</v>
      </c>
      <c r="F2491" s="3">
        <v>2.7</v>
      </c>
      <c r="G2491" s="3">
        <v>16178</v>
      </c>
      <c r="H2491" s="3">
        <v>81.8</v>
      </c>
      <c r="I2491" s="3">
        <v>11.2</v>
      </c>
      <c r="J2491" s="3">
        <v>6.9</v>
      </c>
      <c r="K2491" s="3">
        <v>0.1</v>
      </c>
      <c r="L2491" s="3">
        <v>12.5</v>
      </c>
      <c r="M2491" t="str">
        <f>IF(acs2015_county_data[[#This Row],[PublicWork]]&gt;='Описательные характеристики'!$F$5,"да","нет")</f>
        <v>нет</v>
      </c>
      <c r="N2491" t="str">
        <f>IF(acs2015_county_data[[#This Row],[Unemployment]]&gt;='Описательные характеристики'!$I$5,"да","нет")</f>
        <v>да</v>
      </c>
    </row>
    <row r="2492" spans="1:14" x14ac:dyDescent="0.35">
      <c r="A2492">
        <v>47125</v>
      </c>
      <c r="B2492" t="s">
        <v>1510</v>
      </c>
      <c r="C2492" t="s">
        <v>158</v>
      </c>
      <c r="D2492" s="2">
        <v>185980</v>
      </c>
      <c r="E2492" s="2">
        <v>22916</v>
      </c>
      <c r="F2492" s="3">
        <v>2</v>
      </c>
      <c r="G2492" s="3">
        <v>73139</v>
      </c>
      <c r="H2492" s="3">
        <v>70.099999999999994</v>
      </c>
      <c r="I2492" s="3">
        <v>23.7</v>
      </c>
      <c r="J2492" s="3">
        <v>6.1</v>
      </c>
      <c r="K2492" s="3">
        <v>0.2</v>
      </c>
      <c r="L2492" s="3">
        <v>9.6999999999999993</v>
      </c>
      <c r="M2492" t="str">
        <f>IF(acs2015_county_data[[#This Row],[PublicWork]]&gt;='Описательные характеристики'!$F$5,"да","нет")</f>
        <v>да</v>
      </c>
      <c r="N2492" t="str">
        <f>IF(acs2015_county_data[[#This Row],[Unemployment]]&gt;='Описательные характеристики'!$I$5,"да","нет")</f>
        <v>да</v>
      </c>
    </row>
    <row r="2493" spans="1:14" x14ac:dyDescent="0.35">
      <c r="A2493">
        <v>47127</v>
      </c>
      <c r="B2493" t="s">
        <v>1510</v>
      </c>
      <c r="C2493" t="s">
        <v>1258</v>
      </c>
      <c r="D2493" s="2">
        <v>6351</v>
      </c>
      <c r="E2493" s="2">
        <v>28841</v>
      </c>
      <c r="F2493" s="3">
        <v>2.1</v>
      </c>
      <c r="G2493" s="3">
        <v>3045</v>
      </c>
      <c r="H2493" s="3">
        <v>74.400000000000006</v>
      </c>
      <c r="I2493" s="3">
        <v>14.3</v>
      </c>
      <c r="J2493" s="3">
        <v>10.7</v>
      </c>
      <c r="K2493" s="3">
        <v>0.5</v>
      </c>
      <c r="L2493" s="3">
        <v>6.5</v>
      </c>
      <c r="M2493" t="str">
        <f>IF(acs2015_county_data[[#This Row],[PublicWork]]&gt;='Описательные характеристики'!$F$5,"да","нет")</f>
        <v>нет</v>
      </c>
      <c r="N2493" t="str">
        <f>IF(acs2015_county_data[[#This Row],[Unemployment]]&gt;='Описательные характеристики'!$I$5,"да","нет")</f>
        <v>нет</v>
      </c>
    </row>
    <row r="2494" spans="1:14" x14ac:dyDescent="0.35">
      <c r="A2494">
        <v>47129</v>
      </c>
      <c r="B2494" t="s">
        <v>1510</v>
      </c>
      <c r="C2494" t="s">
        <v>63</v>
      </c>
      <c r="D2494" s="2">
        <v>21794</v>
      </c>
      <c r="E2494" s="2">
        <v>17646</v>
      </c>
      <c r="F2494" s="3">
        <v>2</v>
      </c>
      <c r="G2494" s="3">
        <v>6893</v>
      </c>
      <c r="H2494" s="3">
        <v>68.599999999999994</v>
      </c>
      <c r="I2494" s="3">
        <v>26.7</v>
      </c>
      <c r="J2494" s="3">
        <v>4.7</v>
      </c>
      <c r="K2494" s="3">
        <v>0.1</v>
      </c>
      <c r="L2494" s="3">
        <v>8.5</v>
      </c>
      <c r="M2494" t="str">
        <f>IF(acs2015_county_data[[#This Row],[PublicWork]]&gt;='Описательные характеристики'!$F$5,"да","нет")</f>
        <v>да</v>
      </c>
      <c r="N2494" t="str">
        <f>IF(acs2015_county_data[[#This Row],[Unemployment]]&gt;='Описательные характеристики'!$I$5,"да","нет")</f>
        <v>да</v>
      </c>
    </row>
    <row r="2495" spans="1:14" x14ac:dyDescent="0.35">
      <c r="A2495">
        <v>47131</v>
      </c>
      <c r="B2495" t="s">
        <v>1510</v>
      </c>
      <c r="C2495" t="s">
        <v>1529</v>
      </c>
      <c r="D2495" s="2">
        <v>31129</v>
      </c>
      <c r="E2495" s="2">
        <v>21829</v>
      </c>
      <c r="F2495" s="3">
        <v>2.4</v>
      </c>
      <c r="G2495" s="3">
        <v>12572</v>
      </c>
      <c r="H2495" s="3">
        <v>77</v>
      </c>
      <c r="I2495" s="3">
        <v>13.4</v>
      </c>
      <c r="J2495" s="3">
        <v>9.1</v>
      </c>
      <c r="K2495" s="3">
        <v>0.4</v>
      </c>
      <c r="L2495" s="3">
        <v>11.2</v>
      </c>
      <c r="M2495" t="str">
        <f>IF(acs2015_county_data[[#This Row],[PublicWork]]&gt;='Описательные характеристики'!$F$5,"да","нет")</f>
        <v>нет</v>
      </c>
      <c r="N2495" t="str">
        <f>IF(acs2015_county_data[[#This Row],[Unemployment]]&gt;='Описательные характеристики'!$I$5,"да","нет")</f>
        <v>да</v>
      </c>
    </row>
    <row r="2496" spans="1:14" x14ac:dyDescent="0.35">
      <c r="A2496">
        <v>47133</v>
      </c>
      <c r="B2496" t="s">
        <v>1510</v>
      </c>
      <c r="C2496" t="s">
        <v>1530</v>
      </c>
      <c r="D2496" s="2">
        <v>22100</v>
      </c>
      <c r="E2496" s="2">
        <v>19244</v>
      </c>
      <c r="F2496" s="3">
        <v>2.5</v>
      </c>
      <c r="G2496" s="3">
        <v>8479</v>
      </c>
      <c r="H2496" s="3">
        <v>74.400000000000006</v>
      </c>
      <c r="I2496" s="3">
        <v>14.8</v>
      </c>
      <c r="J2496" s="3">
        <v>10.7</v>
      </c>
      <c r="K2496" s="3">
        <v>0.1</v>
      </c>
      <c r="L2496" s="3">
        <v>7.7</v>
      </c>
      <c r="M2496" t="str">
        <f>IF(acs2015_county_data[[#This Row],[PublicWork]]&gt;='Описательные характеристики'!$F$5,"да","нет")</f>
        <v>нет</v>
      </c>
      <c r="N2496" t="str">
        <f>IF(acs2015_county_data[[#This Row],[Unemployment]]&gt;='Описательные характеристики'!$I$5,"да","нет")</f>
        <v>да</v>
      </c>
    </row>
    <row r="2497" spans="1:14" x14ac:dyDescent="0.35">
      <c r="A2497">
        <v>47135</v>
      </c>
      <c r="B2497" t="s">
        <v>1510</v>
      </c>
      <c r="C2497" t="s">
        <v>64</v>
      </c>
      <c r="D2497" s="2">
        <v>7864</v>
      </c>
      <c r="E2497" s="2">
        <v>18340</v>
      </c>
      <c r="F2497" s="3">
        <v>5.7</v>
      </c>
      <c r="G2497" s="3">
        <v>2819</v>
      </c>
      <c r="H2497" s="3">
        <v>70.900000000000006</v>
      </c>
      <c r="I2497" s="3">
        <v>19.899999999999999</v>
      </c>
      <c r="J2497" s="3">
        <v>9.1999999999999993</v>
      </c>
      <c r="K2497" s="3">
        <v>0</v>
      </c>
      <c r="L2497" s="3">
        <v>9.5</v>
      </c>
      <c r="M2497" t="str">
        <f>IF(acs2015_county_data[[#This Row],[PublicWork]]&gt;='Описательные характеристики'!$F$5,"да","нет")</f>
        <v>да</v>
      </c>
      <c r="N2497" t="str">
        <f>IF(acs2015_county_data[[#This Row],[Unemployment]]&gt;='Описательные характеристики'!$I$5,"да","нет")</f>
        <v>да</v>
      </c>
    </row>
    <row r="2498" spans="1:14" x14ac:dyDescent="0.35">
      <c r="A2498">
        <v>47137</v>
      </c>
      <c r="B2498" t="s">
        <v>1510</v>
      </c>
      <c r="C2498" t="s">
        <v>1531</v>
      </c>
      <c r="D2498" s="2">
        <v>5097</v>
      </c>
      <c r="E2498" s="2">
        <v>20526</v>
      </c>
      <c r="F2498" s="3">
        <v>2.7</v>
      </c>
      <c r="G2498" s="3">
        <v>2166</v>
      </c>
      <c r="H2498" s="3">
        <v>64.3</v>
      </c>
      <c r="I2498" s="3">
        <v>23.6</v>
      </c>
      <c r="J2498" s="3">
        <v>12</v>
      </c>
      <c r="K2498" s="3">
        <v>0.1</v>
      </c>
      <c r="L2498" s="3">
        <v>4.9000000000000004</v>
      </c>
      <c r="M2498" t="str">
        <f>IF(acs2015_county_data[[#This Row],[PublicWork]]&gt;='Описательные характеристики'!$F$5,"да","нет")</f>
        <v>да</v>
      </c>
      <c r="N2498" t="str">
        <f>IF(acs2015_county_data[[#This Row],[Unemployment]]&gt;='Описательные характеристики'!$I$5,"да","нет")</f>
        <v>нет</v>
      </c>
    </row>
    <row r="2499" spans="1:14" x14ac:dyDescent="0.35">
      <c r="A2499">
        <v>47139</v>
      </c>
      <c r="B2499" t="s">
        <v>1510</v>
      </c>
      <c r="C2499" t="s">
        <v>164</v>
      </c>
      <c r="D2499" s="2">
        <v>16687</v>
      </c>
      <c r="E2499" s="2">
        <v>21404</v>
      </c>
      <c r="F2499" s="3">
        <v>2.7</v>
      </c>
      <c r="G2499" s="3">
        <v>6397</v>
      </c>
      <c r="H2499" s="3">
        <v>81.599999999999994</v>
      </c>
      <c r="I2499" s="3">
        <v>12.7</v>
      </c>
      <c r="J2499" s="3">
        <v>5.7</v>
      </c>
      <c r="K2499" s="3">
        <v>0</v>
      </c>
      <c r="L2499" s="3">
        <v>10.9</v>
      </c>
      <c r="M2499" t="str">
        <f>IF(acs2015_county_data[[#This Row],[PublicWork]]&gt;='Описательные характеристики'!$F$5,"да","нет")</f>
        <v>нет</v>
      </c>
      <c r="N2499" t="str">
        <f>IF(acs2015_county_data[[#This Row],[Unemployment]]&gt;='Описательные характеристики'!$I$5,"да","нет")</f>
        <v>да</v>
      </c>
    </row>
    <row r="2500" spans="1:14" x14ac:dyDescent="0.35">
      <c r="A2500">
        <v>47141</v>
      </c>
      <c r="B2500" t="s">
        <v>1510</v>
      </c>
      <c r="C2500" t="s">
        <v>343</v>
      </c>
      <c r="D2500" s="2">
        <v>73810</v>
      </c>
      <c r="E2500" s="2">
        <v>21835</v>
      </c>
      <c r="F2500" s="3">
        <v>2.5</v>
      </c>
      <c r="G2500" s="3">
        <v>30346</v>
      </c>
      <c r="H2500" s="3">
        <v>75.7</v>
      </c>
      <c r="I2500" s="3">
        <v>15.3</v>
      </c>
      <c r="J2500" s="3">
        <v>8.6</v>
      </c>
      <c r="K2500" s="3">
        <v>0.4</v>
      </c>
      <c r="L2500" s="3">
        <v>8.4</v>
      </c>
      <c r="M2500" t="str">
        <f>IF(acs2015_county_data[[#This Row],[PublicWork]]&gt;='Описательные характеристики'!$F$5,"да","нет")</f>
        <v>нет</v>
      </c>
      <c r="N2500" t="str">
        <f>IF(acs2015_county_data[[#This Row],[Unemployment]]&gt;='Описательные характеристики'!$I$5,"да","нет")</f>
        <v>да</v>
      </c>
    </row>
    <row r="2501" spans="1:14" x14ac:dyDescent="0.35">
      <c r="A2501">
        <v>47143</v>
      </c>
      <c r="B2501" t="s">
        <v>1510</v>
      </c>
      <c r="C2501" t="s">
        <v>1532</v>
      </c>
      <c r="D2501" s="2">
        <v>32394</v>
      </c>
      <c r="E2501" s="2">
        <v>19927</v>
      </c>
      <c r="F2501" s="3">
        <v>2.9</v>
      </c>
      <c r="G2501" s="3">
        <v>12496</v>
      </c>
      <c r="H2501" s="3">
        <v>75.400000000000006</v>
      </c>
      <c r="I2501" s="3">
        <v>17.2</v>
      </c>
      <c r="J2501" s="3">
        <v>6.7</v>
      </c>
      <c r="K2501" s="3">
        <v>0.7</v>
      </c>
      <c r="L2501" s="3">
        <v>11.1</v>
      </c>
      <c r="M2501" t="str">
        <f>IF(acs2015_county_data[[#This Row],[PublicWork]]&gt;='Описательные характеристики'!$F$5,"да","нет")</f>
        <v>да</v>
      </c>
      <c r="N2501" t="str">
        <f>IF(acs2015_county_data[[#This Row],[Unemployment]]&gt;='Описательные характеристики'!$I$5,"да","нет")</f>
        <v>да</v>
      </c>
    </row>
    <row r="2502" spans="1:14" x14ac:dyDescent="0.35">
      <c r="A2502">
        <v>47145</v>
      </c>
      <c r="B2502" t="s">
        <v>1510</v>
      </c>
      <c r="C2502" t="s">
        <v>1533</v>
      </c>
      <c r="D2502" s="2">
        <v>53162</v>
      </c>
      <c r="E2502" s="2">
        <v>23287</v>
      </c>
      <c r="F2502" s="3">
        <v>3</v>
      </c>
      <c r="G2502" s="3">
        <v>20586</v>
      </c>
      <c r="H2502" s="3">
        <v>74.5</v>
      </c>
      <c r="I2502" s="3">
        <v>18.899999999999999</v>
      </c>
      <c r="J2502" s="3">
        <v>6.4</v>
      </c>
      <c r="K2502" s="3">
        <v>0.1</v>
      </c>
      <c r="L2502" s="3">
        <v>9.8000000000000007</v>
      </c>
      <c r="M2502" t="str">
        <f>IF(acs2015_county_data[[#This Row],[PublicWork]]&gt;='Описательные характеристики'!$F$5,"да","нет")</f>
        <v>да</v>
      </c>
      <c r="N2502" t="str">
        <f>IF(acs2015_county_data[[#This Row],[Unemployment]]&gt;='Описательные характеристики'!$I$5,"да","нет")</f>
        <v>да</v>
      </c>
    </row>
    <row r="2503" spans="1:14" x14ac:dyDescent="0.35">
      <c r="A2503">
        <v>47147</v>
      </c>
      <c r="B2503" t="s">
        <v>1510</v>
      </c>
      <c r="C2503" t="s">
        <v>758</v>
      </c>
      <c r="D2503" s="2">
        <v>67426</v>
      </c>
      <c r="E2503" s="2">
        <v>24340</v>
      </c>
      <c r="F2503" s="3">
        <v>3.7</v>
      </c>
      <c r="G2503" s="3">
        <v>31579</v>
      </c>
      <c r="H2503" s="3">
        <v>77</v>
      </c>
      <c r="I2503" s="3">
        <v>14.9</v>
      </c>
      <c r="J2503" s="3">
        <v>8</v>
      </c>
      <c r="K2503" s="3">
        <v>0.1</v>
      </c>
      <c r="L2503" s="3">
        <v>8.4</v>
      </c>
      <c r="M2503" t="str">
        <f>IF(acs2015_county_data[[#This Row],[PublicWork]]&gt;='Описательные характеристики'!$F$5,"да","нет")</f>
        <v>нет</v>
      </c>
      <c r="N2503" t="str">
        <f>IF(acs2015_county_data[[#This Row],[Unemployment]]&gt;='Описательные характеристики'!$I$5,"да","нет")</f>
        <v>да</v>
      </c>
    </row>
    <row r="2504" spans="1:14" x14ac:dyDescent="0.35">
      <c r="A2504">
        <v>47149</v>
      </c>
      <c r="B2504" t="s">
        <v>1510</v>
      </c>
      <c r="C2504" t="s">
        <v>1270</v>
      </c>
      <c r="D2504" s="2">
        <v>282558</v>
      </c>
      <c r="E2504" s="2">
        <v>25663</v>
      </c>
      <c r="F2504" s="3">
        <v>3</v>
      </c>
      <c r="G2504" s="3">
        <v>141737</v>
      </c>
      <c r="H2504" s="3">
        <v>80.599999999999994</v>
      </c>
      <c r="I2504" s="3">
        <v>13.4</v>
      </c>
      <c r="J2504" s="3">
        <v>5.8</v>
      </c>
      <c r="K2504" s="3">
        <v>0.1</v>
      </c>
      <c r="L2504" s="3">
        <v>6.8</v>
      </c>
      <c r="M2504" t="str">
        <f>IF(acs2015_county_data[[#This Row],[PublicWork]]&gt;='Описательные характеристики'!$F$5,"да","нет")</f>
        <v>нет</v>
      </c>
      <c r="N2504" t="str">
        <f>IF(acs2015_county_data[[#This Row],[Unemployment]]&gt;='Описательные характеристики'!$I$5,"да","нет")</f>
        <v>нет</v>
      </c>
    </row>
    <row r="2505" spans="1:14" x14ac:dyDescent="0.35">
      <c r="A2505">
        <v>47151</v>
      </c>
      <c r="B2505" t="s">
        <v>1510</v>
      </c>
      <c r="C2505" t="s">
        <v>169</v>
      </c>
      <c r="D2505" s="2">
        <v>22043</v>
      </c>
      <c r="E2505" s="2">
        <v>18709</v>
      </c>
      <c r="F2505" s="3">
        <v>3.1</v>
      </c>
      <c r="G2505" s="3">
        <v>7780</v>
      </c>
      <c r="H2505" s="3">
        <v>70.900000000000006</v>
      </c>
      <c r="I2505" s="3">
        <v>18.7</v>
      </c>
      <c r="J2505" s="3">
        <v>9.9</v>
      </c>
      <c r="K2505" s="3">
        <v>0.4</v>
      </c>
      <c r="L2505" s="3">
        <v>14.1</v>
      </c>
      <c r="M2505" t="str">
        <f>IF(acs2015_county_data[[#This Row],[PublicWork]]&gt;='Описательные характеристики'!$F$5,"да","нет")</f>
        <v>да</v>
      </c>
      <c r="N2505" t="str">
        <f>IF(acs2015_county_data[[#This Row],[Unemployment]]&gt;='Описательные характеристики'!$I$5,"да","нет")</f>
        <v>да</v>
      </c>
    </row>
    <row r="2506" spans="1:14" x14ac:dyDescent="0.35">
      <c r="A2506">
        <v>47153</v>
      </c>
      <c r="B2506" t="s">
        <v>1510</v>
      </c>
      <c r="C2506" t="s">
        <v>1534</v>
      </c>
      <c r="D2506" s="2">
        <v>14592</v>
      </c>
      <c r="E2506" s="2">
        <v>21818</v>
      </c>
      <c r="F2506" s="3">
        <v>3.8</v>
      </c>
      <c r="G2506" s="3">
        <v>5676</v>
      </c>
      <c r="H2506" s="3">
        <v>71.7</v>
      </c>
      <c r="I2506" s="3">
        <v>16.3</v>
      </c>
      <c r="J2506" s="3">
        <v>11.8</v>
      </c>
      <c r="K2506" s="3">
        <v>0.1</v>
      </c>
      <c r="L2506" s="3">
        <v>9</v>
      </c>
      <c r="M2506" t="str">
        <f>IF(acs2015_county_data[[#This Row],[PublicWork]]&gt;='Описательные характеристики'!$F$5,"да","нет")</f>
        <v>да</v>
      </c>
      <c r="N2506" t="str">
        <f>IF(acs2015_county_data[[#This Row],[Unemployment]]&gt;='Описательные характеристики'!$I$5,"да","нет")</f>
        <v>да</v>
      </c>
    </row>
    <row r="2507" spans="1:14" x14ac:dyDescent="0.35">
      <c r="A2507">
        <v>47155</v>
      </c>
      <c r="B2507" t="s">
        <v>1510</v>
      </c>
      <c r="C2507" t="s">
        <v>172</v>
      </c>
      <c r="D2507" s="2">
        <v>93617</v>
      </c>
      <c r="E2507" s="2">
        <v>22483</v>
      </c>
      <c r="F2507" s="3">
        <v>4.5999999999999996</v>
      </c>
      <c r="G2507" s="3">
        <v>44811</v>
      </c>
      <c r="H2507" s="3">
        <v>78.5</v>
      </c>
      <c r="I2507" s="3">
        <v>11.6</v>
      </c>
      <c r="J2507" s="3">
        <v>9.4</v>
      </c>
      <c r="K2507" s="3">
        <v>0.5</v>
      </c>
      <c r="L2507" s="3">
        <v>7.4</v>
      </c>
      <c r="M2507" t="str">
        <f>IF(acs2015_county_data[[#This Row],[PublicWork]]&gt;='Описательные характеристики'!$F$5,"да","нет")</f>
        <v>нет</v>
      </c>
      <c r="N2507" t="str">
        <f>IF(acs2015_county_data[[#This Row],[Unemployment]]&gt;='Описательные характеристики'!$I$5,"да","нет")</f>
        <v>нет</v>
      </c>
    </row>
    <row r="2508" spans="1:14" x14ac:dyDescent="0.35">
      <c r="A2508">
        <v>47157</v>
      </c>
      <c r="B2508" t="s">
        <v>1510</v>
      </c>
      <c r="C2508" t="s">
        <v>70</v>
      </c>
      <c r="D2508" s="2">
        <v>937750</v>
      </c>
      <c r="E2508" s="2">
        <v>26285</v>
      </c>
      <c r="F2508" s="3">
        <v>2.8</v>
      </c>
      <c r="G2508" s="3">
        <v>425295</v>
      </c>
      <c r="H2508" s="3">
        <v>80.900000000000006</v>
      </c>
      <c r="I2508" s="3">
        <v>13.9</v>
      </c>
      <c r="J2508" s="3">
        <v>5.0999999999999996</v>
      </c>
      <c r="K2508" s="3">
        <v>0.1</v>
      </c>
      <c r="L2508" s="3">
        <v>10.3</v>
      </c>
      <c r="M2508" t="str">
        <f>IF(acs2015_county_data[[#This Row],[PublicWork]]&gt;='Описательные характеристики'!$F$5,"да","нет")</f>
        <v>нет</v>
      </c>
      <c r="N2508" t="str">
        <f>IF(acs2015_county_data[[#This Row],[Unemployment]]&gt;='Описательные характеристики'!$I$5,"да","нет")</f>
        <v>да</v>
      </c>
    </row>
    <row r="2509" spans="1:14" x14ac:dyDescent="0.35">
      <c r="A2509">
        <v>47159</v>
      </c>
      <c r="B2509" t="s">
        <v>1510</v>
      </c>
      <c r="C2509" t="s">
        <v>698</v>
      </c>
      <c r="D2509" s="2">
        <v>19136</v>
      </c>
      <c r="E2509" s="2">
        <v>22854</v>
      </c>
      <c r="F2509" s="3">
        <v>2.6</v>
      </c>
      <c r="G2509" s="3">
        <v>8121</v>
      </c>
      <c r="H2509" s="3">
        <v>76</v>
      </c>
      <c r="I2509" s="3">
        <v>13.6</v>
      </c>
      <c r="J2509" s="3">
        <v>10.3</v>
      </c>
      <c r="K2509" s="3">
        <v>0.2</v>
      </c>
      <c r="L2509" s="3">
        <v>5.2</v>
      </c>
      <c r="M2509" t="str">
        <f>IF(acs2015_county_data[[#This Row],[PublicWork]]&gt;='Описательные характеристики'!$F$5,"да","нет")</f>
        <v>нет</v>
      </c>
      <c r="N2509" t="str">
        <f>IF(acs2015_county_data[[#This Row],[Unemployment]]&gt;='Описательные характеристики'!$I$5,"да","нет")</f>
        <v>нет</v>
      </c>
    </row>
    <row r="2510" spans="1:14" x14ac:dyDescent="0.35">
      <c r="A2510">
        <v>47161</v>
      </c>
      <c r="B2510" t="s">
        <v>1510</v>
      </c>
      <c r="C2510" t="s">
        <v>439</v>
      </c>
      <c r="D2510" s="2">
        <v>13286</v>
      </c>
      <c r="E2510" s="2">
        <v>21475</v>
      </c>
      <c r="F2510" s="3">
        <v>2.9</v>
      </c>
      <c r="G2510" s="3">
        <v>4818</v>
      </c>
      <c r="H2510" s="3">
        <v>65.599999999999994</v>
      </c>
      <c r="I2510" s="3">
        <v>28.5</v>
      </c>
      <c r="J2510" s="3">
        <v>5.7</v>
      </c>
      <c r="K2510" s="3">
        <v>0.2</v>
      </c>
      <c r="L2510" s="3">
        <v>10.1</v>
      </c>
      <c r="M2510" t="str">
        <f>IF(acs2015_county_data[[#This Row],[PublicWork]]&gt;='Описательные характеристики'!$F$5,"да","нет")</f>
        <v>да</v>
      </c>
      <c r="N2510" t="str">
        <f>IF(acs2015_county_data[[#This Row],[Unemployment]]&gt;='Описательные характеристики'!$I$5,"да","нет")</f>
        <v>да</v>
      </c>
    </row>
    <row r="2511" spans="1:14" x14ac:dyDescent="0.35">
      <c r="A2511">
        <v>47163</v>
      </c>
      <c r="B2511" t="s">
        <v>1510</v>
      </c>
      <c r="C2511" t="s">
        <v>589</v>
      </c>
      <c r="D2511" s="2">
        <v>156752</v>
      </c>
      <c r="E2511" s="2">
        <v>24544</v>
      </c>
      <c r="F2511" s="3">
        <v>2.9</v>
      </c>
      <c r="G2511" s="3">
        <v>66313</v>
      </c>
      <c r="H2511" s="3">
        <v>81.2</v>
      </c>
      <c r="I2511" s="3">
        <v>11.8</v>
      </c>
      <c r="J2511" s="3">
        <v>6.9</v>
      </c>
      <c r="K2511" s="3">
        <v>0.1</v>
      </c>
      <c r="L2511" s="3">
        <v>8.1999999999999993</v>
      </c>
      <c r="M2511" t="str">
        <f>IF(acs2015_county_data[[#This Row],[PublicWork]]&gt;='Описательные характеристики'!$F$5,"да","нет")</f>
        <v>нет</v>
      </c>
      <c r="N2511" t="str">
        <f>IF(acs2015_county_data[[#This Row],[Unemployment]]&gt;='Описательные характеристики'!$I$5,"да","нет")</f>
        <v>да</v>
      </c>
    </row>
    <row r="2512" spans="1:14" x14ac:dyDescent="0.35">
      <c r="A2512">
        <v>47165</v>
      </c>
      <c r="B2512" t="s">
        <v>1510</v>
      </c>
      <c r="C2512" t="s">
        <v>702</v>
      </c>
      <c r="D2512" s="2">
        <v>169623</v>
      </c>
      <c r="E2512" s="2">
        <v>28883</v>
      </c>
      <c r="F2512" s="3">
        <v>4.5999999999999996</v>
      </c>
      <c r="G2512" s="3">
        <v>82224</v>
      </c>
      <c r="H2512" s="3">
        <v>79.099999999999994</v>
      </c>
      <c r="I2512" s="3">
        <v>12.9</v>
      </c>
      <c r="J2512" s="3">
        <v>7.8</v>
      </c>
      <c r="K2512" s="3">
        <v>0.2</v>
      </c>
      <c r="L2512" s="3">
        <v>6</v>
      </c>
      <c r="M2512" t="str">
        <f>IF(acs2015_county_data[[#This Row],[PublicWork]]&gt;='Описательные характеристики'!$F$5,"да","нет")</f>
        <v>нет</v>
      </c>
      <c r="N2512" t="str">
        <f>IF(acs2015_county_data[[#This Row],[Unemployment]]&gt;='Описательные характеристики'!$I$5,"да","нет")</f>
        <v>нет</v>
      </c>
    </row>
    <row r="2513" spans="1:14" x14ac:dyDescent="0.35">
      <c r="A2513">
        <v>47167</v>
      </c>
      <c r="B2513" t="s">
        <v>1510</v>
      </c>
      <c r="C2513" t="s">
        <v>592</v>
      </c>
      <c r="D2513" s="2">
        <v>61674</v>
      </c>
      <c r="E2513" s="2">
        <v>23572</v>
      </c>
      <c r="F2513" s="3">
        <v>2.1</v>
      </c>
      <c r="G2513" s="3">
        <v>27209</v>
      </c>
      <c r="H2513" s="3">
        <v>78.599999999999994</v>
      </c>
      <c r="I2513" s="3">
        <v>16.7</v>
      </c>
      <c r="J2513" s="3">
        <v>4.5999999999999996</v>
      </c>
      <c r="K2513" s="3">
        <v>0.1</v>
      </c>
      <c r="L2513" s="3">
        <v>10.6</v>
      </c>
      <c r="M2513" t="str">
        <f>IF(acs2015_county_data[[#This Row],[PublicWork]]&gt;='Описательные характеристики'!$F$5,"да","нет")</f>
        <v>да</v>
      </c>
      <c r="N2513" t="str">
        <f>IF(acs2015_county_data[[#This Row],[Unemployment]]&gt;='Описательные характеристики'!$I$5,"да","нет")</f>
        <v>да</v>
      </c>
    </row>
    <row r="2514" spans="1:14" x14ac:dyDescent="0.35">
      <c r="A2514">
        <v>47169</v>
      </c>
      <c r="B2514" t="s">
        <v>1510</v>
      </c>
      <c r="C2514" t="s">
        <v>1535</v>
      </c>
      <c r="D2514" s="2">
        <v>7884</v>
      </c>
      <c r="E2514" s="2">
        <v>20937</v>
      </c>
      <c r="F2514" s="3">
        <v>1.8</v>
      </c>
      <c r="G2514" s="3">
        <v>3376</v>
      </c>
      <c r="H2514" s="3">
        <v>76.2</v>
      </c>
      <c r="I2514" s="3">
        <v>15.5</v>
      </c>
      <c r="J2514" s="3">
        <v>8.1</v>
      </c>
      <c r="K2514" s="3">
        <v>0.2</v>
      </c>
      <c r="L2514" s="3">
        <v>10.5</v>
      </c>
      <c r="M2514" t="str">
        <f>IF(acs2015_county_data[[#This Row],[PublicWork]]&gt;='Описательные характеристики'!$F$5,"да","нет")</f>
        <v>нет</v>
      </c>
      <c r="N2514" t="str">
        <f>IF(acs2015_county_data[[#This Row],[Unemployment]]&gt;='Описательные характеристики'!$I$5,"да","нет")</f>
        <v>да</v>
      </c>
    </row>
    <row r="2515" spans="1:14" x14ac:dyDescent="0.35">
      <c r="A2515">
        <v>47171</v>
      </c>
      <c r="B2515" t="s">
        <v>1510</v>
      </c>
      <c r="C2515" t="s">
        <v>1536</v>
      </c>
      <c r="D2515" s="2">
        <v>18069</v>
      </c>
      <c r="E2515" s="2">
        <v>20187</v>
      </c>
      <c r="F2515" s="3">
        <v>3.4</v>
      </c>
      <c r="G2515" s="3">
        <v>6462</v>
      </c>
      <c r="H2515" s="3">
        <v>77.7</v>
      </c>
      <c r="I2515" s="3">
        <v>16.600000000000001</v>
      </c>
      <c r="J2515" s="3">
        <v>5.6</v>
      </c>
      <c r="K2515" s="3">
        <v>0.1</v>
      </c>
      <c r="L2515" s="3">
        <v>13.7</v>
      </c>
      <c r="M2515" t="str">
        <f>IF(acs2015_county_data[[#This Row],[PublicWork]]&gt;='Описательные характеристики'!$F$5,"да","нет")</f>
        <v>да</v>
      </c>
      <c r="N2515" t="str">
        <f>IF(acs2015_county_data[[#This Row],[Unemployment]]&gt;='Описательные характеристики'!$I$5,"да","нет")</f>
        <v>да</v>
      </c>
    </row>
    <row r="2516" spans="1:14" x14ac:dyDescent="0.35">
      <c r="A2516">
        <v>47173</v>
      </c>
      <c r="B2516" t="s">
        <v>1510</v>
      </c>
      <c r="C2516" t="s">
        <v>175</v>
      </c>
      <c r="D2516" s="2">
        <v>19096</v>
      </c>
      <c r="E2516" s="2">
        <v>18654</v>
      </c>
      <c r="F2516" s="3">
        <v>4.3</v>
      </c>
      <c r="G2516" s="3">
        <v>6792</v>
      </c>
      <c r="H2516" s="3">
        <v>75.599999999999994</v>
      </c>
      <c r="I2516" s="3">
        <v>13</v>
      </c>
      <c r="J2516" s="3">
        <v>9.8000000000000007</v>
      </c>
      <c r="K2516" s="3">
        <v>1.6</v>
      </c>
      <c r="L2516" s="3">
        <v>9.5</v>
      </c>
      <c r="M2516" t="str">
        <f>IF(acs2015_county_data[[#This Row],[PublicWork]]&gt;='Описательные характеристики'!$F$5,"да","нет")</f>
        <v>нет</v>
      </c>
      <c r="N2516" t="str">
        <f>IF(acs2015_county_data[[#This Row],[Unemployment]]&gt;='Описательные характеристики'!$I$5,"да","нет")</f>
        <v>да</v>
      </c>
    </row>
    <row r="2517" spans="1:14" x14ac:dyDescent="0.35">
      <c r="A2517">
        <v>47175</v>
      </c>
      <c r="B2517" t="s">
        <v>1510</v>
      </c>
      <c r="C2517" t="s">
        <v>176</v>
      </c>
      <c r="D2517" s="2">
        <v>5596</v>
      </c>
      <c r="E2517" s="2">
        <v>20351</v>
      </c>
      <c r="F2517" s="3">
        <v>7.3</v>
      </c>
      <c r="G2517" s="3">
        <v>2218</v>
      </c>
      <c r="H2517" s="3">
        <v>62.9</v>
      </c>
      <c r="I2517" s="3">
        <v>27.5</v>
      </c>
      <c r="J2517" s="3">
        <v>9.6</v>
      </c>
      <c r="K2517" s="3">
        <v>0</v>
      </c>
      <c r="L2517" s="3">
        <v>11.2</v>
      </c>
      <c r="M2517" t="str">
        <f>IF(acs2015_county_data[[#This Row],[PublicWork]]&gt;='Описательные характеристики'!$F$5,"да","нет")</f>
        <v>да</v>
      </c>
      <c r="N2517" t="str">
        <f>IF(acs2015_county_data[[#This Row],[Unemployment]]&gt;='Описательные характеристики'!$I$5,"да","нет")</f>
        <v>да</v>
      </c>
    </row>
    <row r="2518" spans="1:14" x14ac:dyDescent="0.35">
      <c r="A2518">
        <v>47177</v>
      </c>
      <c r="B2518" t="s">
        <v>1510</v>
      </c>
      <c r="C2518" t="s">
        <v>456</v>
      </c>
      <c r="D2518" s="2">
        <v>40015</v>
      </c>
      <c r="E2518" s="2">
        <v>20534</v>
      </c>
      <c r="F2518" s="3">
        <v>3.3</v>
      </c>
      <c r="G2518" s="3">
        <v>16304</v>
      </c>
      <c r="H2518" s="3">
        <v>77.3</v>
      </c>
      <c r="I2518" s="3">
        <v>14.1</v>
      </c>
      <c r="J2518" s="3">
        <v>8.1</v>
      </c>
      <c r="K2518" s="3">
        <v>0.5</v>
      </c>
      <c r="L2518" s="3">
        <v>8</v>
      </c>
      <c r="M2518" t="str">
        <f>IF(acs2015_county_data[[#This Row],[PublicWork]]&gt;='Описательные характеристики'!$F$5,"да","нет")</f>
        <v>нет</v>
      </c>
      <c r="N2518" t="str">
        <f>IF(acs2015_county_data[[#This Row],[Unemployment]]&gt;='Описательные характеристики'!$I$5,"да","нет")</f>
        <v>да</v>
      </c>
    </row>
    <row r="2519" spans="1:14" x14ac:dyDescent="0.35">
      <c r="A2519">
        <v>47179</v>
      </c>
      <c r="B2519" t="s">
        <v>1510</v>
      </c>
      <c r="C2519" t="s">
        <v>75</v>
      </c>
      <c r="D2519" s="2">
        <v>125317</v>
      </c>
      <c r="E2519" s="2">
        <v>26176</v>
      </c>
      <c r="F2519" s="3">
        <v>3.9</v>
      </c>
      <c r="G2519" s="3">
        <v>57193</v>
      </c>
      <c r="H2519" s="3">
        <v>76.8</v>
      </c>
      <c r="I2519" s="3">
        <v>17.100000000000001</v>
      </c>
      <c r="J2519" s="3">
        <v>6</v>
      </c>
      <c r="K2519" s="3">
        <v>0.1</v>
      </c>
      <c r="L2519" s="3">
        <v>6.2</v>
      </c>
      <c r="M2519" t="str">
        <f>IF(acs2015_county_data[[#This Row],[PublicWork]]&gt;='Описательные характеристики'!$F$5,"да","нет")</f>
        <v>да</v>
      </c>
      <c r="N2519" t="str">
        <f>IF(acs2015_county_data[[#This Row],[Unemployment]]&gt;='Описательные характеристики'!$I$5,"да","нет")</f>
        <v>нет</v>
      </c>
    </row>
    <row r="2520" spans="1:14" x14ac:dyDescent="0.35">
      <c r="A2520">
        <v>47181</v>
      </c>
      <c r="B2520" t="s">
        <v>1510</v>
      </c>
      <c r="C2520" t="s">
        <v>457</v>
      </c>
      <c r="D2520" s="2">
        <v>16897</v>
      </c>
      <c r="E2520" s="2">
        <v>16333</v>
      </c>
      <c r="F2520" s="3">
        <v>1.8</v>
      </c>
      <c r="G2520" s="3">
        <v>5703</v>
      </c>
      <c r="H2520" s="3">
        <v>69.400000000000006</v>
      </c>
      <c r="I2520" s="3">
        <v>22.5</v>
      </c>
      <c r="J2520" s="3">
        <v>8.1</v>
      </c>
      <c r="K2520" s="3">
        <v>0</v>
      </c>
      <c r="L2520" s="3">
        <v>12.2</v>
      </c>
      <c r="M2520" t="str">
        <f>IF(acs2015_county_data[[#This Row],[PublicWork]]&gt;='Описательные характеристики'!$F$5,"да","нет")</f>
        <v>да</v>
      </c>
      <c r="N2520" t="str">
        <f>IF(acs2015_county_data[[#This Row],[Unemployment]]&gt;='Описательные характеристики'!$I$5,"да","нет")</f>
        <v>да</v>
      </c>
    </row>
    <row r="2521" spans="1:14" x14ac:dyDescent="0.35">
      <c r="A2521">
        <v>47183</v>
      </c>
      <c r="B2521" t="s">
        <v>1510</v>
      </c>
      <c r="C2521" t="s">
        <v>1537</v>
      </c>
      <c r="D2521" s="2">
        <v>34415</v>
      </c>
      <c r="E2521" s="2">
        <v>19694</v>
      </c>
      <c r="F2521" s="3">
        <v>1.4</v>
      </c>
      <c r="G2521" s="3">
        <v>14342</v>
      </c>
      <c r="H2521" s="3">
        <v>71.5</v>
      </c>
      <c r="I2521" s="3">
        <v>19.899999999999999</v>
      </c>
      <c r="J2521" s="3">
        <v>8.1</v>
      </c>
      <c r="K2521" s="3">
        <v>0.4</v>
      </c>
      <c r="L2521" s="3">
        <v>11.2</v>
      </c>
      <c r="M2521" t="str">
        <f>IF(acs2015_county_data[[#This Row],[PublicWork]]&gt;='Описательные характеристики'!$F$5,"да","нет")</f>
        <v>да</v>
      </c>
      <c r="N2521" t="str">
        <f>IF(acs2015_county_data[[#This Row],[Unemployment]]&gt;='Описательные характеристики'!$I$5,"да","нет")</f>
        <v>да</v>
      </c>
    </row>
    <row r="2522" spans="1:14" x14ac:dyDescent="0.35">
      <c r="A2522">
        <v>47185</v>
      </c>
      <c r="B2522" t="s">
        <v>1510</v>
      </c>
      <c r="C2522" t="s">
        <v>4</v>
      </c>
      <c r="D2522" s="2">
        <v>26252</v>
      </c>
      <c r="E2522" s="2">
        <v>17451</v>
      </c>
      <c r="F2522" s="3">
        <v>2.1</v>
      </c>
      <c r="G2522" s="3">
        <v>9769</v>
      </c>
      <c r="H2522" s="3">
        <v>72.7</v>
      </c>
      <c r="I2522" s="3">
        <v>17.7</v>
      </c>
      <c r="J2522" s="3">
        <v>9.4</v>
      </c>
      <c r="K2522" s="3">
        <v>0.1</v>
      </c>
      <c r="L2522" s="3">
        <v>10.5</v>
      </c>
      <c r="M2522" t="str">
        <f>IF(acs2015_county_data[[#This Row],[PublicWork]]&gt;='Описательные характеристики'!$F$5,"да","нет")</f>
        <v>да</v>
      </c>
      <c r="N2522" t="str">
        <f>IF(acs2015_county_data[[#This Row],[Unemployment]]&gt;='Описательные характеристики'!$I$5,"да","нет")</f>
        <v>да</v>
      </c>
    </row>
    <row r="2523" spans="1:14" x14ac:dyDescent="0.35">
      <c r="A2523">
        <v>47187</v>
      </c>
      <c r="B2523" t="s">
        <v>1510</v>
      </c>
      <c r="C2523" t="s">
        <v>555</v>
      </c>
      <c r="D2523" s="2">
        <v>199456</v>
      </c>
      <c r="E2523" s="2">
        <v>44671</v>
      </c>
      <c r="F2523" s="3">
        <v>9</v>
      </c>
      <c r="G2523" s="3">
        <v>97869</v>
      </c>
      <c r="H2523" s="3">
        <v>80.3</v>
      </c>
      <c r="I2523" s="3">
        <v>10.5</v>
      </c>
      <c r="J2523" s="3">
        <v>9</v>
      </c>
      <c r="K2523" s="3">
        <v>0.2</v>
      </c>
      <c r="L2523" s="3">
        <v>4.2</v>
      </c>
      <c r="M2523" t="str">
        <f>IF(acs2015_county_data[[#This Row],[PublicWork]]&gt;='Описательные характеристики'!$F$5,"да","нет")</f>
        <v>нет</v>
      </c>
      <c r="N2523" t="str">
        <f>IF(acs2015_county_data[[#This Row],[Unemployment]]&gt;='Описательные характеристики'!$I$5,"да","нет")</f>
        <v>нет</v>
      </c>
    </row>
    <row r="2524" spans="1:14" x14ac:dyDescent="0.35">
      <c r="A2524">
        <v>47189</v>
      </c>
      <c r="B2524" t="s">
        <v>1510</v>
      </c>
      <c r="C2524" t="s">
        <v>707</v>
      </c>
      <c r="D2524" s="2">
        <v>122445</v>
      </c>
      <c r="E2524" s="2">
        <v>28994</v>
      </c>
      <c r="F2524" s="3">
        <v>4.7</v>
      </c>
      <c r="G2524" s="3">
        <v>59107</v>
      </c>
      <c r="H2524" s="3">
        <v>80.7</v>
      </c>
      <c r="I2524" s="3">
        <v>11.7</v>
      </c>
      <c r="J2524" s="3">
        <v>7.5</v>
      </c>
      <c r="K2524" s="3">
        <v>0</v>
      </c>
      <c r="L2524" s="3">
        <v>6.5</v>
      </c>
      <c r="M2524" t="str">
        <f>IF(acs2015_county_data[[#This Row],[PublicWork]]&gt;='Описательные характеристики'!$F$5,"да","нет")</f>
        <v>нет</v>
      </c>
      <c r="N2524" t="str">
        <f>IF(acs2015_county_data[[#This Row],[Unemployment]]&gt;='Описательные характеристики'!$I$5,"да","нет")</f>
        <v>нет</v>
      </c>
    </row>
    <row r="2525" spans="1:14" x14ac:dyDescent="0.35">
      <c r="A2525">
        <v>48001</v>
      </c>
      <c r="B2525" t="s">
        <v>1051</v>
      </c>
      <c r="C2525" t="s">
        <v>644</v>
      </c>
      <c r="D2525" s="2">
        <v>57915</v>
      </c>
      <c r="E2525" s="2">
        <v>17876</v>
      </c>
      <c r="F2525" s="3">
        <v>2.6</v>
      </c>
      <c r="G2525" s="3">
        <v>19859</v>
      </c>
      <c r="H2525" s="3">
        <v>69.8</v>
      </c>
      <c r="I2525" s="3">
        <v>23.6</v>
      </c>
      <c r="J2525" s="3">
        <v>6.4</v>
      </c>
      <c r="K2525" s="3">
        <v>0.1</v>
      </c>
      <c r="L2525" s="3">
        <v>4.3</v>
      </c>
      <c r="M2525" t="str">
        <f>IF(acs2015_county_data[[#This Row],[PublicWork]]&gt;='Описательные характеристики'!$F$5,"да","нет")</f>
        <v>да</v>
      </c>
      <c r="N2525" t="str">
        <f>IF(acs2015_county_data[[#This Row],[Unemployment]]&gt;='Описательные характеристики'!$I$5,"да","нет")</f>
        <v>нет</v>
      </c>
    </row>
    <row r="2526" spans="1:14" x14ac:dyDescent="0.35">
      <c r="A2526">
        <v>48003</v>
      </c>
      <c r="B2526" t="s">
        <v>1051</v>
      </c>
      <c r="C2526" t="s">
        <v>1538</v>
      </c>
      <c r="D2526" s="2">
        <v>16775</v>
      </c>
      <c r="E2526" s="2">
        <v>29423</v>
      </c>
      <c r="F2526" s="3">
        <v>2.5</v>
      </c>
      <c r="G2526" s="3">
        <v>7923</v>
      </c>
      <c r="H2526" s="3">
        <v>83.1</v>
      </c>
      <c r="I2526" s="3">
        <v>9.6</v>
      </c>
      <c r="J2526" s="3">
        <v>6.8</v>
      </c>
      <c r="K2526" s="3">
        <v>0.5</v>
      </c>
      <c r="L2526" s="3">
        <v>3.9</v>
      </c>
      <c r="M2526" t="str">
        <f>IF(acs2015_county_data[[#This Row],[PublicWork]]&gt;='Описательные характеристики'!$F$5,"да","нет")</f>
        <v>нет</v>
      </c>
      <c r="N2526" t="str">
        <f>IF(acs2015_county_data[[#This Row],[Unemployment]]&gt;='Описательные характеристики'!$I$5,"да","нет")</f>
        <v>нет</v>
      </c>
    </row>
    <row r="2527" spans="1:14" x14ac:dyDescent="0.35">
      <c r="A2527">
        <v>48005</v>
      </c>
      <c r="B2527" t="s">
        <v>1051</v>
      </c>
      <c r="C2527" t="s">
        <v>1539</v>
      </c>
      <c r="D2527" s="2">
        <v>87748</v>
      </c>
      <c r="E2527" s="2">
        <v>21688</v>
      </c>
      <c r="F2527" s="3">
        <v>1.6</v>
      </c>
      <c r="G2527" s="3">
        <v>36182</v>
      </c>
      <c r="H2527" s="3">
        <v>76.2</v>
      </c>
      <c r="I2527" s="3">
        <v>17.8</v>
      </c>
      <c r="J2527" s="3">
        <v>5.9</v>
      </c>
      <c r="K2527" s="3">
        <v>0</v>
      </c>
      <c r="L2527" s="3">
        <v>9.1</v>
      </c>
      <c r="M2527" t="str">
        <f>IF(acs2015_county_data[[#This Row],[PublicWork]]&gt;='Описательные характеристики'!$F$5,"да","нет")</f>
        <v>да</v>
      </c>
      <c r="N2527" t="str">
        <f>IF(acs2015_county_data[[#This Row],[Unemployment]]&gt;='Описательные характеристики'!$I$5,"да","нет")</f>
        <v>да</v>
      </c>
    </row>
    <row r="2528" spans="1:14" x14ac:dyDescent="0.35">
      <c r="A2528">
        <v>48007</v>
      </c>
      <c r="B2528" t="s">
        <v>1051</v>
      </c>
      <c r="C2528" t="s">
        <v>1540</v>
      </c>
      <c r="D2528" s="2">
        <v>24292</v>
      </c>
      <c r="E2528" s="2">
        <v>28472</v>
      </c>
      <c r="F2528" s="3">
        <v>5</v>
      </c>
      <c r="G2528" s="3">
        <v>9464</v>
      </c>
      <c r="H2528" s="3">
        <v>75.400000000000006</v>
      </c>
      <c r="I2528" s="3">
        <v>12.4</v>
      </c>
      <c r="J2528" s="3">
        <v>12.2</v>
      </c>
      <c r="K2528" s="3">
        <v>0.1</v>
      </c>
      <c r="L2528" s="3">
        <v>6.8</v>
      </c>
      <c r="M2528" t="str">
        <f>IF(acs2015_county_data[[#This Row],[PublicWork]]&gt;='Описательные характеристики'!$F$5,"да","нет")</f>
        <v>нет</v>
      </c>
      <c r="N2528" t="str">
        <f>IF(acs2015_county_data[[#This Row],[Unemployment]]&gt;='Описательные характеристики'!$I$5,"да","нет")</f>
        <v>нет</v>
      </c>
    </row>
    <row r="2529" spans="1:14" x14ac:dyDescent="0.35">
      <c r="A2529">
        <v>48009</v>
      </c>
      <c r="B2529" t="s">
        <v>1051</v>
      </c>
      <c r="C2529" t="s">
        <v>1541</v>
      </c>
      <c r="D2529" s="2">
        <v>8779</v>
      </c>
      <c r="E2529" s="2">
        <v>29380</v>
      </c>
      <c r="F2529" s="3">
        <v>4.7</v>
      </c>
      <c r="G2529" s="3">
        <v>4239</v>
      </c>
      <c r="H2529" s="3">
        <v>76.599999999999994</v>
      </c>
      <c r="I2529" s="3">
        <v>13.8</v>
      </c>
      <c r="J2529" s="3">
        <v>9.5</v>
      </c>
      <c r="K2529" s="3">
        <v>0.2</v>
      </c>
      <c r="L2529" s="3">
        <v>3</v>
      </c>
      <c r="M2529" t="str">
        <f>IF(acs2015_county_data[[#This Row],[PublicWork]]&gt;='Описательные характеристики'!$F$5,"да","нет")</f>
        <v>нет</v>
      </c>
      <c r="N2529" t="str">
        <f>IF(acs2015_county_data[[#This Row],[Unemployment]]&gt;='Описательные характеристики'!$I$5,"да","нет")</f>
        <v>нет</v>
      </c>
    </row>
    <row r="2530" spans="1:14" x14ac:dyDescent="0.35">
      <c r="A2530">
        <v>48011</v>
      </c>
      <c r="B2530" t="s">
        <v>1051</v>
      </c>
      <c r="C2530" t="s">
        <v>1410</v>
      </c>
      <c r="D2530" s="2">
        <v>1943</v>
      </c>
      <c r="E2530" s="2">
        <v>28669</v>
      </c>
      <c r="F2530" s="3">
        <v>7.5</v>
      </c>
      <c r="G2530" s="3">
        <v>954</v>
      </c>
      <c r="H2530" s="3">
        <v>65.599999999999994</v>
      </c>
      <c r="I2530" s="3">
        <v>24.4</v>
      </c>
      <c r="J2530" s="3">
        <v>9.5</v>
      </c>
      <c r="K2530" s="3">
        <v>0.4</v>
      </c>
      <c r="L2530" s="3">
        <v>1.1000000000000001</v>
      </c>
      <c r="M2530" t="str">
        <f>IF(acs2015_county_data[[#This Row],[PublicWork]]&gt;='Описательные характеристики'!$F$5,"да","нет")</f>
        <v>да</v>
      </c>
      <c r="N2530" t="str">
        <f>IF(acs2015_county_data[[#This Row],[Unemployment]]&gt;='Описательные характеристики'!$I$5,"да","нет")</f>
        <v>нет</v>
      </c>
    </row>
    <row r="2531" spans="1:14" x14ac:dyDescent="0.35">
      <c r="A2531">
        <v>48013</v>
      </c>
      <c r="B2531" t="s">
        <v>1051</v>
      </c>
      <c r="C2531" t="s">
        <v>1542</v>
      </c>
      <c r="D2531" s="2">
        <v>47050</v>
      </c>
      <c r="E2531" s="2">
        <v>22493</v>
      </c>
      <c r="F2531" s="3">
        <v>5.2</v>
      </c>
      <c r="G2531" s="3">
        <v>19975</v>
      </c>
      <c r="H2531" s="3">
        <v>78.099999999999994</v>
      </c>
      <c r="I2531" s="3">
        <v>14.3</v>
      </c>
      <c r="J2531" s="3">
        <v>7.5</v>
      </c>
      <c r="K2531" s="3">
        <v>0.1</v>
      </c>
      <c r="L2531" s="3">
        <v>6.5</v>
      </c>
      <c r="M2531" t="str">
        <f>IF(acs2015_county_data[[#This Row],[PublicWork]]&gt;='Описательные характеристики'!$F$5,"да","нет")</f>
        <v>нет</v>
      </c>
      <c r="N2531" t="str">
        <f>IF(acs2015_county_data[[#This Row],[Unemployment]]&gt;='Описательные характеристики'!$I$5,"да","нет")</f>
        <v>нет</v>
      </c>
    </row>
    <row r="2532" spans="1:14" x14ac:dyDescent="0.35">
      <c r="A2532">
        <v>48015</v>
      </c>
      <c r="B2532" t="s">
        <v>1051</v>
      </c>
      <c r="C2532" t="s">
        <v>1543</v>
      </c>
      <c r="D2532" s="2">
        <v>28886</v>
      </c>
      <c r="E2532" s="2">
        <v>27658</v>
      </c>
      <c r="F2532" s="3">
        <v>5.3</v>
      </c>
      <c r="G2532" s="3">
        <v>13483</v>
      </c>
      <c r="H2532" s="3">
        <v>80.400000000000006</v>
      </c>
      <c r="I2532" s="3">
        <v>11.8</v>
      </c>
      <c r="J2532" s="3">
        <v>7.7</v>
      </c>
      <c r="K2532" s="3">
        <v>0.1</v>
      </c>
      <c r="L2532" s="3">
        <v>6.2</v>
      </c>
      <c r="M2532" t="str">
        <f>IF(acs2015_county_data[[#This Row],[PublicWork]]&gt;='Описательные характеристики'!$F$5,"да","нет")</f>
        <v>нет</v>
      </c>
      <c r="N2532" t="str">
        <f>IF(acs2015_county_data[[#This Row],[Unemployment]]&gt;='Описательные характеристики'!$I$5,"да","нет")</f>
        <v>нет</v>
      </c>
    </row>
    <row r="2533" spans="1:14" x14ac:dyDescent="0.35">
      <c r="A2533">
        <v>48017</v>
      </c>
      <c r="B2533" t="s">
        <v>1051</v>
      </c>
      <c r="C2533" t="s">
        <v>1544</v>
      </c>
      <c r="D2533" s="2">
        <v>7126</v>
      </c>
      <c r="E2533" s="2">
        <v>17007</v>
      </c>
      <c r="F2533" s="3">
        <v>5.3</v>
      </c>
      <c r="G2533" s="3">
        <v>3191</v>
      </c>
      <c r="H2533" s="3">
        <v>75.3</v>
      </c>
      <c r="I2533" s="3">
        <v>19.100000000000001</v>
      </c>
      <c r="J2533" s="3">
        <v>5.6</v>
      </c>
      <c r="K2533" s="3">
        <v>0</v>
      </c>
      <c r="L2533" s="3">
        <v>4.3</v>
      </c>
      <c r="M2533" t="str">
        <f>IF(acs2015_county_data[[#This Row],[PublicWork]]&gt;='Описательные характеристики'!$F$5,"да","нет")</f>
        <v>да</v>
      </c>
      <c r="N2533" t="str">
        <f>IF(acs2015_county_data[[#This Row],[Unemployment]]&gt;='Описательные характеристики'!$I$5,"да","нет")</f>
        <v>нет</v>
      </c>
    </row>
    <row r="2534" spans="1:14" x14ac:dyDescent="0.35">
      <c r="A2534">
        <v>48019</v>
      </c>
      <c r="B2534" t="s">
        <v>1051</v>
      </c>
      <c r="C2534" t="s">
        <v>1545</v>
      </c>
      <c r="D2534" s="2">
        <v>20796</v>
      </c>
      <c r="E2534" s="2">
        <v>26663</v>
      </c>
      <c r="F2534" s="3">
        <v>5.5</v>
      </c>
      <c r="G2534" s="3">
        <v>9010</v>
      </c>
      <c r="H2534" s="3">
        <v>69.2</v>
      </c>
      <c r="I2534" s="3">
        <v>19</v>
      </c>
      <c r="J2534" s="3">
        <v>11.6</v>
      </c>
      <c r="K2534" s="3">
        <v>0.3</v>
      </c>
      <c r="L2534" s="3">
        <v>4.8</v>
      </c>
      <c r="M2534" t="str">
        <f>IF(acs2015_county_data[[#This Row],[PublicWork]]&gt;='Описательные характеристики'!$F$5,"да","нет")</f>
        <v>да</v>
      </c>
      <c r="N2534" t="str">
        <f>IF(acs2015_county_data[[#This Row],[Unemployment]]&gt;='Описательные характеристики'!$I$5,"да","нет")</f>
        <v>нет</v>
      </c>
    </row>
    <row r="2535" spans="1:14" x14ac:dyDescent="0.35">
      <c r="A2535">
        <v>48021</v>
      </c>
      <c r="B2535" t="s">
        <v>1051</v>
      </c>
      <c r="C2535" t="s">
        <v>1546</v>
      </c>
      <c r="D2535" s="2">
        <v>76948</v>
      </c>
      <c r="E2535" s="2">
        <v>24812</v>
      </c>
      <c r="F2535" s="3">
        <v>3.8</v>
      </c>
      <c r="G2535" s="3">
        <v>32343</v>
      </c>
      <c r="H2535" s="3">
        <v>71.3</v>
      </c>
      <c r="I2535" s="3">
        <v>20.100000000000001</v>
      </c>
      <c r="J2535" s="3">
        <v>8.3000000000000007</v>
      </c>
      <c r="K2535" s="3">
        <v>0.3</v>
      </c>
      <c r="L2535" s="3">
        <v>9.8000000000000007</v>
      </c>
      <c r="M2535" t="str">
        <f>IF(acs2015_county_data[[#This Row],[PublicWork]]&gt;='Описательные характеристики'!$F$5,"да","нет")</f>
        <v>да</v>
      </c>
      <c r="N2535" t="str">
        <f>IF(acs2015_county_data[[#This Row],[Unemployment]]&gt;='Описательные характеристики'!$I$5,"да","нет")</f>
        <v>да</v>
      </c>
    </row>
    <row r="2536" spans="1:14" x14ac:dyDescent="0.35">
      <c r="A2536">
        <v>48023</v>
      </c>
      <c r="B2536" t="s">
        <v>1051</v>
      </c>
      <c r="C2536" t="s">
        <v>1547</v>
      </c>
      <c r="D2536" s="2">
        <v>3628</v>
      </c>
      <c r="E2536" s="2">
        <v>32907</v>
      </c>
      <c r="F2536" s="3">
        <v>1.4</v>
      </c>
      <c r="G2536" s="3">
        <v>1486</v>
      </c>
      <c r="H2536" s="3">
        <v>62</v>
      </c>
      <c r="I2536" s="3">
        <v>16.600000000000001</v>
      </c>
      <c r="J2536" s="3">
        <v>21.5</v>
      </c>
      <c r="K2536" s="3">
        <v>0</v>
      </c>
      <c r="L2536" s="3">
        <v>1.4</v>
      </c>
      <c r="M2536" t="str">
        <f>IF(acs2015_county_data[[#This Row],[PublicWork]]&gt;='Описательные характеристики'!$F$5,"да","нет")</f>
        <v>да</v>
      </c>
      <c r="N2536" t="str">
        <f>IF(acs2015_county_data[[#This Row],[Unemployment]]&gt;='Описательные характеристики'!$I$5,"да","нет")</f>
        <v>нет</v>
      </c>
    </row>
    <row r="2537" spans="1:14" x14ac:dyDescent="0.35">
      <c r="A2537">
        <v>48025</v>
      </c>
      <c r="B2537" t="s">
        <v>1051</v>
      </c>
      <c r="C2537" t="s">
        <v>1548</v>
      </c>
      <c r="D2537" s="2">
        <v>32659</v>
      </c>
      <c r="E2537" s="2">
        <v>17209</v>
      </c>
      <c r="F2537" s="3">
        <v>1.9</v>
      </c>
      <c r="G2537" s="3">
        <v>10451</v>
      </c>
      <c r="H2537" s="3">
        <v>70.5</v>
      </c>
      <c r="I2537" s="3">
        <v>22.7</v>
      </c>
      <c r="J2537" s="3">
        <v>6.7</v>
      </c>
      <c r="K2537" s="3">
        <v>0.2</v>
      </c>
      <c r="L2537" s="3">
        <v>7</v>
      </c>
      <c r="M2537" t="str">
        <f>IF(acs2015_county_data[[#This Row],[PublicWork]]&gt;='Описательные характеристики'!$F$5,"да","нет")</f>
        <v>да</v>
      </c>
      <c r="N2537" t="str">
        <f>IF(acs2015_county_data[[#This Row],[Unemployment]]&gt;='Описательные характеристики'!$I$5,"да","нет")</f>
        <v>нет</v>
      </c>
    </row>
    <row r="2538" spans="1:14" x14ac:dyDescent="0.35">
      <c r="A2538">
        <v>48027</v>
      </c>
      <c r="B2538" t="s">
        <v>1051</v>
      </c>
      <c r="C2538" t="s">
        <v>714</v>
      </c>
      <c r="D2538" s="2">
        <v>326041</v>
      </c>
      <c r="E2538" s="2">
        <v>23535</v>
      </c>
      <c r="F2538" s="3">
        <v>3.2</v>
      </c>
      <c r="G2538" s="3">
        <v>127550</v>
      </c>
      <c r="H2538" s="3">
        <v>69.2</v>
      </c>
      <c r="I2538" s="3">
        <v>25.7</v>
      </c>
      <c r="J2538" s="3">
        <v>5</v>
      </c>
      <c r="K2538" s="3">
        <v>0.1</v>
      </c>
      <c r="L2538" s="3">
        <v>9.5</v>
      </c>
      <c r="M2538" t="str">
        <f>IF(acs2015_county_data[[#This Row],[PublicWork]]&gt;='Описательные характеристики'!$F$5,"да","нет")</f>
        <v>да</v>
      </c>
      <c r="N2538" t="str">
        <f>IF(acs2015_county_data[[#This Row],[Unemployment]]&gt;='Описательные характеристики'!$I$5,"да","нет")</f>
        <v>да</v>
      </c>
    </row>
    <row r="2539" spans="1:14" x14ac:dyDescent="0.35">
      <c r="A2539">
        <v>48029</v>
      </c>
      <c r="B2539" t="s">
        <v>1051</v>
      </c>
      <c r="C2539" t="s">
        <v>1549</v>
      </c>
      <c r="D2539" s="2">
        <v>1825502</v>
      </c>
      <c r="E2539" s="2">
        <v>24735</v>
      </c>
      <c r="F2539" s="3">
        <v>4</v>
      </c>
      <c r="G2539" s="3">
        <v>824123</v>
      </c>
      <c r="H2539" s="3">
        <v>79.599999999999994</v>
      </c>
      <c r="I2539" s="3">
        <v>14.8</v>
      </c>
      <c r="J2539" s="3">
        <v>5.6</v>
      </c>
      <c r="K2539" s="3">
        <v>0.1</v>
      </c>
      <c r="L2539" s="3">
        <v>7.4</v>
      </c>
      <c r="M2539" t="str">
        <f>IF(acs2015_county_data[[#This Row],[PublicWork]]&gt;='Описательные характеристики'!$F$5,"да","нет")</f>
        <v>нет</v>
      </c>
      <c r="N2539" t="str">
        <f>IF(acs2015_county_data[[#This Row],[Unemployment]]&gt;='Описательные характеристики'!$I$5,"да","нет")</f>
        <v>нет</v>
      </c>
    </row>
    <row r="2540" spans="1:14" x14ac:dyDescent="0.35">
      <c r="A2540">
        <v>48031</v>
      </c>
      <c r="B2540" t="s">
        <v>1051</v>
      </c>
      <c r="C2540" t="s">
        <v>1550</v>
      </c>
      <c r="D2540" s="2">
        <v>10723</v>
      </c>
      <c r="E2540" s="2">
        <v>29148</v>
      </c>
      <c r="F2540" s="3">
        <v>5.5</v>
      </c>
      <c r="G2540" s="3">
        <v>4670</v>
      </c>
      <c r="H2540" s="3">
        <v>70.400000000000006</v>
      </c>
      <c r="I2540" s="3">
        <v>17.5</v>
      </c>
      <c r="J2540" s="3">
        <v>11.8</v>
      </c>
      <c r="K2540" s="3">
        <v>0.3</v>
      </c>
      <c r="L2540" s="3">
        <v>6.4</v>
      </c>
      <c r="M2540" t="str">
        <f>IF(acs2015_county_data[[#This Row],[PublicWork]]&gt;='Описательные характеристики'!$F$5,"да","нет")</f>
        <v>да</v>
      </c>
      <c r="N2540" t="str">
        <f>IF(acs2015_county_data[[#This Row],[Unemployment]]&gt;='Описательные характеристики'!$I$5,"да","нет")</f>
        <v>нет</v>
      </c>
    </row>
    <row r="2541" spans="1:14" x14ac:dyDescent="0.35">
      <c r="A2541">
        <v>48033</v>
      </c>
      <c r="B2541" t="s">
        <v>1051</v>
      </c>
      <c r="C2541" t="s">
        <v>1551</v>
      </c>
      <c r="D2541" s="2">
        <v>705</v>
      </c>
      <c r="E2541" s="2">
        <v>44591</v>
      </c>
      <c r="F2541" s="3">
        <v>9.6</v>
      </c>
      <c r="G2541" s="3">
        <v>282</v>
      </c>
      <c r="H2541" s="3">
        <v>45.7</v>
      </c>
      <c r="I2541" s="3">
        <v>36.200000000000003</v>
      </c>
      <c r="J2541" s="3">
        <v>17</v>
      </c>
      <c r="K2541" s="3">
        <v>1.1000000000000001</v>
      </c>
      <c r="L2541" s="3">
        <v>0.7</v>
      </c>
      <c r="M2541" t="str">
        <f>IF(acs2015_county_data[[#This Row],[PublicWork]]&gt;='Описательные характеристики'!$F$5,"да","нет")</f>
        <v>да</v>
      </c>
      <c r="N2541" t="str">
        <f>IF(acs2015_county_data[[#This Row],[Unemployment]]&gt;='Описательные характеристики'!$I$5,"да","нет")</f>
        <v>нет</v>
      </c>
    </row>
    <row r="2542" spans="1:14" x14ac:dyDescent="0.35">
      <c r="A2542">
        <v>48035</v>
      </c>
      <c r="B2542" t="s">
        <v>1051</v>
      </c>
      <c r="C2542" t="s">
        <v>1552</v>
      </c>
      <c r="D2542" s="2">
        <v>17971</v>
      </c>
      <c r="E2542" s="2">
        <v>24658</v>
      </c>
      <c r="F2542" s="3">
        <v>4.8</v>
      </c>
      <c r="G2542" s="3">
        <v>7165</v>
      </c>
      <c r="H2542" s="3">
        <v>75.7</v>
      </c>
      <c r="I2542" s="3">
        <v>12.8</v>
      </c>
      <c r="J2542" s="3">
        <v>11.2</v>
      </c>
      <c r="K2542" s="3">
        <v>0.4</v>
      </c>
      <c r="L2542" s="3">
        <v>7.9</v>
      </c>
      <c r="M2542" t="str">
        <f>IF(acs2015_county_data[[#This Row],[PublicWork]]&gt;='Описательные характеристики'!$F$5,"да","нет")</f>
        <v>нет</v>
      </c>
      <c r="N2542" t="str">
        <f>IF(acs2015_county_data[[#This Row],[Unemployment]]&gt;='Описательные характеристики'!$I$5,"да","нет")</f>
        <v>да</v>
      </c>
    </row>
    <row r="2543" spans="1:14" x14ac:dyDescent="0.35">
      <c r="A2543">
        <v>48037</v>
      </c>
      <c r="B2543" t="s">
        <v>1051</v>
      </c>
      <c r="C2543" t="s">
        <v>1553</v>
      </c>
      <c r="D2543" s="2">
        <v>93155</v>
      </c>
      <c r="E2543" s="2">
        <v>22685</v>
      </c>
      <c r="F2543" s="3">
        <v>2.1</v>
      </c>
      <c r="G2543" s="3">
        <v>35959</v>
      </c>
      <c r="H2543" s="3">
        <v>75.5</v>
      </c>
      <c r="I2543" s="3">
        <v>19.399999999999999</v>
      </c>
      <c r="J2543" s="3">
        <v>5.0999999999999996</v>
      </c>
      <c r="K2543" s="3">
        <v>0.1</v>
      </c>
      <c r="L2543" s="3">
        <v>8.5</v>
      </c>
      <c r="M2543" t="str">
        <f>IF(acs2015_county_data[[#This Row],[PublicWork]]&gt;='Описательные характеристики'!$F$5,"да","нет")</f>
        <v>да</v>
      </c>
      <c r="N2543" t="str">
        <f>IF(acs2015_county_data[[#This Row],[Unemployment]]&gt;='Описательные характеристики'!$I$5,"да","нет")</f>
        <v>да</v>
      </c>
    </row>
    <row r="2544" spans="1:14" x14ac:dyDescent="0.35">
      <c r="A2544">
        <v>48039</v>
      </c>
      <c r="B2544" t="s">
        <v>1051</v>
      </c>
      <c r="C2544" t="s">
        <v>1554</v>
      </c>
      <c r="D2544" s="2">
        <v>331741</v>
      </c>
      <c r="E2544" s="2">
        <v>30634</v>
      </c>
      <c r="F2544" s="3">
        <v>2.6</v>
      </c>
      <c r="G2544" s="3">
        <v>154290</v>
      </c>
      <c r="H2544" s="3">
        <v>80.5</v>
      </c>
      <c r="I2544" s="3">
        <v>14.4</v>
      </c>
      <c r="J2544" s="3">
        <v>5</v>
      </c>
      <c r="K2544" s="3">
        <v>0.1</v>
      </c>
      <c r="L2544" s="3">
        <v>5.4</v>
      </c>
      <c r="M2544" t="str">
        <f>IF(acs2015_county_data[[#This Row],[PublicWork]]&gt;='Описательные характеристики'!$F$5,"да","нет")</f>
        <v>нет</v>
      </c>
      <c r="N2544" t="str">
        <f>IF(acs2015_county_data[[#This Row],[Unemployment]]&gt;='Описательные характеристики'!$I$5,"да","нет")</f>
        <v>нет</v>
      </c>
    </row>
    <row r="2545" spans="1:14" x14ac:dyDescent="0.35">
      <c r="A2545">
        <v>48041</v>
      </c>
      <c r="B2545" t="s">
        <v>1051</v>
      </c>
      <c r="C2545" t="s">
        <v>1555</v>
      </c>
      <c r="D2545" s="2">
        <v>205271</v>
      </c>
      <c r="E2545" s="2">
        <v>22648</v>
      </c>
      <c r="F2545" s="3">
        <v>2.9</v>
      </c>
      <c r="G2545" s="3">
        <v>98294</v>
      </c>
      <c r="H2545" s="3">
        <v>68.3</v>
      </c>
      <c r="I2545" s="3">
        <v>25.6</v>
      </c>
      <c r="J2545" s="3">
        <v>5.8</v>
      </c>
      <c r="K2545" s="3">
        <v>0.2</v>
      </c>
      <c r="L2545" s="3">
        <v>6.4</v>
      </c>
      <c r="M2545" t="str">
        <f>IF(acs2015_county_data[[#This Row],[PublicWork]]&gt;='Описательные характеристики'!$F$5,"да","нет")</f>
        <v>да</v>
      </c>
      <c r="N2545" t="str">
        <f>IF(acs2015_county_data[[#This Row],[Unemployment]]&gt;='Описательные характеристики'!$I$5,"да","нет")</f>
        <v>нет</v>
      </c>
    </row>
    <row r="2546" spans="1:14" x14ac:dyDescent="0.35">
      <c r="A2546">
        <v>48043</v>
      </c>
      <c r="B2546" t="s">
        <v>1051</v>
      </c>
      <c r="C2546" t="s">
        <v>1556</v>
      </c>
      <c r="D2546" s="2">
        <v>9235</v>
      </c>
      <c r="E2546" s="2">
        <v>27265</v>
      </c>
      <c r="F2546" s="3">
        <v>5.7</v>
      </c>
      <c r="G2546" s="3">
        <v>4385</v>
      </c>
      <c r="H2546" s="3">
        <v>49.2</v>
      </c>
      <c r="I2546" s="3">
        <v>40.4</v>
      </c>
      <c r="J2546" s="3">
        <v>9</v>
      </c>
      <c r="K2546" s="3">
        <v>1.5</v>
      </c>
      <c r="L2546" s="3">
        <v>4.9000000000000004</v>
      </c>
      <c r="M2546" t="str">
        <f>IF(acs2015_county_data[[#This Row],[PublicWork]]&gt;='Описательные характеристики'!$F$5,"да","нет")</f>
        <v>да</v>
      </c>
      <c r="N2546" t="str">
        <f>IF(acs2015_county_data[[#This Row],[Unemployment]]&gt;='Описательные характеристики'!$I$5,"да","нет")</f>
        <v>нет</v>
      </c>
    </row>
    <row r="2547" spans="1:14" x14ac:dyDescent="0.35">
      <c r="A2547">
        <v>48045</v>
      </c>
      <c r="B2547" t="s">
        <v>1051</v>
      </c>
      <c r="C2547" t="s">
        <v>1557</v>
      </c>
      <c r="D2547" s="2">
        <v>1670</v>
      </c>
      <c r="E2547" s="2">
        <v>22323</v>
      </c>
      <c r="F2547" s="3">
        <v>7.5</v>
      </c>
      <c r="G2547" s="3">
        <v>757</v>
      </c>
      <c r="H2547" s="3">
        <v>62.9</v>
      </c>
      <c r="I2547" s="3">
        <v>23.6</v>
      </c>
      <c r="J2547" s="3">
        <v>12.4</v>
      </c>
      <c r="K2547" s="3">
        <v>1.1000000000000001</v>
      </c>
      <c r="L2547" s="3">
        <v>4.7</v>
      </c>
      <c r="M2547" t="str">
        <f>IF(acs2015_county_data[[#This Row],[PublicWork]]&gt;='Описательные характеристики'!$F$5,"да","нет")</f>
        <v>да</v>
      </c>
      <c r="N2547" t="str">
        <f>IF(acs2015_county_data[[#This Row],[Unemployment]]&gt;='Описательные характеристики'!$I$5,"да","нет")</f>
        <v>нет</v>
      </c>
    </row>
    <row r="2548" spans="1:14" x14ac:dyDescent="0.35">
      <c r="A2548">
        <v>48047</v>
      </c>
      <c r="B2548" t="s">
        <v>1051</v>
      </c>
      <c r="C2548" t="s">
        <v>365</v>
      </c>
      <c r="D2548" s="2">
        <v>7221</v>
      </c>
      <c r="E2548" s="2">
        <v>13179</v>
      </c>
      <c r="F2548" s="3">
        <v>3.1</v>
      </c>
      <c r="G2548" s="3">
        <v>2416</v>
      </c>
      <c r="H2548" s="3">
        <v>72.8</v>
      </c>
      <c r="I2548" s="3">
        <v>20.9</v>
      </c>
      <c r="J2548" s="3">
        <v>6.3</v>
      </c>
      <c r="K2548" s="3">
        <v>0</v>
      </c>
      <c r="L2548" s="3">
        <v>19.8</v>
      </c>
      <c r="M2548" t="str">
        <f>IF(acs2015_county_data[[#This Row],[PublicWork]]&gt;='Описательные характеристики'!$F$5,"да","нет")</f>
        <v>да</v>
      </c>
      <c r="N2548" t="str">
        <f>IF(acs2015_county_data[[#This Row],[Unemployment]]&gt;='Описательные характеристики'!$I$5,"да","нет")</f>
        <v>да</v>
      </c>
    </row>
    <row r="2549" spans="1:14" x14ac:dyDescent="0.35">
      <c r="A2549">
        <v>48049</v>
      </c>
      <c r="B2549" t="s">
        <v>1051</v>
      </c>
      <c r="C2549" t="s">
        <v>506</v>
      </c>
      <c r="D2549" s="2">
        <v>37833</v>
      </c>
      <c r="E2549" s="2">
        <v>21916</v>
      </c>
      <c r="F2549" s="3">
        <v>1.6</v>
      </c>
      <c r="G2549" s="3">
        <v>15006</v>
      </c>
      <c r="H2549" s="3">
        <v>75.2</v>
      </c>
      <c r="I2549" s="3">
        <v>16.5</v>
      </c>
      <c r="J2549" s="3">
        <v>8.1999999999999993</v>
      </c>
      <c r="K2549" s="3">
        <v>0.1</v>
      </c>
      <c r="L2549" s="3">
        <v>4.3</v>
      </c>
      <c r="M2549" t="str">
        <f>IF(acs2015_county_data[[#This Row],[PublicWork]]&gt;='Описательные характеристики'!$F$5,"да","нет")</f>
        <v>да</v>
      </c>
      <c r="N2549" t="str">
        <f>IF(acs2015_county_data[[#This Row],[Unemployment]]&gt;='Описательные характеристики'!$I$5,"да","нет")</f>
        <v>нет</v>
      </c>
    </row>
    <row r="2550" spans="1:14" x14ac:dyDescent="0.35">
      <c r="A2550">
        <v>48051</v>
      </c>
      <c r="B2550" t="s">
        <v>1051</v>
      </c>
      <c r="C2550" t="s">
        <v>1558</v>
      </c>
      <c r="D2550" s="2">
        <v>17293</v>
      </c>
      <c r="E2550" s="2">
        <v>24894</v>
      </c>
      <c r="F2550" s="3">
        <v>2.6</v>
      </c>
      <c r="G2550" s="3">
        <v>7352</v>
      </c>
      <c r="H2550" s="3">
        <v>69.400000000000006</v>
      </c>
      <c r="I2550" s="3">
        <v>21.7</v>
      </c>
      <c r="J2550" s="3">
        <v>8.4</v>
      </c>
      <c r="K2550" s="3">
        <v>0.5</v>
      </c>
      <c r="L2550" s="3">
        <v>7.5</v>
      </c>
      <c r="M2550" t="str">
        <f>IF(acs2015_county_data[[#This Row],[PublicWork]]&gt;='Описательные характеристики'!$F$5,"да","нет")</f>
        <v>да</v>
      </c>
      <c r="N2550" t="str">
        <f>IF(acs2015_county_data[[#This Row],[Unemployment]]&gt;='Описательные характеристики'!$I$5,"да","нет")</f>
        <v>нет</v>
      </c>
    </row>
    <row r="2551" spans="1:14" x14ac:dyDescent="0.35">
      <c r="A2551">
        <v>48053</v>
      </c>
      <c r="B2551" t="s">
        <v>1051</v>
      </c>
      <c r="C2551" t="s">
        <v>1559</v>
      </c>
      <c r="D2551" s="2">
        <v>44144</v>
      </c>
      <c r="E2551" s="2">
        <v>26578</v>
      </c>
      <c r="F2551" s="3">
        <v>6.3</v>
      </c>
      <c r="G2551" s="3">
        <v>18673</v>
      </c>
      <c r="H2551" s="3">
        <v>74.099999999999994</v>
      </c>
      <c r="I2551" s="3">
        <v>14.2</v>
      </c>
      <c r="J2551" s="3">
        <v>11.7</v>
      </c>
      <c r="K2551" s="3">
        <v>0.1</v>
      </c>
      <c r="L2551" s="3">
        <v>5.0999999999999996</v>
      </c>
      <c r="M2551" t="str">
        <f>IF(acs2015_county_data[[#This Row],[PublicWork]]&gt;='Описательные характеристики'!$F$5,"да","нет")</f>
        <v>нет</v>
      </c>
      <c r="N2551" t="str">
        <f>IF(acs2015_county_data[[#This Row],[Unemployment]]&gt;='Описательные характеристики'!$I$5,"да","нет")</f>
        <v>нет</v>
      </c>
    </row>
    <row r="2552" spans="1:14" x14ac:dyDescent="0.35">
      <c r="A2552">
        <v>48055</v>
      </c>
      <c r="B2552" t="s">
        <v>1051</v>
      </c>
      <c r="C2552" t="s">
        <v>721</v>
      </c>
      <c r="D2552" s="2">
        <v>39347</v>
      </c>
      <c r="E2552" s="2">
        <v>20667</v>
      </c>
      <c r="F2552" s="3">
        <v>3</v>
      </c>
      <c r="G2552" s="3">
        <v>16693</v>
      </c>
      <c r="H2552" s="3">
        <v>74.7</v>
      </c>
      <c r="I2552" s="3">
        <v>18.600000000000001</v>
      </c>
      <c r="J2552" s="3">
        <v>6.7</v>
      </c>
      <c r="K2552" s="3">
        <v>0.1</v>
      </c>
      <c r="L2552" s="3">
        <v>5.2</v>
      </c>
      <c r="M2552" t="str">
        <f>IF(acs2015_county_data[[#This Row],[PublicWork]]&gt;='Описательные характеристики'!$F$5,"да","нет")</f>
        <v>да</v>
      </c>
      <c r="N2552" t="str">
        <f>IF(acs2015_county_data[[#This Row],[Unemployment]]&gt;='Описательные характеристики'!$I$5,"да","нет")</f>
        <v>нет</v>
      </c>
    </row>
    <row r="2553" spans="1:14" x14ac:dyDescent="0.35">
      <c r="A2553">
        <v>48057</v>
      </c>
      <c r="B2553" t="s">
        <v>1051</v>
      </c>
      <c r="C2553" t="s">
        <v>22</v>
      </c>
      <c r="D2553" s="2">
        <v>21666</v>
      </c>
      <c r="E2553" s="2">
        <v>24372</v>
      </c>
      <c r="F2553" s="3">
        <v>2.8</v>
      </c>
      <c r="G2553" s="3">
        <v>9416</v>
      </c>
      <c r="H2553" s="3">
        <v>80.5</v>
      </c>
      <c r="I2553" s="3">
        <v>12.8</v>
      </c>
      <c r="J2553" s="3">
        <v>6.7</v>
      </c>
      <c r="K2553" s="3">
        <v>0.1</v>
      </c>
      <c r="L2553" s="3">
        <v>7.2</v>
      </c>
      <c r="M2553" t="str">
        <f>IF(acs2015_county_data[[#This Row],[PublicWork]]&gt;='Описательные характеристики'!$F$5,"да","нет")</f>
        <v>нет</v>
      </c>
      <c r="N2553" t="str">
        <f>IF(acs2015_county_data[[#This Row],[Unemployment]]&gt;='Описательные характеристики'!$I$5,"да","нет")</f>
        <v>нет</v>
      </c>
    </row>
    <row r="2554" spans="1:14" x14ac:dyDescent="0.35">
      <c r="A2554">
        <v>48059</v>
      </c>
      <c r="B2554" t="s">
        <v>1051</v>
      </c>
      <c r="C2554" t="s">
        <v>1560</v>
      </c>
      <c r="D2554" s="2">
        <v>13532</v>
      </c>
      <c r="E2554" s="2">
        <v>22387</v>
      </c>
      <c r="F2554" s="3">
        <v>2.4</v>
      </c>
      <c r="G2554" s="3">
        <v>5092</v>
      </c>
      <c r="H2554" s="3">
        <v>71.2</v>
      </c>
      <c r="I2554" s="3">
        <v>17</v>
      </c>
      <c r="J2554" s="3">
        <v>9.4</v>
      </c>
      <c r="K2554" s="3">
        <v>2.5</v>
      </c>
      <c r="L2554" s="3">
        <v>5.4</v>
      </c>
      <c r="M2554" t="str">
        <f>IF(acs2015_county_data[[#This Row],[PublicWork]]&gt;='Описательные характеристики'!$F$5,"да","нет")</f>
        <v>да</v>
      </c>
      <c r="N2554" t="str">
        <f>IF(acs2015_county_data[[#This Row],[Unemployment]]&gt;='Описательные характеристики'!$I$5,"да","нет")</f>
        <v>нет</v>
      </c>
    </row>
    <row r="2555" spans="1:14" x14ac:dyDescent="0.35">
      <c r="A2555">
        <v>48061</v>
      </c>
      <c r="B2555" t="s">
        <v>1051</v>
      </c>
      <c r="C2555" t="s">
        <v>776</v>
      </c>
      <c r="D2555" s="2">
        <v>417947</v>
      </c>
      <c r="E2555" s="2">
        <v>15105</v>
      </c>
      <c r="F2555" s="3">
        <v>2.2000000000000002</v>
      </c>
      <c r="G2555" s="3">
        <v>148011</v>
      </c>
      <c r="H2555" s="3">
        <v>72.7</v>
      </c>
      <c r="I2555" s="3">
        <v>18.2</v>
      </c>
      <c r="J2555" s="3">
        <v>8.9</v>
      </c>
      <c r="K2555" s="3">
        <v>0.2</v>
      </c>
      <c r="L2555" s="3">
        <v>10</v>
      </c>
      <c r="M2555" t="str">
        <f>IF(acs2015_county_data[[#This Row],[PublicWork]]&gt;='Описательные характеристики'!$F$5,"да","нет")</f>
        <v>да</v>
      </c>
      <c r="N2555" t="str">
        <f>IF(acs2015_county_data[[#This Row],[Unemployment]]&gt;='Описательные характеристики'!$I$5,"да","нет")</f>
        <v>да</v>
      </c>
    </row>
    <row r="2556" spans="1:14" x14ac:dyDescent="0.35">
      <c r="A2556">
        <v>48063</v>
      </c>
      <c r="B2556" t="s">
        <v>1051</v>
      </c>
      <c r="C2556" t="s">
        <v>1561</v>
      </c>
      <c r="D2556" s="2">
        <v>12516</v>
      </c>
      <c r="E2556" s="2">
        <v>19738</v>
      </c>
      <c r="F2556" s="3">
        <v>3.3</v>
      </c>
      <c r="G2556" s="3">
        <v>5039</v>
      </c>
      <c r="H2556" s="3">
        <v>73.7</v>
      </c>
      <c r="I2556" s="3">
        <v>16</v>
      </c>
      <c r="J2556" s="3">
        <v>9.9</v>
      </c>
      <c r="K2556" s="3">
        <v>0.4</v>
      </c>
      <c r="L2556" s="3">
        <v>8.5</v>
      </c>
      <c r="M2556" t="str">
        <f>IF(acs2015_county_data[[#This Row],[PublicWork]]&gt;='Описательные характеристики'!$F$5,"да","нет")</f>
        <v>нет</v>
      </c>
      <c r="N2556" t="str">
        <f>IF(acs2015_county_data[[#This Row],[Unemployment]]&gt;='Описательные характеристики'!$I$5,"да","нет")</f>
        <v>да</v>
      </c>
    </row>
    <row r="2557" spans="1:14" x14ac:dyDescent="0.35">
      <c r="A2557">
        <v>48065</v>
      </c>
      <c r="B2557" t="s">
        <v>1051</v>
      </c>
      <c r="C2557" t="s">
        <v>1562</v>
      </c>
      <c r="D2557" s="2">
        <v>6068</v>
      </c>
      <c r="E2557" s="2">
        <v>28400</v>
      </c>
      <c r="F2557" s="3">
        <v>3.2</v>
      </c>
      <c r="G2557" s="3">
        <v>2902</v>
      </c>
      <c r="H2557" s="3">
        <v>72.5</v>
      </c>
      <c r="I2557" s="3">
        <v>18.3</v>
      </c>
      <c r="J2557" s="3">
        <v>9.1999999999999993</v>
      </c>
      <c r="K2557" s="3">
        <v>0</v>
      </c>
      <c r="L2557" s="3">
        <v>1.7</v>
      </c>
      <c r="M2557" t="str">
        <f>IF(acs2015_county_data[[#This Row],[PublicWork]]&gt;='Описательные характеристики'!$F$5,"да","нет")</f>
        <v>да</v>
      </c>
      <c r="N2557" t="str">
        <f>IF(acs2015_county_data[[#This Row],[Unemployment]]&gt;='Описательные характеристики'!$I$5,"да","нет")</f>
        <v>нет</v>
      </c>
    </row>
    <row r="2558" spans="1:14" x14ac:dyDescent="0.35">
      <c r="A2558">
        <v>48067</v>
      </c>
      <c r="B2558" t="s">
        <v>1051</v>
      </c>
      <c r="C2558" t="s">
        <v>508</v>
      </c>
      <c r="D2558" s="2">
        <v>30328</v>
      </c>
      <c r="E2558" s="2">
        <v>20991</v>
      </c>
      <c r="F2558" s="3">
        <v>2.2999999999999998</v>
      </c>
      <c r="G2558" s="3">
        <v>11964</v>
      </c>
      <c r="H2558" s="3">
        <v>76</v>
      </c>
      <c r="I2558" s="3">
        <v>15.9</v>
      </c>
      <c r="J2558" s="3">
        <v>8.1</v>
      </c>
      <c r="K2558" s="3">
        <v>0</v>
      </c>
      <c r="L2558" s="3">
        <v>9.1999999999999993</v>
      </c>
      <c r="M2558" t="str">
        <f>IF(acs2015_county_data[[#This Row],[PublicWork]]&gt;='Описательные характеристики'!$F$5,"да","нет")</f>
        <v>нет</v>
      </c>
      <c r="N2558" t="str">
        <f>IF(acs2015_county_data[[#This Row],[Unemployment]]&gt;='Описательные характеристики'!$I$5,"да","нет")</f>
        <v>да</v>
      </c>
    </row>
    <row r="2559" spans="1:14" x14ac:dyDescent="0.35">
      <c r="A2559">
        <v>48069</v>
      </c>
      <c r="B2559" t="s">
        <v>1051</v>
      </c>
      <c r="C2559" t="s">
        <v>1563</v>
      </c>
      <c r="D2559" s="2">
        <v>7948</v>
      </c>
      <c r="E2559" s="2">
        <v>21068</v>
      </c>
      <c r="F2559" s="3">
        <v>3.8</v>
      </c>
      <c r="G2559" s="3">
        <v>3316</v>
      </c>
      <c r="H2559" s="3">
        <v>73.5</v>
      </c>
      <c r="I2559" s="3">
        <v>14.5</v>
      </c>
      <c r="J2559" s="3">
        <v>10.8</v>
      </c>
      <c r="K2559" s="3">
        <v>1.2</v>
      </c>
      <c r="L2559" s="3">
        <v>4.7</v>
      </c>
      <c r="M2559" t="str">
        <f>IF(acs2015_county_data[[#This Row],[PublicWork]]&gt;='Описательные характеристики'!$F$5,"да","нет")</f>
        <v>нет</v>
      </c>
      <c r="N2559" t="str">
        <f>IF(acs2015_county_data[[#This Row],[Unemployment]]&gt;='Описательные характеристики'!$I$5,"да","нет")</f>
        <v>нет</v>
      </c>
    </row>
    <row r="2560" spans="1:14" x14ac:dyDescent="0.35">
      <c r="A2560">
        <v>48071</v>
      </c>
      <c r="B2560" t="s">
        <v>1051</v>
      </c>
      <c r="C2560" t="s">
        <v>23</v>
      </c>
      <c r="D2560" s="2">
        <v>37251</v>
      </c>
      <c r="E2560" s="2">
        <v>30572</v>
      </c>
      <c r="F2560" s="3">
        <v>2.4</v>
      </c>
      <c r="G2560" s="3">
        <v>15166</v>
      </c>
      <c r="H2560" s="3">
        <v>77.900000000000006</v>
      </c>
      <c r="I2560" s="3">
        <v>15.9</v>
      </c>
      <c r="J2560" s="3">
        <v>6.1</v>
      </c>
      <c r="K2560" s="3">
        <v>0.1</v>
      </c>
      <c r="L2560" s="3">
        <v>7.8</v>
      </c>
      <c r="M2560" t="str">
        <f>IF(acs2015_county_data[[#This Row],[PublicWork]]&gt;='Описательные характеристики'!$F$5,"да","нет")</f>
        <v>нет</v>
      </c>
      <c r="N2560" t="str">
        <f>IF(acs2015_county_data[[#This Row],[Unemployment]]&gt;='Описательные характеристики'!$I$5,"да","нет")</f>
        <v>да</v>
      </c>
    </row>
    <row r="2561" spans="1:14" x14ac:dyDescent="0.35">
      <c r="A2561">
        <v>48073</v>
      </c>
      <c r="B2561" t="s">
        <v>1051</v>
      </c>
      <c r="C2561" t="s">
        <v>24</v>
      </c>
      <c r="D2561" s="2">
        <v>51167</v>
      </c>
      <c r="E2561" s="2">
        <v>19420</v>
      </c>
      <c r="F2561" s="3">
        <v>1.4</v>
      </c>
      <c r="G2561" s="3">
        <v>19729</v>
      </c>
      <c r="H2561" s="3">
        <v>72.900000000000006</v>
      </c>
      <c r="I2561" s="3">
        <v>20.399999999999999</v>
      </c>
      <c r="J2561" s="3">
        <v>6.5</v>
      </c>
      <c r="K2561" s="3">
        <v>0.2</v>
      </c>
      <c r="L2561" s="3">
        <v>6.4</v>
      </c>
      <c r="M2561" t="str">
        <f>IF(acs2015_county_data[[#This Row],[PublicWork]]&gt;='Описательные характеристики'!$F$5,"да","нет")</f>
        <v>да</v>
      </c>
      <c r="N2561" t="str">
        <f>IF(acs2015_county_data[[#This Row],[Unemployment]]&gt;='Описательные характеристики'!$I$5,"да","нет")</f>
        <v>нет</v>
      </c>
    </row>
    <row r="2562" spans="1:14" x14ac:dyDescent="0.35">
      <c r="A2562">
        <v>48075</v>
      </c>
      <c r="B2562" t="s">
        <v>1051</v>
      </c>
      <c r="C2562" t="s">
        <v>1564</v>
      </c>
      <c r="D2562" s="2">
        <v>7059</v>
      </c>
      <c r="E2562" s="2">
        <v>19861</v>
      </c>
      <c r="F2562" s="3">
        <v>0.6</v>
      </c>
      <c r="G2562" s="3">
        <v>2600</v>
      </c>
      <c r="H2562" s="3">
        <v>62</v>
      </c>
      <c r="I2562" s="3">
        <v>31.7</v>
      </c>
      <c r="J2562" s="3">
        <v>6.1</v>
      </c>
      <c r="K2562" s="3">
        <v>0.2</v>
      </c>
      <c r="L2562" s="3">
        <v>5.2</v>
      </c>
      <c r="M2562" t="str">
        <f>IF(acs2015_county_data[[#This Row],[PublicWork]]&gt;='Описательные характеристики'!$F$5,"да","нет")</f>
        <v>да</v>
      </c>
      <c r="N2562" t="str">
        <f>IF(acs2015_county_data[[#This Row],[Unemployment]]&gt;='Описательные характеристики'!$I$5,"да","нет")</f>
        <v>нет</v>
      </c>
    </row>
    <row r="2563" spans="1:14" x14ac:dyDescent="0.35">
      <c r="A2563">
        <v>48077</v>
      </c>
      <c r="B2563" t="s">
        <v>1051</v>
      </c>
      <c r="C2563" t="s">
        <v>28</v>
      </c>
      <c r="D2563" s="2">
        <v>10479</v>
      </c>
      <c r="E2563" s="2">
        <v>26339</v>
      </c>
      <c r="F2563" s="3">
        <v>4</v>
      </c>
      <c r="G2563" s="3">
        <v>4605</v>
      </c>
      <c r="H2563" s="3">
        <v>72.400000000000006</v>
      </c>
      <c r="I2563" s="3">
        <v>17</v>
      </c>
      <c r="J2563" s="3">
        <v>10.4</v>
      </c>
      <c r="K2563" s="3">
        <v>0.2</v>
      </c>
      <c r="L2563" s="3">
        <v>6.8</v>
      </c>
      <c r="M2563" t="str">
        <f>IF(acs2015_county_data[[#This Row],[PublicWork]]&gt;='Описательные характеристики'!$F$5,"да","нет")</f>
        <v>да</v>
      </c>
      <c r="N2563" t="str">
        <f>IF(acs2015_county_data[[#This Row],[Unemployment]]&gt;='Описательные характеристики'!$I$5,"да","нет")</f>
        <v>нет</v>
      </c>
    </row>
    <row r="2564" spans="1:14" x14ac:dyDescent="0.35">
      <c r="A2564">
        <v>48079</v>
      </c>
      <c r="B2564" t="s">
        <v>1051</v>
      </c>
      <c r="C2564" t="s">
        <v>1565</v>
      </c>
      <c r="D2564" s="2">
        <v>2993</v>
      </c>
      <c r="E2564" s="2">
        <v>18968</v>
      </c>
      <c r="F2564" s="3">
        <v>1.5</v>
      </c>
      <c r="G2564" s="3">
        <v>1180</v>
      </c>
      <c r="H2564" s="3">
        <v>66.599999999999994</v>
      </c>
      <c r="I2564" s="3">
        <v>20.9</v>
      </c>
      <c r="J2564" s="3">
        <v>12</v>
      </c>
      <c r="K2564" s="3">
        <v>0.4</v>
      </c>
      <c r="L2564" s="3">
        <v>8.5</v>
      </c>
      <c r="M2564" t="str">
        <f>IF(acs2015_county_data[[#This Row],[PublicWork]]&gt;='Описательные характеристики'!$F$5,"да","нет")</f>
        <v>да</v>
      </c>
      <c r="N2564" t="str">
        <f>IF(acs2015_county_data[[#This Row],[Unemployment]]&gt;='Описательные характеристики'!$I$5,"да","нет")</f>
        <v>да</v>
      </c>
    </row>
    <row r="2565" spans="1:14" x14ac:dyDescent="0.35">
      <c r="A2565">
        <v>48081</v>
      </c>
      <c r="B2565" t="s">
        <v>1051</v>
      </c>
      <c r="C2565" t="s">
        <v>1566</v>
      </c>
      <c r="D2565" s="2">
        <v>3238</v>
      </c>
      <c r="E2565" s="2">
        <v>29355</v>
      </c>
      <c r="F2565" s="3">
        <v>5.5</v>
      </c>
      <c r="G2565" s="3">
        <v>1508</v>
      </c>
      <c r="H2565" s="3">
        <v>58.7</v>
      </c>
      <c r="I2565" s="3">
        <v>31.5</v>
      </c>
      <c r="J2565" s="3">
        <v>9.8000000000000007</v>
      </c>
      <c r="K2565" s="3">
        <v>0</v>
      </c>
      <c r="L2565" s="3">
        <v>3.1</v>
      </c>
      <c r="M2565" t="str">
        <f>IF(acs2015_county_data[[#This Row],[PublicWork]]&gt;='Описательные характеристики'!$F$5,"да","нет")</f>
        <v>да</v>
      </c>
      <c r="N2565" t="str">
        <f>IF(acs2015_county_data[[#This Row],[Unemployment]]&gt;='Описательные характеристики'!$I$5,"да","нет")</f>
        <v>нет</v>
      </c>
    </row>
    <row r="2566" spans="1:14" x14ac:dyDescent="0.35">
      <c r="A2566">
        <v>48083</v>
      </c>
      <c r="B2566" t="s">
        <v>1051</v>
      </c>
      <c r="C2566" t="s">
        <v>1567</v>
      </c>
      <c r="D2566" s="2">
        <v>8536</v>
      </c>
      <c r="E2566" s="2">
        <v>20085</v>
      </c>
      <c r="F2566" s="3">
        <v>2.8</v>
      </c>
      <c r="G2566" s="3">
        <v>3235</v>
      </c>
      <c r="H2566" s="3">
        <v>71.400000000000006</v>
      </c>
      <c r="I2566" s="3">
        <v>17.399999999999999</v>
      </c>
      <c r="J2566" s="3">
        <v>10.9</v>
      </c>
      <c r="K2566" s="3">
        <v>0.2</v>
      </c>
      <c r="L2566" s="3">
        <v>8.1999999999999993</v>
      </c>
      <c r="M2566" t="str">
        <f>IF(acs2015_county_data[[#This Row],[PublicWork]]&gt;='Описательные характеристики'!$F$5,"да","нет")</f>
        <v>да</v>
      </c>
      <c r="N2566" t="str">
        <f>IF(acs2015_county_data[[#This Row],[Unemployment]]&gt;='Описательные характеристики'!$I$5,"да","нет")</f>
        <v>да</v>
      </c>
    </row>
    <row r="2567" spans="1:14" x14ac:dyDescent="0.35">
      <c r="A2567">
        <v>48085</v>
      </c>
      <c r="B2567" t="s">
        <v>1051</v>
      </c>
      <c r="C2567" t="s">
        <v>1568</v>
      </c>
      <c r="D2567" s="2">
        <v>862215</v>
      </c>
      <c r="E2567" s="2">
        <v>38883</v>
      </c>
      <c r="F2567" s="3">
        <v>7.8</v>
      </c>
      <c r="G2567" s="3">
        <v>444189</v>
      </c>
      <c r="H2567" s="3">
        <v>84.1</v>
      </c>
      <c r="I2567" s="3">
        <v>10</v>
      </c>
      <c r="J2567" s="3">
        <v>5.8</v>
      </c>
      <c r="K2567" s="3">
        <v>0.2</v>
      </c>
      <c r="L2567" s="3">
        <v>4.9000000000000004</v>
      </c>
      <c r="M2567" t="str">
        <f>IF(acs2015_county_data[[#This Row],[PublicWork]]&gt;='Описательные характеристики'!$F$5,"да","нет")</f>
        <v>нет</v>
      </c>
      <c r="N2567" t="str">
        <f>IF(acs2015_county_data[[#This Row],[Unemployment]]&gt;='Описательные характеристики'!$I$5,"да","нет")</f>
        <v>нет</v>
      </c>
    </row>
    <row r="2568" spans="1:14" x14ac:dyDescent="0.35">
      <c r="A2568">
        <v>48087</v>
      </c>
      <c r="B2568" t="s">
        <v>1051</v>
      </c>
      <c r="C2568" t="s">
        <v>1569</v>
      </c>
      <c r="D2568" s="2">
        <v>3058</v>
      </c>
      <c r="E2568" s="2">
        <v>20269</v>
      </c>
      <c r="F2568" s="3">
        <v>1.7</v>
      </c>
      <c r="G2568" s="3">
        <v>1345</v>
      </c>
      <c r="H2568" s="3">
        <v>70.7</v>
      </c>
      <c r="I2568" s="3">
        <v>18.3</v>
      </c>
      <c r="J2568" s="3">
        <v>11</v>
      </c>
      <c r="K2568" s="3">
        <v>0</v>
      </c>
      <c r="L2568" s="3">
        <v>5.2</v>
      </c>
      <c r="M2568" t="str">
        <f>IF(acs2015_county_data[[#This Row],[PublicWork]]&gt;='Описательные характеристики'!$F$5,"да","нет")</f>
        <v>да</v>
      </c>
      <c r="N2568" t="str">
        <f>IF(acs2015_county_data[[#This Row],[Unemployment]]&gt;='Описательные характеристики'!$I$5,"да","нет")</f>
        <v>нет</v>
      </c>
    </row>
    <row r="2569" spans="1:14" x14ac:dyDescent="0.35">
      <c r="A2569">
        <v>48089</v>
      </c>
      <c r="B2569" t="s">
        <v>1051</v>
      </c>
      <c r="C2569" t="s">
        <v>236</v>
      </c>
      <c r="D2569" s="2">
        <v>20757</v>
      </c>
      <c r="E2569" s="2">
        <v>25578</v>
      </c>
      <c r="F2569" s="3">
        <v>1.8</v>
      </c>
      <c r="G2569" s="3">
        <v>9169</v>
      </c>
      <c r="H2569" s="3">
        <v>72.599999999999994</v>
      </c>
      <c r="I2569" s="3">
        <v>17.3</v>
      </c>
      <c r="J2569" s="3">
        <v>9</v>
      </c>
      <c r="K2569" s="3">
        <v>1.1000000000000001</v>
      </c>
      <c r="L2569" s="3">
        <v>4.2</v>
      </c>
      <c r="M2569" t="str">
        <f>IF(acs2015_county_data[[#This Row],[PublicWork]]&gt;='Описательные характеристики'!$F$5,"да","нет")</f>
        <v>да</v>
      </c>
      <c r="N2569" t="str">
        <f>IF(acs2015_county_data[[#This Row],[Unemployment]]&gt;='Описательные характеристики'!$I$5,"да","нет")</f>
        <v>нет</v>
      </c>
    </row>
    <row r="2570" spans="1:14" x14ac:dyDescent="0.35">
      <c r="A2570">
        <v>48091</v>
      </c>
      <c r="B2570" t="s">
        <v>1051</v>
      </c>
      <c r="C2570" t="s">
        <v>1570</v>
      </c>
      <c r="D2570" s="2">
        <v>119632</v>
      </c>
      <c r="E2570" s="2">
        <v>32838</v>
      </c>
      <c r="F2570" s="3">
        <v>7.6</v>
      </c>
      <c r="G2570" s="3">
        <v>54190</v>
      </c>
      <c r="H2570" s="3">
        <v>77.2</v>
      </c>
      <c r="I2570" s="3">
        <v>13.2</v>
      </c>
      <c r="J2570" s="3">
        <v>9.1</v>
      </c>
      <c r="K2570" s="3">
        <v>0.4</v>
      </c>
      <c r="L2570" s="3">
        <v>4.9000000000000004</v>
      </c>
      <c r="M2570" t="str">
        <f>IF(acs2015_county_data[[#This Row],[PublicWork]]&gt;='Описательные характеристики'!$F$5,"да","нет")</f>
        <v>нет</v>
      </c>
      <c r="N2570" t="str">
        <f>IF(acs2015_county_data[[#This Row],[Unemployment]]&gt;='Описательные характеристики'!$I$5,"да","нет")</f>
        <v>нет</v>
      </c>
    </row>
    <row r="2571" spans="1:14" x14ac:dyDescent="0.35">
      <c r="A2571">
        <v>48093</v>
      </c>
      <c r="B2571" t="s">
        <v>1051</v>
      </c>
      <c r="C2571" t="s">
        <v>653</v>
      </c>
      <c r="D2571" s="2">
        <v>13623</v>
      </c>
      <c r="E2571" s="2">
        <v>19743</v>
      </c>
      <c r="F2571" s="3">
        <v>3.7</v>
      </c>
      <c r="G2571" s="3">
        <v>5338</v>
      </c>
      <c r="H2571" s="3">
        <v>72.2</v>
      </c>
      <c r="I2571" s="3">
        <v>15</v>
      </c>
      <c r="J2571" s="3">
        <v>12.3</v>
      </c>
      <c r="K2571" s="3">
        <v>0.5</v>
      </c>
      <c r="L2571" s="3">
        <v>4.5</v>
      </c>
      <c r="M2571" t="str">
        <f>IF(acs2015_county_data[[#This Row],[PublicWork]]&gt;='Описательные характеристики'!$F$5,"да","нет")</f>
        <v>нет</v>
      </c>
      <c r="N2571" t="str">
        <f>IF(acs2015_county_data[[#This Row],[Unemployment]]&gt;='Описательные характеристики'!$I$5,"да","нет")</f>
        <v>нет</v>
      </c>
    </row>
    <row r="2572" spans="1:14" x14ac:dyDescent="0.35">
      <c r="A2572">
        <v>48095</v>
      </c>
      <c r="B2572" t="s">
        <v>1051</v>
      </c>
      <c r="C2572" t="s">
        <v>1571</v>
      </c>
      <c r="D2572" s="2">
        <v>4086</v>
      </c>
      <c r="E2572" s="2">
        <v>15820</v>
      </c>
      <c r="F2572" s="3">
        <v>5</v>
      </c>
      <c r="G2572" s="3">
        <v>961</v>
      </c>
      <c r="H2572" s="3">
        <v>44.1</v>
      </c>
      <c r="I2572" s="3">
        <v>36.700000000000003</v>
      </c>
      <c r="J2572" s="3">
        <v>17.8</v>
      </c>
      <c r="K2572" s="3">
        <v>1.4</v>
      </c>
      <c r="L2572" s="3">
        <v>2.8</v>
      </c>
      <c r="M2572" t="str">
        <f>IF(acs2015_county_data[[#This Row],[PublicWork]]&gt;='Описательные характеристики'!$F$5,"да","нет")</f>
        <v>да</v>
      </c>
      <c r="N2572" t="str">
        <f>IF(acs2015_county_data[[#This Row],[Unemployment]]&gt;='Описательные характеристики'!$I$5,"да","нет")</f>
        <v>нет</v>
      </c>
    </row>
    <row r="2573" spans="1:14" x14ac:dyDescent="0.35">
      <c r="A2573">
        <v>48097</v>
      </c>
      <c r="B2573" t="s">
        <v>1051</v>
      </c>
      <c r="C2573" t="s">
        <v>1572</v>
      </c>
      <c r="D2573" s="2">
        <v>38761</v>
      </c>
      <c r="E2573" s="2">
        <v>26742</v>
      </c>
      <c r="F2573" s="3">
        <v>3.9</v>
      </c>
      <c r="G2573" s="3">
        <v>18012</v>
      </c>
      <c r="H2573" s="3">
        <v>76.900000000000006</v>
      </c>
      <c r="I2573" s="3">
        <v>14.8</v>
      </c>
      <c r="J2573" s="3">
        <v>8.1</v>
      </c>
      <c r="K2573" s="3">
        <v>0.2</v>
      </c>
      <c r="L2573" s="3">
        <v>7</v>
      </c>
      <c r="M2573" t="str">
        <f>IF(acs2015_county_data[[#This Row],[PublicWork]]&gt;='Описательные характеристики'!$F$5,"да","нет")</f>
        <v>нет</v>
      </c>
      <c r="N2573" t="str">
        <f>IF(acs2015_county_data[[#This Row],[Unemployment]]&gt;='Описательные характеристики'!$I$5,"да","нет")</f>
        <v>нет</v>
      </c>
    </row>
    <row r="2574" spans="1:14" x14ac:dyDescent="0.35">
      <c r="A2574">
        <v>48099</v>
      </c>
      <c r="B2574" t="s">
        <v>1051</v>
      </c>
      <c r="C2574" t="s">
        <v>1573</v>
      </c>
      <c r="D2574" s="2">
        <v>76128</v>
      </c>
      <c r="E2574" s="2">
        <v>19760</v>
      </c>
      <c r="F2574" s="3">
        <v>3</v>
      </c>
      <c r="G2574" s="3">
        <v>22684</v>
      </c>
      <c r="H2574" s="3">
        <v>60.3</v>
      </c>
      <c r="I2574" s="3">
        <v>34.200000000000003</v>
      </c>
      <c r="J2574" s="3">
        <v>5.3</v>
      </c>
      <c r="K2574" s="3">
        <v>0.2</v>
      </c>
      <c r="L2574" s="3">
        <v>9.5</v>
      </c>
      <c r="M2574" t="str">
        <f>IF(acs2015_county_data[[#This Row],[PublicWork]]&gt;='Описательные характеристики'!$F$5,"да","нет")</f>
        <v>да</v>
      </c>
      <c r="N2574" t="str">
        <f>IF(acs2015_county_data[[#This Row],[Unemployment]]&gt;='Описательные характеристики'!$I$5,"да","нет")</f>
        <v>да</v>
      </c>
    </row>
    <row r="2575" spans="1:14" x14ac:dyDescent="0.35">
      <c r="A2575">
        <v>48101</v>
      </c>
      <c r="B2575" t="s">
        <v>1051</v>
      </c>
      <c r="C2575" t="s">
        <v>1574</v>
      </c>
      <c r="D2575" s="2">
        <v>1510</v>
      </c>
      <c r="E2575" s="2">
        <v>18926</v>
      </c>
      <c r="F2575" s="3">
        <v>2.2000000000000002</v>
      </c>
      <c r="G2575" s="3">
        <v>615</v>
      </c>
      <c r="H2575" s="3">
        <v>56.4</v>
      </c>
      <c r="I2575" s="3">
        <v>28.9</v>
      </c>
      <c r="J2575" s="3">
        <v>14</v>
      </c>
      <c r="K2575" s="3">
        <v>0.7</v>
      </c>
      <c r="L2575" s="3">
        <v>7.5</v>
      </c>
      <c r="M2575" t="str">
        <f>IF(acs2015_county_data[[#This Row],[PublicWork]]&gt;='Описательные характеристики'!$F$5,"да","нет")</f>
        <v>да</v>
      </c>
      <c r="N2575" t="str">
        <f>IF(acs2015_county_data[[#This Row],[Unemployment]]&gt;='Описательные характеристики'!$I$5,"да","нет")</f>
        <v>нет</v>
      </c>
    </row>
    <row r="2576" spans="1:14" x14ac:dyDescent="0.35">
      <c r="A2576">
        <v>48103</v>
      </c>
      <c r="B2576" t="s">
        <v>1051</v>
      </c>
      <c r="C2576" t="s">
        <v>1575</v>
      </c>
      <c r="D2576" s="2">
        <v>4730</v>
      </c>
      <c r="E2576" s="2">
        <v>23808</v>
      </c>
      <c r="F2576" s="3">
        <v>0</v>
      </c>
      <c r="G2576" s="3">
        <v>1980</v>
      </c>
      <c r="H2576" s="3">
        <v>82.2</v>
      </c>
      <c r="I2576" s="3">
        <v>13.9</v>
      </c>
      <c r="J2576" s="3">
        <v>3.9</v>
      </c>
      <c r="K2576" s="3">
        <v>0</v>
      </c>
      <c r="L2576" s="3">
        <v>5.2</v>
      </c>
      <c r="M2576" t="str">
        <f>IF(acs2015_county_data[[#This Row],[PublicWork]]&gt;='Описательные характеристики'!$F$5,"да","нет")</f>
        <v>нет</v>
      </c>
      <c r="N2576" t="str">
        <f>IF(acs2015_county_data[[#This Row],[Unemployment]]&gt;='Описательные характеристики'!$I$5,"да","нет")</f>
        <v>нет</v>
      </c>
    </row>
    <row r="2577" spans="1:14" x14ac:dyDescent="0.35">
      <c r="A2577">
        <v>48105</v>
      </c>
      <c r="B2577" t="s">
        <v>1051</v>
      </c>
      <c r="C2577" t="s">
        <v>1516</v>
      </c>
      <c r="D2577" s="2">
        <v>3699</v>
      </c>
      <c r="E2577" s="2">
        <v>26675</v>
      </c>
      <c r="F2577" s="3">
        <v>1.6</v>
      </c>
      <c r="G2577" s="3">
        <v>1851</v>
      </c>
      <c r="H2577" s="3">
        <v>77.400000000000006</v>
      </c>
      <c r="I2577" s="3">
        <v>16.3</v>
      </c>
      <c r="J2577" s="3">
        <v>6.2</v>
      </c>
      <c r="K2577" s="3">
        <v>0.2</v>
      </c>
      <c r="L2577" s="3">
        <v>1.8</v>
      </c>
      <c r="M2577" t="str">
        <f>IF(acs2015_county_data[[#This Row],[PublicWork]]&gt;='Описательные характеристики'!$F$5,"да","нет")</f>
        <v>да</v>
      </c>
      <c r="N2577" t="str">
        <f>IF(acs2015_county_data[[#This Row],[Unemployment]]&gt;='Описательные характеристики'!$I$5,"да","нет")</f>
        <v>нет</v>
      </c>
    </row>
    <row r="2578" spans="1:14" x14ac:dyDescent="0.35">
      <c r="A2578">
        <v>48107</v>
      </c>
      <c r="B2578" t="s">
        <v>1051</v>
      </c>
      <c r="C2578" t="s">
        <v>1576</v>
      </c>
      <c r="D2578" s="2">
        <v>6007</v>
      </c>
      <c r="E2578" s="2">
        <v>18692</v>
      </c>
      <c r="F2578" s="3">
        <v>1.4</v>
      </c>
      <c r="G2578" s="3">
        <v>2478</v>
      </c>
      <c r="H2578" s="3">
        <v>72.7</v>
      </c>
      <c r="I2578" s="3">
        <v>17.3</v>
      </c>
      <c r="J2578" s="3">
        <v>9.4</v>
      </c>
      <c r="K2578" s="3">
        <v>0.6</v>
      </c>
      <c r="L2578" s="3">
        <v>10</v>
      </c>
      <c r="M2578" t="str">
        <f>IF(acs2015_county_data[[#This Row],[PublicWork]]&gt;='Описательные характеристики'!$F$5,"да","нет")</f>
        <v>да</v>
      </c>
      <c r="N2578" t="str">
        <f>IF(acs2015_county_data[[#This Row],[Unemployment]]&gt;='Описательные характеристики'!$I$5,"да","нет")</f>
        <v>да</v>
      </c>
    </row>
    <row r="2579" spans="1:14" x14ac:dyDescent="0.35">
      <c r="A2579">
        <v>48109</v>
      </c>
      <c r="B2579" t="s">
        <v>1051</v>
      </c>
      <c r="C2579" t="s">
        <v>1577</v>
      </c>
      <c r="D2579" s="2">
        <v>2296</v>
      </c>
      <c r="E2579" s="2">
        <v>17340</v>
      </c>
      <c r="F2579" s="3">
        <v>2.2000000000000002</v>
      </c>
      <c r="G2579" s="3">
        <v>1020</v>
      </c>
      <c r="H2579" s="3">
        <v>74.7</v>
      </c>
      <c r="I2579" s="3">
        <v>19.100000000000001</v>
      </c>
      <c r="J2579" s="3">
        <v>6.2</v>
      </c>
      <c r="K2579" s="3">
        <v>0</v>
      </c>
      <c r="L2579" s="3">
        <v>6.5</v>
      </c>
      <c r="M2579" t="str">
        <f>IF(acs2015_county_data[[#This Row],[PublicWork]]&gt;='Описательные характеристики'!$F$5,"да","нет")</f>
        <v>да</v>
      </c>
      <c r="N2579" t="str">
        <f>IF(acs2015_county_data[[#This Row],[Unemployment]]&gt;='Описательные характеристики'!$I$5,"да","нет")</f>
        <v>нет</v>
      </c>
    </row>
    <row r="2580" spans="1:14" x14ac:dyDescent="0.35">
      <c r="A2580">
        <v>48111</v>
      </c>
      <c r="B2580" t="s">
        <v>1051</v>
      </c>
      <c r="C2580" t="s">
        <v>1578</v>
      </c>
      <c r="D2580" s="2">
        <v>7014</v>
      </c>
      <c r="E2580" s="2">
        <v>19997</v>
      </c>
      <c r="F2580" s="3">
        <v>2.1</v>
      </c>
      <c r="G2580" s="3">
        <v>3381</v>
      </c>
      <c r="H2580" s="3">
        <v>82.1</v>
      </c>
      <c r="I2580" s="3">
        <v>11</v>
      </c>
      <c r="J2580" s="3">
        <v>6.7</v>
      </c>
      <c r="K2580" s="3">
        <v>0.1</v>
      </c>
      <c r="L2580" s="3">
        <v>5.6</v>
      </c>
      <c r="M2580" t="str">
        <f>IF(acs2015_county_data[[#This Row],[PublicWork]]&gt;='Описательные характеристики'!$F$5,"да","нет")</f>
        <v>нет</v>
      </c>
      <c r="N2580" t="str">
        <f>IF(acs2015_county_data[[#This Row],[Unemployment]]&gt;='Описательные характеристики'!$I$5,"да","нет")</f>
        <v>нет</v>
      </c>
    </row>
    <row r="2581" spans="1:14" x14ac:dyDescent="0.35">
      <c r="A2581">
        <v>48113</v>
      </c>
      <c r="B2581" t="s">
        <v>1051</v>
      </c>
      <c r="C2581" t="s">
        <v>37</v>
      </c>
      <c r="D2581" s="2">
        <v>2485003</v>
      </c>
      <c r="E2581" s="2">
        <v>27605</v>
      </c>
      <c r="F2581" s="3">
        <v>4.0999999999999996</v>
      </c>
      <c r="G2581" s="3">
        <v>1191958</v>
      </c>
      <c r="H2581" s="3">
        <v>83.9</v>
      </c>
      <c r="I2581" s="3">
        <v>9.5</v>
      </c>
      <c r="J2581" s="3">
        <v>6.4</v>
      </c>
      <c r="K2581" s="3">
        <v>0.1</v>
      </c>
      <c r="L2581" s="3">
        <v>7.6</v>
      </c>
      <c r="M2581" t="str">
        <f>IF(acs2015_county_data[[#This Row],[PublicWork]]&gt;='Описательные характеристики'!$F$5,"да","нет")</f>
        <v>нет</v>
      </c>
      <c r="N2581" t="str">
        <f>IF(acs2015_county_data[[#This Row],[Unemployment]]&gt;='Описательные характеристики'!$I$5,"да","нет")</f>
        <v>да</v>
      </c>
    </row>
    <row r="2582" spans="1:14" x14ac:dyDescent="0.35">
      <c r="A2582">
        <v>48115</v>
      </c>
      <c r="B2582" t="s">
        <v>1051</v>
      </c>
      <c r="C2582" t="s">
        <v>385</v>
      </c>
      <c r="D2582" s="2">
        <v>13542</v>
      </c>
      <c r="E2582" s="2">
        <v>19889</v>
      </c>
      <c r="F2582" s="3">
        <v>1.8</v>
      </c>
      <c r="G2582" s="3">
        <v>4844</v>
      </c>
      <c r="H2582" s="3">
        <v>68.5</v>
      </c>
      <c r="I2582" s="3">
        <v>21.9</v>
      </c>
      <c r="J2582" s="3">
        <v>9.5</v>
      </c>
      <c r="K2582" s="3">
        <v>0.1</v>
      </c>
      <c r="L2582" s="3">
        <v>9.5</v>
      </c>
      <c r="M2582" t="str">
        <f>IF(acs2015_county_data[[#This Row],[PublicWork]]&gt;='Описательные характеристики'!$F$5,"да","нет")</f>
        <v>да</v>
      </c>
      <c r="N2582" t="str">
        <f>IF(acs2015_county_data[[#This Row],[Unemployment]]&gt;='Описательные характеристики'!$I$5,"да","нет")</f>
        <v>да</v>
      </c>
    </row>
    <row r="2583" spans="1:14" x14ac:dyDescent="0.35">
      <c r="A2583">
        <v>48117</v>
      </c>
      <c r="B2583" t="s">
        <v>1051</v>
      </c>
      <c r="C2583" t="s">
        <v>1579</v>
      </c>
      <c r="D2583" s="2">
        <v>19245</v>
      </c>
      <c r="E2583" s="2">
        <v>18846</v>
      </c>
      <c r="F2583" s="3">
        <v>2.6</v>
      </c>
      <c r="G2583" s="3">
        <v>8501</v>
      </c>
      <c r="H2583" s="3">
        <v>78</v>
      </c>
      <c r="I2583" s="3">
        <v>13.6</v>
      </c>
      <c r="J2583" s="3">
        <v>7.9</v>
      </c>
      <c r="K2583" s="3">
        <v>0.5</v>
      </c>
      <c r="L2583" s="3">
        <v>5.4</v>
      </c>
      <c r="M2583" t="str">
        <f>IF(acs2015_county_data[[#This Row],[PublicWork]]&gt;='Описательные характеристики'!$F$5,"да","нет")</f>
        <v>нет</v>
      </c>
      <c r="N2583" t="str">
        <f>IF(acs2015_county_data[[#This Row],[Unemployment]]&gt;='Описательные характеристики'!$I$5,"да","нет")</f>
        <v>нет</v>
      </c>
    </row>
    <row r="2584" spans="1:14" x14ac:dyDescent="0.35">
      <c r="A2584">
        <v>48119</v>
      </c>
      <c r="B2584" t="s">
        <v>1051</v>
      </c>
      <c r="C2584" t="s">
        <v>251</v>
      </c>
      <c r="D2584" s="2">
        <v>5223</v>
      </c>
      <c r="E2584" s="2">
        <v>20704</v>
      </c>
      <c r="F2584" s="3">
        <v>2.2999999999999998</v>
      </c>
      <c r="G2584" s="3">
        <v>1830</v>
      </c>
      <c r="H2584" s="3">
        <v>72.8</v>
      </c>
      <c r="I2584" s="3">
        <v>16.2</v>
      </c>
      <c r="J2584" s="3">
        <v>11</v>
      </c>
      <c r="K2584" s="3">
        <v>0</v>
      </c>
      <c r="L2584" s="3">
        <v>13.6</v>
      </c>
      <c r="M2584" t="str">
        <f>IF(acs2015_county_data[[#This Row],[PublicWork]]&gt;='Описательные характеристики'!$F$5,"да","нет")</f>
        <v>да</v>
      </c>
      <c r="N2584" t="str">
        <f>IF(acs2015_county_data[[#This Row],[Unemployment]]&gt;='Описательные характеристики'!$I$5,"да","нет")</f>
        <v>да</v>
      </c>
    </row>
    <row r="2585" spans="1:14" x14ac:dyDescent="0.35">
      <c r="A2585">
        <v>48121</v>
      </c>
      <c r="B2585" t="s">
        <v>1051</v>
      </c>
      <c r="C2585" t="s">
        <v>1580</v>
      </c>
      <c r="D2585" s="2">
        <v>731851</v>
      </c>
      <c r="E2585" s="2">
        <v>34914</v>
      </c>
      <c r="F2585" s="3">
        <v>6.2</v>
      </c>
      <c r="G2585" s="3">
        <v>387884</v>
      </c>
      <c r="H2585" s="3">
        <v>82.2</v>
      </c>
      <c r="I2585" s="3">
        <v>11.9</v>
      </c>
      <c r="J2585" s="3">
        <v>5.7</v>
      </c>
      <c r="K2585" s="3">
        <v>0.1</v>
      </c>
      <c r="L2585" s="3">
        <v>5.7</v>
      </c>
      <c r="M2585" t="str">
        <f>IF(acs2015_county_data[[#This Row],[PublicWork]]&gt;='Описательные характеристики'!$F$5,"да","нет")</f>
        <v>нет</v>
      </c>
      <c r="N2585" t="str">
        <f>IF(acs2015_county_data[[#This Row],[Unemployment]]&gt;='Описательные характеристики'!$I$5,"да","нет")</f>
        <v>нет</v>
      </c>
    </row>
    <row r="2586" spans="1:14" x14ac:dyDescent="0.35">
      <c r="A2586">
        <v>48123</v>
      </c>
      <c r="B2586" t="s">
        <v>1051</v>
      </c>
      <c r="C2586" t="s">
        <v>1581</v>
      </c>
      <c r="D2586" s="2">
        <v>20540</v>
      </c>
      <c r="E2586" s="2">
        <v>28418</v>
      </c>
      <c r="F2586" s="3">
        <v>4</v>
      </c>
      <c r="G2586" s="3">
        <v>7927</v>
      </c>
      <c r="H2586" s="3">
        <v>72.400000000000006</v>
      </c>
      <c r="I2586" s="3">
        <v>17.7</v>
      </c>
      <c r="J2586" s="3">
        <v>9.6</v>
      </c>
      <c r="K2586" s="3">
        <v>0.3</v>
      </c>
      <c r="L2586" s="3">
        <v>6.8</v>
      </c>
      <c r="M2586" t="str">
        <f>IF(acs2015_county_data[[#This Row],[PublicWork]]&gt;='Описательные характеристики'!$F$5,"да","нет")</f>
        <v>да</v>
      </c>
      <c r="N2586" t="str">
        <f>IF(acs2015_county_data[[#This Row],[Unemployment]]&gt;='Описательные характеристики'!$I$5,"да","нет")</f>
        <v>нет</v>
      </c>
    </row>
    <row r="2587" spans="1:14" x14ac:dyDescent="0.35">
      <c r="A2587">
        <v>48125</v>
      </c>
      <c r="B2587" t="s">
        <v>1051</v>
      </c>
      <c r="C2587" t="s">
        <v>1582</v>
      </c>
      <c r="D2587" s="2">
        <v>2281</v>
      </c>
      <c r="E2587" s="2">
        <v>20659</v>
      </c>
      <c r="F2587" s="3">
        <v>6.1</v>
      </c>
      <c r="G2587" s="3">
        <v>744</v>
      </c>
      <c r="H2587" s="3">
        <v>59</v>
      </c>
      <c r="I2587" s="3">
        <v>31.2</v>
      </c>
      <c r="J2587" s="3">
        <v>9.5</v>
      </c>
      <c r="K2587" s="3">
        <v>0.3</v>
      </c>
      <c r="L2587" s="3">
        <v>13.6</v>
      </c>
      <c r="M2587" t="str">
        <f>IF(acs2015_county_data[[#This Row],[PublicWork]]&gt;='Описательные характеристики'!$F$5,"да","нет")</f>
        <v>да</v>
      </c>
      <c r="N2587" t="str">
        <f>IF(acs2015_county_data[[#This Row],[Unemployment]]&gt;='Описательные характеристики'!$I$5,"да","нет")</f>
        <v>да</v>
      </c>
    </row>
    <row r="2588" spans="1:14" x14ac:dyDescent="0.35">
      <c r="A2588">
        <v>48127</v>
      </c>
      <c r="B2588" t="s">
        <v>1051</v>
      </c>
      <c r="C2588" t="s">
        <v>1583</v>
      </c>
      <c r="D2588" s="2">
        <v>10682</v>
      </c>
      <c r="E2588" s="2">
        <v>21174</v>
      </c>
      <c r="F2588" s="3">
        <v>5.7</v>
      </c>
      <c r="G2588" s="3">
        <v>4210</v>
      </c>
      <c r="H2588" s="3">
        <v>70.5</v>
      </c>
      <c r="I2588" s="3">
        <v>21.9</v>
      </c>
      <c r="J2588" s="3">
        <v>7.6</v>
      </c>
      <c r="K2588" s="3">
        <v>0</v>
      </c>
      <c r="L2588" s="3">
        <v>10.3</v>
      </c>
      <c r="M2588" t="str">
        <f>IF(acs2015_county_data[[#This Row],[PublicWork]]&gt;='Описательные характеристики'!$F$5,"да","нет")</f>
        <v>да</v>
      </c>
      <c r="N2588" t="str">
        <f>IF(acs2015_county_data[[#This Row],[Unemployment]]&gt;='Описательные характеристики'!$I$5,"да","нет")</f>
        <v>да</v>
      </c>
    </row>
    <row r="2589" spans="1:14" x14ac:dyDescent="0.35">
      <c r="A2589">
        <v>48129</v>
      </c>
      <c r="B2589" t="s">
        <v>1051</v>
      </c>
      <c r="C2589" t="s">
        <v>1584</v>
      </c>
      <c r="D2589" s="2">
        <v>3588</v>
      </c>
      <c r="E2589" s="2">
        <v>20204</v>
      </c>
      <c r="F2589" s="3">
        <v>8.1999999999999993</v>
      </c>
      <c r="G2589" s="3">
        <v>1411</v>
      </c>
      <c r="H2589" s="3">
        <v>56.4</v>
      </c>
      <c r="I2589" s="3">
        <v>29.8</v>
      </c>
      <c r="J2589" s="3">
        <v>13.7</v>
      </c>
      <c r="K2589" s="3">
        <v>0</v>
      </c>
      <c r="L2589" s="3">
        <v>3.9</v>
      </c>
      <c r="M2589" t="str">
        <f>IF(acs2015_county_data[[#This Row],[PublicWork]]&gt;='Описательные характеристики'!$F$5,"да","нет")</f>
        <v>да</v>
      </c>
      <c r="N2589" t="str">
        <f>IF(acs2015_county_data[[#This Row],[Unemployment]]&gt;='Описательные характеристики'!$I$5,"да","нет")</f>
        <v>нет</v>
      </c>
    </row>
    <row r="2590" spans="1:14" x14ac:dyDescent="0.35">
      <c r="A2590">
        <v>48131</v>
      </c>
      <c r="B2590" t="s">
        <v>1051</v>
      </c>
      <c r="C2590" t="s">
        <v>317</v>
      </c>
      <c r="D2590" s="2">
        <v>11577</v>
      </c>
      <c r="E2590" s="2">
        <v>20752</v>
      </c>
      <c r="F2590" s="3">
        <v>3.3</v>
      </c>
      <c r="G2590" s="3">
        <v>4336</v>
      </c>
      <c r="H2590" s="3">
        <v>76</v>
      </c>
      <c r="I2590" s="3">
        <v>17.2</v>
      </c>
      <c r="J2590" s="3">
        <v>6.4</v>
      </c>
      <c r="K2590" s="3">
        <v>0.3</v>
      </c>
      <c r="L2590" s="3">
        <v>10.9</v>
      </c>
      <c r="M2590" t="str">
        <f>IF(acs2015_county_data[[#This Row],[PublicWork]]&gt;='Описательные характеристики'!$F$5,"да","нет")</f>
        <v>да</v>
      </c>
      <c r="N2590" t="str">
        <f>IF(acs2015_county_data[[#This Row],[Unemployment]]&gt;='Описательные характеристики'!$I$5,"да","нет")</f>
        <v>да</v>
      </c>
    </row>
    <row r="2591" spans="1:14" x14ac:dyDescent="0.35">
      <c r="A2591">
        <v>48133</v>
      </c>
      <c r="B2591" t="s">
        <v>1051</v>
      </c>
      <c r="C2591" t="s">
        <v>1585</v>
      </c>
      <c r="D2591" s="2">
        <v>18328</v>
      </c>
      <c r="E2591" s="2">
        <v>22135</v>
      </c>
      <c r="F2591" s="3">
        <v>3.1</v>
      </c>
      <c r="G2591" s="3">
        <v>6803</v>
      </c>
      <c r="H2591" s="3">
        <v>76.400000000000006</v>
      </c>
      <c r="I2591" s="3">
        <v>15.1</v>
      </c>
      <c r="J2591" s="3">
        <v>7.8</v>
      </c>
      <c r="K2591" s="3">
        <v>0.7</v>
      </c>
      <c r="L2591" s="3">
        <v>4.4000000000000004</v>
      </c>
      <c r="M2591" t="str">
        <f>IF(acs2015_county_data[[#This Row],[PublicWork]]&gt;='Описательные характеристики'!$F$5,"да","нет")</f>
        <v>нет</v>
      </c>
      <c r="N2591" t="str">
        <f>IF(acs2015_county_data[[#This Row],[Unemployment]]&gt;='Описательные характеристики'!$I$5,"да","нет")</f>
        <v>нет</v>
      </c>
    </row>
    <row r="2592" spans="1:14" x14ac:dyDescent="0.35">
      <c r="A2592">
        <v>48135</v>
      </c>
      <c r="B2592" t="s">
        <v>1051</v>
      </c>
      <c r="C2592" t="s">
        <v>1586</v>
      </c>
      <c r="D2592" s="2">
        <v>149557</v>
      </c>
      <c r="E2592" s="2">
        <v>26135</v>
      </c>
      <c r="F2592" s="3">
        <v>2.1</v>
      </c>
      <c r="G2592" s="3">
        <v>70130</v>
      </c>
      <c r="H2592" s="3">
        <v>82</v>
      </c>
      <c r="I2592" s="3">
        <v>11.2</v>
      </c>
      <c r="J2592" s="3">
        <v>6.7</v>
      </c>
      <c r="K2592" s="3">
        <v>0.1</v>
      </c>
      <c r="L2592" s="3">
        <v>5.2</v>
      </c>
      <c r="M2592" t="str">
        <f>IF(acs2015_county_data[[#This Row],[PublicWork]]&gt;='Описательные характеристики'!$F$5,"да","нет")</f>
        <v>нет</v>
      </c>
      <c r="N2592" t="str">
        <f>IF(acs2015_county_data[[#This Row],[Unemployment]]&gt;='Описательные характеристики'!$I$5,"да","нет")</f>
        <v>нет</v>
      </c>
    </row>
    <row r="2593" spans="1:14" x14ac:dyDescent="0.35">
      <c r="A2593">
        <v>48137</v>
      </c>
      <c r="B2593" t="s">
        <v>1051</v>
      </c>
      <c r="C2593" t="s">
        <v>517</v>
      </c>
      <c r="D2593" s="2">
        <v>1906</v>
      </c>
      <c r="E2593" s="2">
        <v>27893</v>
      </c>
      <c r="F2593" s="3">
        <v>16.5</v>
      </c>
      <c r="G2593" s="3">
        <v>912</v>
      </c>
      <c r="H2593" s="3">
        <v>57.2</v>
      </c>
      <c r="I2593" s="3">
        <v>23</v>
      </c>
      <c r="J2593" s="3">
        <v>19.7</v>
      </c>
      <c r="K2593" s="3">
        <v>0</v>
      </c>
      <c r="L2593" s="3">
        <v>4.9000000000000004</v>
      </c>
      <c r="M2593" t="str">
        <f>IF(acs2015_county_data[[#This Row],[PublicWork]]&gt;='Описательные характеристики'!$F$5,"да","нет")</f>
        <v>да</v>
      </c>
      <c r="N2593" t="str">
        <f>IF(acs2015_county_data[[#This Row],[Unemployment]]&gt;='Описательные характеристики'!$I$5,"да","нет")</f>
        <v>нет</v>
      </c>
    </row>
    <row r="2594" spans="1:14" x14ac:dyDescent="0.35">
      <c r="A2594">
        <v>48139</v>
      </c>
      <c r="B2594" t="s">
        <v>1051</v>
      </c>
      <c r="C2594" t="s">
        <v>656</v>
      </c>
      <c r="D2594" s="2">
        <v>157058</v>
      </c>
      <c r="E2594" s="2">
        <v>26357</v>
      </c>
      <c r="F2594" s="3">
        <v>4.7</v>
      </c>
      <c r="G2594" s="3">
        <v>74703</v>
      </c>
      <c r="H2594" s="3">
        <v>78.5</v>
      </c>
      <c r="I2594" s="3">
        <v>14.2</v>
      </c>
      <c r="J2594" s="3">
        <v>7.3</v>
      </c>
      <c r="K2594" s="3">
        <v>0.1</v>
      </c>
      <c r="L2594" s="3">
        <v>6.5</v>
      </c>
      <c r="M2594" t="str">
        <f>IF(acs2015_county_data[[#This Row],[PublicWork]]&gt;='Описательные характеристики'!$F$5,"да","нет")</f>
        <v>нет</v>
      </c>
      <c r="N2594" t="str">
        <f>IF(acs2015_county_data[[#This Row],[Unemployment]]&gt;='Описательные характеристики'!$I$5,"да","нет")</f>
        <v>нет</v>
      </c>
    </row>
    <row r="2595" spans="1:14" x14ac:dyDescent="0.35">
      <c r="A2595">
        <v>48141</v>
      </c>
      <c r="B2595" t="s">
        <v>1051</v>
      </c>
      <c r="C2595" t="s">
        <v>257</v>
      </c>
      <c r="D2595" s="2">
        <v>831095</v>
      </c>
      <c r="E2595" s="2">
        <v>18880</v>
      </c>
      <c r="F2595" s="3">
        <v>3.2</v>
      </c>
      <c r="G2595" s="3">
        <v>327744</v>
      </c>
      <c r="H2595" s="3">
        <v>73.900000000000006</v>
      </c>
      <c r="I2595" s="3">
        <v>20</v>
      </c>
      <c r="J2595" s="3">
        <v>6</v>
      </c>
      <c r="K2595" s="3">
        <v>0.1</v>
      </c>
      <c r="L2595" s="3">
        <v>8.4</v>
      </c>
      <c r="M2595" t="str">
        <f>IF(acs2015_county_data[[#This Row],[PublicWork]]&gt;='Описательные характеристики'!$F$5,"да","нет")</f>
        <v>да</v>
      </c>
      <c r="N2595" t="str">
        <f>IF(acs2015_county_data[[#This Row],[Unemployment]]&gt;='Описательные характеристики'!$I$5,"да","нет")</f>
        <v>да</v>
      </c>
    </row>
    <row r="2596" spans="1:14" x14ac:dyDescent="0.35">
      <c r="A2596">
        <v>48143</v>
      </c>
      <c r="B2596" t="s">
        <v>1051</v>
      </c>
      <c r="C2596" t="s">
        <v>1587</v>
      </c>
      <c r="D2596" s="2">
        <v>40039</v>
      </c>
      <c r="E2596" s="2">
        <v>21903</v>
      </c>
      <c r="F2596" s="3">
        <v>3.6</v>
      </c>
      <c r="G2596" s="3">
        <v>19275</v>
      </c>
      <c r="H2596" s="3">
        <v>76.7</v>
      </c>
      <c r="I2596" s="3">
        <v>15.3</v>
      </c>
      <c r="J2596" s="3">
        <v>7.9</v>
      </c>
      <c r="K2596" s="3">
        <v>0</v>
      </c>
      <c r="L2596" s="3">
        <v>4.0999999999999996</v>
      </c>
      <c r="M2596" t="str">
        <f>IF(acs2015_county_data[[#This Row],[PublicWork]]&gt;='Описательные характеристики'!$F$5,"да","нет")</f>
        <v>нет</v>
      </c>
      <c r="N2596" t="str">
        <f>IF(acs2015_county_data[[#This Row],[Unemployment]]&gt;='Описательные характеристики'!$I$5,"да","нет")</f>
        <v>нет</v>
      </c>
    </row>
    <row r="2597" spans="1:14" x14ac:dyDescent="0.35">
      <c r="A2597">
        <v>48145</v>
      </c>
      <c r="B2597" t="s">
        <v>1051</v>
      </c>
      <c r="C2597" t="s">
        <v>1588</v>
      </c>
      <c r="D2597" s="2">
        <v>17410</v>
      </c>
      <c r="E2597" s="2">
        <v>16739</v>
      </c>
      <c r="F2597" s="3">
        <v>3.2</v>
      </c>
      <c r="G2597" s="3">
        <v>6068</v>
      </c>
      <c r="H2597" s="3">
        <v>70.8</v>
      </c>
      <c r="I2597" s="3">
        <v>20.5</v>
      </c>
      <c r="J2597" s="3">
        <v>8.4</v>
      </c>
      <c r="K2597" s="3">
        <v>0.3</v>
      </c>
      <c r="L2597" s="3">
        <v>7.2</v>
      </c>
      <c r="M2597" t="str">
        <f>IF(acs2015_county_data[[#This Row],[PublicWork]]&gt;='Описательные характеристики'!$F$5,"да","нет")</f>
        <v>да</v>
      </c>
      <c r="N2597" t="str">
        <f>IF(acs2015_county_data[[#This Row],[Unemployment]]&gt;='Описательные характеристики'!$I$5,"да","нет")</f>
        <v>нет</v>
      </c>
    </row>
    <row r="2598" spans="1:14" x14ac:dyDescent="0.35">
      <c r="A2598">
        <v>48147</v>
      </c>
      <c r="B2598" t="s">
        <v>1051</v>
      </c>
      <c r="C2598" t="s">
        <v>395</v>
      </c>
      <c r="D2598" s="2">
        <v>33748</v>
      </c>
      <c r="E2598" s="2">
        <v>20545</v>
      </c>
      <c r="F2598" s="3">
        <v>5.2</v>
      </c>
      <c r="G2598" s="3">
        <v>13259</v>
      </c>
      <c r="H2598" s="3">
        <v>73.099999999999994</v>
      </c>
      <c r="I2598" s="3">
        <v>19.8</v>
      </c>
      <c r="J2598" s="3">
        <v>7.1</v>
      </c>
      <c r="K2598" s="3">
        <v>0.1</v>
      </c>
      <c r="L2598" s="3">
        <v>6.7</v>
      </c>
      <c r="M2598" t="str">
        <f>IF(acs2015_county_data[[#This Row],[PublicWork]]&gt;='Описательные характеристики'!$F$5,"да","нет")</f>
        <v>да</v>
      </c>
      <c r="N2598" t="str">
        <f>IF(acs2015_county_data[[#This Row],[Unemployment]]&gt;='Описательные характеристики'!$I$5,"да","нет")</f>
        <v>нет</v>
      </c>
    </row>
    <row r="2599" spans="1:14" x14ac:dyDescent="0.35">
      <c r="A2599">
        <v>48149</v>
      </c>
      <c r="B2599" t="s">
        <v>1051</v>
      </c>
      <c r="C2599" t="s">
        <v>42</v>
      </c>
      <c r="D2599" s="2">
        <v>24849</v>
      </c>
      <c r="E2599" s="2">
        <v>28458</v>
      </c>
      <c r="F2599" s="3">
        <v>4.5</v>
      </c>
      <c r="G2599" s="3">
        <v>11669</v>
      </c>
      <c r="H2599" s="3">
        <v>77.400000000000006</v>
      </c>
      <c r="I2599" s="3">
        <v>13.4</v>
      </c>
      <c r="J2599" s="3">
        <v>9</v>
      </c>
      <c r="K2599" s="3">
        <v>0.2</v>
      </c>
      <c r="L2599" s="3">
        <v>1.8</v>
      </c>
      <c r="M2599" t="str">
        <f>IF(acs2015_county_data[[#This Row],[PublicWork]]&gt;='Описательные характеристики'!$F$5,"да","нет")</f>
        <v>нет</v>
      </c>
      <c r="N2599" t="str">
        <f>IF(acs2015_county_data[[#This Row],[Unemployment]]&gt;='Описательные характеристики'!$I$5,"да","нет")</f>
        <v>нет</v>
      </c>
    </row>
    <row r="2600" spans="1:14" x14ac:dyDescent="0.35">
      <c r="A2600">
        <v>48151</v>
      </c>
      <c r="B2600" t="s">
        <v>1051</v>
      </c>
      <c r="C2600" t="s">
        <v>1589</v>
      </c>
      <c r="D2600" s="2">
        <v>3858</v>
      </c>
      <c r="E2600" s="2">
        <v>26855</v>
      </c>
      <c r="F2600" s="3">
        <v>2.2999999999999998</v>
      </c>
      <c r="G2600" s="3">
        <v>1767</v>
      </c>
      <c r="H2600" s="3">
        <v>72</v>
      </c>
      <c r="I2600" s="3">
        <v>18.100000000000001</v>
      </c>
      <c r="J2600" s="3">
        <v>9.4</v>
      </c>
      <c r="K2600" s="3">
        <v>0.5</v>
      </c>
      <c r="L2600" s="3">
        <v>7.2</v>
      </c>
      <c r="M2600" t="str">
        <f>IF(acs2015_county_data[[#This Row],[PublicWork]]&gt;='Описательные характеристики'!$F$5,"да","нет")</f>
        <v>да</v>
      </c>
      <c r="N2600" t="str">
        <f>IF(acs2015_county_data[[#This Row],[Unemployment]]&gt;='Описательные характеристики'!$I$5,"да","нет")</f>
        <v>нет</v>
      </c>
    </row>
    <row r="2601" spans="1:14" x14ac:dyDescent="0.35">
      <c r="A2601">
        <v>48153</v>
      </c>
      <c r="B2601" t="s">
        <v>1051</v>
      </c>
      <c r="C2601" t="s">
        <v>396</v>
      </c>
      <c r="D2601" s="2">
        <v>6178</v>
      </c>
      <c r="E2601" s="2">
        <v>22195</v>
      </c>
      <c r="F2601" s="3">
        <v>5.9</v>
      </c>
      <c r="G2601" s="3">
        <v>2600</v>
      </c>
      <c r="H2601" s="3">
        <v>73.8</v>
      </c>
      <c r="I2601" s="3">
        <v>16.8</v>
      </c>
      <c r="J2601" s="3">
        <v>9.1999999999999993</v>
      </c>
      <c r="K2601" s="3">
        <v>0.1</v>
      </c>
      <c r="L2601" s="3">
        <v>8</v>
      </c>
      <c r="M2601" t="str">
        <f>IF(acs2015_county_data[[#This Row],[PublicWork]]&gt;='Описательные характеристики'!$F$5,"да","нет")</f>
        <v>да</v>
      </c>
      <c r="N2601" t="str">
        <f>IF(acs2015_county_data[[#This Row],[Unemployment]]&gt;='Описательные характеристики'!$I$5,"да","нет")</f>
        <v>да</v>
      </c>
    </row>
    <row r="2602" spans="1:14" x14ac:dyDescent="0.35">
      <c r="A2602">
        <v>48155</v>
      </c>
      <c r="B2602" t="s">
        <v>1051</v>
      </c>
      <c r="C2602" t="s">
        <v>1590</v>
      </c>
      <c r="D2602" s="2">
        <v>1197</v>
      </c>
      <c r="E2602" s="2">
        <v>22871</v>
      </c>
      <c r="F2602" s="3">
        <v>1.8</v>
      </c>
      <c r="G2602" s="3">
        <v>446</v>
      </c>
      <c r="H2602" s="3">
        <v>60.8</v>
      </c>
      <c r="I2602" s="3">
        <v>24.9</v>
      </c>
      <c r="J2602" s="3">
        <v>13.5</v>
      </c>
      <c r="K2602" s="3">
        <v>0.9</v>
      </c>
      <c r="L2602" s="3">
        <v>9.6999999999999993</v>
      </c>
      <c r="M2602" t="str">
        <f>IF(acs2015_county_data[[#This Row],[PublicWork]]&gt;='Описательные характеристики'!$F$5,"да","нет")</f>
        <v>да</v>
      </c>
      <c r="N2602" t="str">
        <f>IF(acs2015_county_data[[#This Row],[Unemployment]]&gt;='Описательные характеристики'!$I$5,"да","нет")</f>
        <v>да</v>
      </c>
    </row>
    <row r="2603" spans="1:14" x14ac:dyDescent="0.35">
      <c r="A2603">
        <v>48157</v>
      </c>
      <c r="B2603" t="s">
        <v>1051</v>
      </c>
      <c r="C2603" t="s">
        <v>1591</v>
      </c>
      <c r="D2603" s="2">
        <v>658331</v>
      </c>
      <c r="E2603" s="2">
        <v>35962</v>
      </c>
      <c r="F2603" s="3">
        <v>4.5</v>
      </c>
      <c r="G2603" s="3">
        <v>314534</v>
      </c>
      <c r="H2603" s="3">
        <v>81.7</v>
      </c>
      <c r="I2603" s="3">
        <v>12.5</v>
      </c>
      <c r="J2603" s="3">
        <v>5.7</v>
      </c>
      <c r="K2603" s="3">
        <v>0.2</v>
      </c>
      <c r="L2603" s="3">
        <v>5.0999999999999996</v>
      </c>
      <c r="M2603" t="str">
        <f>IF(acs2015_county_data[[#This Row],[PublicWork]]&gt;='Описательные характеристики'!$F$5,"да","нет")</f>
        <v>нет</v>
      </c>
      <c r="N2603" t="str">
        <f>IF(acs2015_county_data[[#This Row],[Unemployment]]&gt;='Описательные характеристики'!$I$5,"да","нет")</f>
        <v>нет</v>
      </c>
    </row>
    <row r="2604" spans="1:14" x14ac:dyDescent="0.35">
      <c r="A2604">
        <v>48159</v>
      </c>
      <c r="B2604" t="s">
        <v>1051</v>
      </c>
      <c r="C2604" t="s">
        <v>43</v>
      </c>
      <c r="D2604" s="2">
        <v>10599</v>
      </c>
      <c r="E2604" s="2">
        <v>26653</v>
      </c>
      <c r="F2604" s="3">
        <v>5.5</v>
      </c>
      <c r="G2604" s="3">
        <v>4309</v>
      </c>
      <c r="H2604" s="3">
        <v>72.3</v>
      </c>
      <c r="I2604" s="3">
        <v>13.7</v>
      </c>
      <c r="J2604" s="3">
        <v>13.3</v>
      </c>
      <c r="K2604" s="3">
        <v>0.7</v>
      </c>
      <c r="L2604" s="3">
        <v>6.6</v>
      </c>
      <c r="M2604" t="str">
        <f>IF(acs2015_county_data[[#This Row],[PublicWork]]&gt;='Описательные характеристики'!$F$5,"да","нет")</f>
        <v>нет</v>
      </c>
      <c r="N2604" t="str">
        <f>IF(acs2015_county_data[[#This Row],[Unemployment]]&gt;='Описательные характеристики'!$I$5,"да","нет")</f>
        <v>нет</v>
      </c>
    </row>
    <row r="2605" spans="1:14" x14ac:dyDescent="0.35">
      <c r="A2605">
        <v>48161</v>
      </c>
      <c r="B2605" t="s">
        <v>1051</v>
      </c>
      <c r="C2605" t="s">
        <v>1592</v>
      </c>
      <c r="D2605" s="2">
        <v>19586</v>
      </c>
      <c r="E2605" s="2">
        <v>24087</v>
      </c>
      <c r="F2605" s="3">
        <v>1.4</v>
      </c>
      <c r="G2605" s="3">
        <v>7868</v>
      </c>
      <c r="H2605" s="3">
        <v>73.599999999999994</v>
      </c>
      <c r="I2605" s="3">
        <v>19</v>
      </c>
      <c r="J2605" s="3">
        <v>7.3</v>
      </c>
      <c r="K2605" s="3">
        <v>0.2</v>
      </c>
      <c r="L2605" s="3">
        <v>4.9000000000000004</v>
      </c>
      <c r="M2605" t="str">
        <f>IF(acs2015_county_data[[#This Row],[PublicWork]]&gt;='Описательные характеристики'!$F$5,"да","нет")</f>
        <v>да</v>
      </c>
      <c r="N2605" t="str">
        <f>IF(acs2015_county_data[[#This Row],[Unemployment]]&gt;='Описательные характеристики'!$I$5,"да","нет")</f>
        <v>нет</v>
      </c>
    </row>
    <row r="2606" spans="1:14" x14ac:dyDescent="0.35">
      <c r="A2606">
        <v>48163</v>
      </c>
      <c r="B2606" t="s">
        <v>1051</v>
      </c>
      <c r="C2606" t="s">
        <v>1593</v>
      </c>
      <c r="D2606" s="2">
        <v>18168</v>
      </c>
      <c r="E2606" s="2">
        <v>17017</v>
      </c>
      <c r="F2606" s="3">
        <v>0.6</v>
      </c>
      <c r="G2606" s="3">
        <v>6618</v>
      </c>
      <c r="H2606" s="3">
        <v>81.099999999999994</v>
      </c>
      <c r="I2606" s="3">
        <v>15.4</v>
      </c>
      <c r="J2606" s="3">
        <v>3.4</v>
      </c>
      <c r="K2606" s="3">
        <v>0.1</v>
      </c>
      <c r="L2606" s="3">
        <v>5.2</v>
      </c>
      <c r="M2606" t="str">
        <f>IF(acs2015_county_data[[#This Row],[PublicWork]]&gt;='Описательные характеристики'!$F$5,"да","нет")</f>
        <v>нет</v>
      </c>
      <c r="N2606" t="str">
        <f>IF(acs2015_county_data[[#This Row],[Unemployment]]&gt;='Описательные характеристики'!$I$5,"да","нет")</f>
        <v>нет</v>
      </c>
    </row>
    <row r="2607" spans="1:14" x14ac:dyDescent="0.35">
      <c r="A2607">
        <v>48165</v>
      </c>
      <c r="B2607" t="s">
        <v>1051</v>
      </c>
      <c r="C2607" t="s">
        <v>1594</v>
      </c>
      <c r="D2607" s="2">
        <v>18916</v>
      </c>
      <c r="E2607" s="2">
        <v>22744</v>
      </c>
      <c r="F2607" s="3">
        <v>1.5</v>
      </c>
      <c r="G2607" s="3">
        <v>7868</v>
      </c>
      <c r="H2607" s="3">
        <v>76.8</v>
      </c>
      <c r="I2607" s="3">
        <v>12</v>
      </c>
      <c r="J2607" s="3">
        <v>11.2</v>
      </c>
      <c r="K2607" s="3">
        <v>0</v>
      </c>
      <c r="L2607" s="3">
        <v>4</v>
      </c>
      <c r="M2607" t="str">
        <f>IF(acs2015_county_data[[#This Row],[PublicWork]]&gt;='Описательные характеристики'!$F$5,"да","нет")</f>
        <v>нет</v>
      </c>
      <c r="N2607" t="str">
        <f>IF(acs2015_county_data[[#This Row],[Unemployment]]&gt;='Описательные характеристики'!$I$5,"да","нет")</f>
        <v>нет</v>
      </c>
    </row>
    <row r="2608" spans="1:14" x14ac:dyDescent="0.35">
      <c r="A2608">
        <v>48167</v>
      </c>
      <c r="B2608" t="s">
        <v>1051</v>
      </c>
      <c r="C2608" t="s">
        <v>1595</v>
      </c>
      <c r="D2608" s="2">
        <v>308163</v>
      </c>
      <c r="E2608" s="2">
        <v>31585</v>
      </c>
      <c r="F2608" s="3">
        <v>3.4</v>
      </c>
      <c r="G2608" s="3">
        <v>143681</v>
      </c>
      <c r="H2608" s="3">
        <v>75.8</v>
      </c>
      <c r="I2608" s="3">
        <v>18.2</v>
      </c>
      <c r="J2608" s="3">
        <v>5.8</v>
      </c>
      <c r="K2608" s="3">
        <v>0.2</v>
      </c>
      <c r="L2608" s="3">
        <v>7.5</v>
      </c>
      <c r="M2608" t="str">
        <f>IF(acs2015_county_data[[#This Row],[PublicWork]]&gt;='Описательные характеристики'!$F$5,"да","нет")</f>
        <v>да</v>
      </c>
      <c r="N2608" t="str">
        <f>IF(acs2015_county_data[[#This Row],[Unemployment]]&gt;='Описательные характеристики'!$I$5,"да","нет")</f>
        <v>нет</v>
      </c>
    </row>
    <row r="2609" spans="1:14" x14ac:dyDescent="0.35">
      <c r="A2609">
        <v>48169</v>
      </c>
      <c r="B2609" t="s">
        <v>1051</v>
      </c>
      <c r="C2609" t="s">
        <v>1596</v>
      </c>
      <c r="D2609" s="2">
        <v>6410</v>
      </c>
      <c r="E2609" s="2">
        <v>18125</v>
      </c>
      <c r="F2609" s="3">
        <v>0.6</v>
      </c>
      <c r="G2609" s="3">
        <v>2018</v>
      </c>
      <c r="H2609" s="3">
        <v>70.5</v>
      </c>
      <c r="I2609" s="3">
        <v>17.5</v>
      </c>
      <c r="J2609" s="3">
        <v>12</v>
      </c>
      <c r="K2609" s="3">
        <v>0</v>
      </c>
      <c r="L2609" s="3">
        <v>2</v>
      </c>
      <c r="M2609" t="str">
        <f>IF(acs2015_county_data[[#This Row],[PublicWork]]&gt;='Описательные характеристики'!$F$5,"да","нет")</f>
        <v>да</v>
      </c>
      <c r="N2609" t="str">
        <f>IF(acs2015_county_data[[#This Row],[Unemployment]]&gt;='Описательные характеристики'!$I$5,"да","нет")</f>
        <v>нет</v>
      </c>
    </row>
    <row r="2610" spans="1:14" x14ac:dyDescent="0.35">
      <c r="A2610">
        <v>48171</v>
      </c>
      <c r="B2610" t="s">
        <v>1051</v>
      </c>
      <c r="C2610" t="s">
        <v>1597</v>
      </c>
      <c r="D2610" s="2">
        <v>25398</v>
      </c>
      <c r="E2610" s="2">
        <v>30859</v>
      </c>
      <c r="F2610" s="3">
        <v>5</v>
      </c>
      <c r="G2610" s="3">
        <v>11230</v>
      </c>
      <c r="H2610" s="3">
        <v>74.8</v>
      </c>
      <c r="I2610" s="3">
        <v>10.5</v>
      </c>
      <c r="J2610" s="3">
        <v>14.3</v>
      </c>
      <c r="K2610" s="3">
        <v>0.5</v>
      </c>
      <c r="L2610" s="3">
        <v>6.8</v>
      </c>
      <c r="M2610" t="str">
        <f>IF(acs2015_county_data[[#This Row],[PublicWork]]&gt;='Описательные характеристики'!$F$5,"да","нет")</f>
        <v>нет</v>
      </c>
      <c r="N2610" t="str">
        <f>IF(acs2015_county_data[[#This Row],[Unemployment]]&gt;='Описательные характеристики'!$I$5,"да","нет")</f>
        <v>нет</v>
      </c>
    </row>
    <row r="2611" spans="1:14" x14ac:dyDescent="0.35">
      <c r="A2611">
        <v>48173</v>
      </c>
      <c r="B2611" t="s">
        <v>1051</v>
      </c>
      <c r="C2611" t="s">
        <v>1598</v>
      </c>
      <c r="D2611" s="2">
        <v>1180</v>
      </c>
      <c r="E2611" s="2">
        <v>35054</v>
      </c>
      <c r="F2611" s="3">
        <v>9.3000000000000007</v>
      </c>
      <c r="G2611" s="3">
        <v>499</v>
      </c>
      <c r="H2611" s="3">
        <v>68.5</v>
      </c>
      <c r="I2611" s="3">
        <v>17</v>
      </c>
      <c r="J2611" s="3">
        <v>14.4</v>
      </c>
      <c r="K2611" s="3">
        <v>0</v>
      </c>
      <c r="L2611" s="3">
        <v>2.5</v>
      </c>
      <c r="M2611" t="str">
        <f>IF(acs2015_county_data[[#This Row],[PublicWork]]&gt;='Описательные характеристики'!$F$5,"да","нет")</f>
        <v>да</v>
      </c>
      <c r="N2611" t="str">
        <f>IF(acs2015_county_data[[#This Row],[Unemployment]]&gt;='Описательные характеристики'!$I$5,"да","нет")</f>
        <v>нет</v>
      </c>
    </row>
    <row r="2612" spans="1:14" x14ac:dyDescent="0.35">
      <c r="A2612">
        <v>48175</v>
      </c>
      <c r="B2612" t="s">
        <v>1051</v>
      </c>
      <c r="C2612" t="s">
        <v>1599</v>
      </c>
      <c r="D2612" s="2">
        <v>7410</v>
      </c>
      <c r="E2612" s="2">
        <v>29513</v>
      </c>
      <c r="F2612" s="3">
        <v>6</v>
      </c>
      <c r="G2612" s="3">
        <v>2962</v>
      </c>
      <c r="H2612" s="3">
        <v>70.099999999999994</v>
      </c>
      <c r="I2612" s="3">
        <v>21.4</v>
      </c>
      <c r="J2612" s="3">
        <v>8.1999999999999993</v>
      </c>
      <c r="K2612" s="3">
        <v>0.3</v>
      </c>
      <c r="L2612" s="3">
        <v>9.3000000000000007</v>
      </c>
      <c r="M2612" t="str">
        <f>IF(acs2015_county_data[[#This Row],[PublicWork]]&gt;='Описательные характеристики'!$F$5,"да","нет")</f>
        <v>да</v>
      </c>
      <c r="N2612" t="str">
        <f>IF(acs2015_county_data[[#This Row],[Unemployment]]&gt;='Описательные характеристики'!$I$5,"да","нет")</f>
        <v>да</v>
      </c>
    </row>
    <row r="2613" spans="1:14" x14ac:dyDescent="0.35">
      <c r="A2613">
        <v>48177</v>
      </c>
      <c r="B2613" t="s">
        <v>1051</v>
      </c>
      <c r="C2613" t="s">
        <v>1600</v>
      </c>
      <c r="D2613" s="2">
        <v>20172</v>
      </c>
      <c r="E2613" s="2">
        <v>21185</v>
      </c>
      <c r="F2613" s="3">
        <v>3.9</v>
      </c>
      <c r="G2613" s="3">
        <v>8422</v>
      </c>
      <c r="H2613" s="3">
        <v>77.2</v>
      </c>
      <c r="I2613" s="3">
        <v>13.2</v>
      </c>
      <c r="J2613" s="3">
        <v>9.1</v>
      </c>
      <c r="K2613" s="3">
        <v>0.5</v>
      </c>
      <c r="L2613" s="3">
        <v>6.5</v>
      </c>
      <c r="M2613" t="str">
        <f>IF(acs2015_county_data[[#This Row],[PublicWork]]&gt;='Описательные характеристики'!$F$5,"да","нет")</f>
        <v>нет</v>
      </c>
      <c r="N2613" t="str">
        <f>IF(acs2015_county_data[[#This Row],[Unemployment]]&gt;='Описательные характеристики'!$I$5,"да","нет")</f>
        <v>нет</v>
      </c>
    </row>
    <row r="2614" spans="1:14" x14ac:dyDescent="0.35">
      <c r="A2614">
        <v>48179</v>
      </c>
      <c r="B2614" t="s">
        <v>1051</v>
      </c>
      <c r="C2614" t="s">
        <v>661</v>
      </c>
      <c r="D2614" s="2">
        <v>22983</v>
      </c>
      <c r="E2614" s="2">
        <v>21555</v>
      </c>
      <c r="F2614" s="3">
        <v>0.7</v>
      </c>
      <c r="G2614" s="3">
        <v>9444</v>
      </c>
      <c r="H2614" s="3">
        <v>79.599999999999994</v>
      </c>
      <c r="I2614" s="3">
        <v>13.3</v>
      </c>
      <c r="J2614" s="3">
        <v>7</v>
      </c>
      <c r="K2614" s="3">
        <v>0</v>
      </c>
      <c r="L2614" s="3">
        <v>5.4</v>
      </c>
      <c r="M2614" t="str">
        <f>IF(acs2015_county_data[[#This Row],[PublicWork]]&gt;='Описательные характеристики'!$F$5,"да","нет")</f>
        <v>нет</v>
      </c>
      <c r="N2614" t="str">
        <f>IF(acs2015_county_data[[#This Row],[Unemployment]]&gt;='Описательные характеристики'!$I$5,"да","нет")</f>
        <v>нет</v>
      </c>
    </row>
    <row r="2615" spans="1:14" x14ac:dyDescent="0.35">
      <c r="A2615">
        <v>48181</v>
      </c>
      <c r="B2615" t="s">
        <v>1051</v>
      </c>
      <c r="C2615" t="s">
        <v>733</v>
      </c>
      <c r="D2615" s="2">
        <v>122780</v>
      </c>
      <c r="E2615" s="2">
        <v>25033</v>
      </c>
      <c r="F2615" s="3">
        <v>5.6</v>
      </c>
      <c r="G2615" s="3">
        <v>54835</v>
      </c>
      <c r="H2615" s="3">
        <v>78.400000000000006</v>
      </c>
      <c r="I2615" s="3">
        <v>13.8</v>
      </c>
      <c r="J2615" s="3">
        <v>7.5</v>
      </c>
      <c r="K2615" s="3">
        <v>0.3</v>
      </c>
      <c r="L2615" s="3">
        <v>7.8</v>
      </c>
      <c r="M2615" t="str">
        <f>IF(acs2015_county_data[[#This Row],[PublicWork]]&gt;='Описательные характеристики'!$F$5,"да","нет")</f>
        <v>нет</v>
      </c>
      <c r="N2615" t="str">
        <f>IF(acs2015_county_data[[#This Row],[Unemployment]]&gt;='Описательные характеристики'!$I$5,"да","нет")</f>
        <v>да</v>
      </c>
    </row>
    <row r="2616" spans="1:14" x14ac:dyDescent="0.35">
      <c r="A2616">
        <v>48183</v>
      </c>
      <c r="B2616" t="s">
        <v>1051</v>
      </c>
      <c r="C2616" t="s">
        <v>1601</v>
      </c>
      <c r="D2616" s="2">
        <v>123178</v>
      </c>
      <c r="E2616" s="2">
        <v>24364</v>
      </c>
      <c r="F2616" s="3">
        <v>2.1</v>
      </c>
      <c r="G2616" s="3">
        <v>55402</v>
      </c>
      <c r="H2616" s="3">
        <v>84.7</v>
      </c>
      <c r="I2616" s="3">
        <v>9.8000000000000007</v>
      </c>
      <c r="J2616" s="3">
        <v>5.4</v>
      </c>
      <c r="K2616" s="3">
        <v>0.1</v>
      </c>
      <c r="L2616" s="3">
        <v>5.9</v>
      </c>
      <c r="M2616" t="str">
        <f>IF(acs2015_county_data[[#This Row],[PublicWork]]&gt;='Описательные характеристики'!$F$5,"да","нет")</f>
        <v>нет</v>
      </c>
      <c r="N2616" t="str">
        <f>IF(acs2015_county_data[[#This Row],[Unemployment]]&gt;='Описательные характеристики'!$I$5,"да","нет")</f>
        <v>нет</v>
      </c>
    </row>
    <row r="2617" spans="1:14" x14ac:dyDescent="0.35">
      <c r="A2617">
        <v>48185</v>
      </c>
      <c r="B2617" t="s">
        <v>1051</v>
      </c>
      <c r="C2617" t="s">
        <v>1602</v>
      </c>
      <c r="D2617" s="2">
        <v>26961</v>
      </c>
      <c r="E2617" s="2">
        <v>20891</v>
      </c>
      <c r="F2617" s="3">
        <v>2.9</v>
      </c>
      <c r="G2617" s="3">
        <v>9951</v>
      </c>
      <c r="H2617" s="3">
        <v>79.2</v>
      </c>
      <c r="I2617" s="3">
        <v>15</v>
      </c>
      <c r="J2617" s="3">
        <v>5.7</v>
      </c>
      <c r="K2617" s="3">
        <v>0.1</v>
      </c>
      <c r="L2617" s="3">
        <v>6.2</v>
      </c>
      <c r="M2617" t="str">
        <f>IF(acs2015_county_data[[#This Row],[PublicWork]]&gt;='Описательные характеристики'!$F$5,"да","нет")</f>
        <v>нет</v>
      </c>
      <c r="N2617" t="str">
        <f>IF(acs2015_county_data[[#This Row],[Unemployment]]&gt;='Описательные характеристики'!$I$5,"да","нет")</f>
        <v>нет</v>
      </c>
    </row>
    <row r="2618" spans="1:14" x14ac:dyDescent="0.35">
      <c r="A2618">
        <v>48187</v>
      </c>
      <c r="B2618" t="s">
        <v>1051</v>
      </c>
      <c r="C2618" t="s">
        <v>1172</v>
      </c>
      <c r="D2618" s="2">
        <v>143460</v>
      </c>
      <c r="E2618" s="2">
        <v>26928</v>
      </c>
      <c r="F2618" s="3">
        <v>3.7</v>
      </c>
      <c r="G2618" s="3">
        <v>66822</v>
      </c>
      <c r="H2618" s="3">
        <v>77</v>
      </c>
      <c r="I2618" s="3">
        <v>17.899999999999999</v>
      </c>
      <c r="J2618" s="3">
        <v>4.8</v>
      </c>
      <c r="K2618" s="3">
        <v>0.3</v>
      </c>
      <c r="L2618" s="3">
        <v>5.7</v>
      </c>
      <c r="M2618" t="str">
        <f>IF(acs2015_county_data[[#This Row],[PublicWork]]&gt;='Описательные характеристики'!$F$5,"да","нет")</f>
        <v>да</v>
      </c>
      <c r="N2618" t="str">
        <f>IF(acs2015_county_data[[#This Row],[Unemployment]]&gt;='Описательные характеристики'!$I$5,"да","нет")</f>
        <v>нет</v>
      </c>
    </row>
    <row r="2619" spans="1:14" x14ac:dyDescent="0.35">
      <c r="A2619">
        <v>48189</v>
      </c>
      <c r="B2619" t="s">
        <v>1051</v>
      </c>
      <c r="C2619" t="s">
        <v>46</v>
      </c>
      <c r="D2619" s="2">
        <v>35504</v>
      </c>
      <c r="E2619" s="2">
        <v>17910</v>
      </c>
      <c r="F2619" s="3">
        <v>3.6</v>
      </c>
      <c r="G2619" s="3">
        <v>14265</v>
      </c>
      <c r="H2619" s="3">
        <v>75.900000000000006</v>
      </c>
      <c r="I2619" s="3">
        <v>16.399999999999999</v>
      </c>
      <c r="J2619" s="3">
        <v>7.4</v>
      </c>
      <c r="K2619" s="3">
        <v>0.2</v>
      </c>
      <c r="L2619" s="3">
        <v>8.1</v>
      </c>
      <c r="M2619" t="str">
        <f>IF(acs2015_county_data[[#This Row],[PublicWork]]&gt;='Описательные характеристики'!$F$5,"да","нет")</f>
        <v>да</v>
      </c>
      <c r="N2619" t="str">
        <f>IF(acs2015_county_data[[#This Row],[Unemployment]]&gt;='Описательные характеристики'!$I$5,"да","нет")</f>
        <v>да</v>
      </c>
    </row>
    <row r="2620" spans="1:14" x14ac:dyDescent="0.35">
      <c r="A2620">
        <v>48191</v>
      </c>
      <c r="B2620" t="s">
        <v>1051</v>
      </c>
      <c r="C2620" t="s">
        <v>405</v>
      </c>
      <c r="D2620" s="2">
        <v>3203</v>
      </c>
      <c r="E2620" s="2">
        <v>17378</v>
      </c>
      <c r="F2620" s="3">
        <v>1.4</v>
      </c>
      <c r="G2620" s="3">
        <v>1214</v>
      </c>
      <c r="H2620" s="3">
        <v>70.900000000000006</v>
      </c>
      <c r="I2620" s="3">
        <v>15</v>
      </c>
      <c r="J2620" s="3">
        <v>10.1</v>
      </c>
      <c r="K2620" s="3">
        <v>4</v>
      </c>
      <c r="L2620" s="3">
        <v>11.5</v>
      </c>
      <c r="M2620" t="str">
        <f>IF(acs2015_county_data[[#This Row],[PublicWork]]&gt;='Описательные характеристики'!$F$5,"да","нет")</f>
        <v>нет</v>
      </c>
      <c r="N2620" t="str">
        <f>IF(acs2015_county_data[[#This Row],[Unemployment]]&gt;='Описательные характеристики'!$I$5,"да","нет")</f>
        <v>да</v>
      </c>
    </row>
    <row r="2621" spans="1:14" x14ac:dyDescent="0.35">
      <c r="A2621">
        <v>48193</v>
      </c>
      <c r="B2621" t="s">
        <v>1051</v>
      </c>
      <c r="C2621" t="s">
        <v>323</v>
      </c>
      <c r="D2621" s="2">
        <v>8266</v>
      </c>
      <c r="E2621" s="2">
        <v>24518</v>
      </c>
      <c r="F2621" s="3">
        <v>3.6</v>
      </c>
      <c r="G2621" s="3">
        <v>3279</v>
      </c>
      <c r="H2621" s="3">
        <v>72.900000000000006</v>
      </c>
      <c r="I2621" s="3">
        <v>17.8</v>
      </c>
      <c r="J2621" s="3">
        <v>7.5</v>
      </c>
      <c r="K2621" s="3">
        <v>1.9</v>
      </c>
      <c r="L2621" s="3">
        <v>5.9</v>
      </c>
      <c r="M2621" t="str">
        <f>IF(acs2015_county_data[[#This Row],[PublicWork]]&gt;='Описательные характеристики'!$F$5,"да","нет")</f>
        <v>да</v>
      </c>
      <c r="N2621" t="str">
        <f>IF(acs2015_county_data[[#This Row],[Unemployment]]&gt;='Описательные характеристики'!$I$5,"да","нет")</f>
        <v>нет</v>
      </c>
    </row>
    <row r="2622" spans="1:14" x14ac:dyDescent="0.35">
      <c r="A2622">
        <v>48195</v>
      </c>
      <c r="B2622" t="s">
        <v>1051</v>
      </c>
      <c r="C2622" t="s">
        <v>1603</v>
      </c>
      <c r="D2622" s="2">
        <v>5559</v>
      </c>
      <c r="E2622" s="2">
        <v>22867</v>
      </c>
      <c r="F2622" s="3">
        <v>2.1</v>
      </c>
      <c r="G2622" s="3">
        <v>2629</v>
      </c>
      <c r="H2622" s="3">
        <v>71</v>
      </c>
      <c r="I2622" s="3">
        <v>18.600000000000001</v>
      </c>
      <c r="J2622" s="3">
        <v>10.199999999999999</v>
      </c>
      <c r="K2622" s="3">
        <v>0.2</v>
      </c>
      <c r="L2622" s="3">
        <v>2.2999999999999998</v>
      </c>
      <c r="M2622" t="str">
        <f>IF(acs2015_county_data[[#This Row],[PublicWork]]&gt;='Описательные характеристики'!$F$5,"да","нет")</f>
        <v>да</v>
      </c>
      <c r="N2622" t="str">
        <f>IF(acs2015_county_data[[#This Row],[Unemployment]]&gt;='Описательные характеристики'!$I$5,"да","нет")</f>
        <v>нет</v>
      </c>
    </row>
    <row r="2623" spans="1:14" x14ac:dyDescent="0.35">
      <c r="A2623">
        <v>48197</v>
      </c>
      <c r="B2623" t="s">
        <v>1051</v>
      </c>
      <c r="C2623" t="s">
        <v>1523</v>
      </c>
      <c r="D2623" s="2">
        <v>3992</v>
      </c>
      <c r="E2623" s="2">
        <v>20374</v>
      </c>
      <c r="F2623" s="3">
        <v>0.9</v>
      </c>
      <c r="G2623" s="3">
        <v>1671</v>
      </c>
      <c r="H2623" s="3">
        <v>67.3</v>
      </c>
      <c r="I2623" s="3">
        <v>25.3</v>
      </c>
      <c r="J2623" s="3">
        <v>7.5</v>
      </c>
      <c r="K2623" s="3">
        <v>0</v>
      </c>
      <c r="L2623" s="3">
        <v>5.9</v>
      </c>
      <c r="M2623" t="str">
        <f>IF(acs2015_county_data[[#This Row],[PublicWork]]&gt;='Описательные характеристики'!$F$5,"да","нет")</f>
        <v>да</v>
      </c>
      <c r="N2623" t="str">
        <f>IF(acs2015_county_data[[#This Row],[Unemployment]]&gt;='Описательные характеристики'!$I$5,"да","нет")</f>
        <v>нет</v>
      </c>
    </row>
    <row r="2624" spans="1:14" x14ac:dyDescent="0.35">
      <c r="A2624">
        <v>48199</v>
      </c>
      <c r="B2624" t="s">
        <v>1051</v>
      </c>
      <c r="C2624" t="s">
        <v>521</v>
      </c>
      <c r="D2624" s="2">
        <v>55375</v>
      </c>
      <c r="E2624" s="2">
        <v>26844</v>
      </c>
      <c r="F2624" s="3">
        <v>1.9</v>
      </c>
      <c r="G2624" s="3">
        <v>23933</v>
      </c>
      <c r="H2624" s="3">
        <v>80</v>
      </c>
      <c r="I2624" s="3">
        <v>15.7</v>
      </c>
      <c r="J2624" s="3">
        <v>4.2</v>
      </c>
      <c r="K2624" s="3">
        <v>0.1</v>
      </c>
      <c r="L2624" s="3">
        <v>5.5</v>
      </c>
      <c r="M2624" t="str">
        <f>IF(acs2015_county_data[[#This Row],[PublicWork]]&gt;='Описательные характеристики'!$F$5,"да","нет")</f>
        <v>нет</v>
      </c>
      <c r="N2624" t="str">
        <f>IF(acs2015_county_data[[#This Row],[Unemployment]]&gt;='Описательные характеристики'!$I$5,"да","нет")</f>
        <v>нет</v>
      </c>
    </row>
    <row r="2625" spans="1:14" x14ac:dyDescent="0.35">
      <c r="A2625">
        <v>48201</v>
      </c>
      <c r="B2625" t="s">
        <v>1051</v>
      </c>
      <c r="C2625" t="s">
        <v>408</v>
      </c>
      <c r="D2625" s="2">
        <v>4356362</v>
      </c>
      <c r="E2625" s="2">
        <v>29047</v>
      </c>
      <c r="F2625" s="3">
        <v>3.3</v>
      </c>
      <c r="G2625" s="3">
        <v>2081889</v>
      </c>
      <c r="H2625" s="3">
        <v>83.4</v>
      </c>
      <c r="I2625" s="3">
        <v>10.1</v>
      </c>
      <c r="J2625" s="3">
        <v>6.3</v>
      </c>
      <c r="K2625" s="3">
        <v>0.1</v>
      </c>
      <c r="L2625" s="3">
        <v>7.5</v>
      </c>
      <c r="M2625" t="str">
        <f>IF(acs2015_county_data[[#This Row],[PublicWork]]&gt;='Описательные характеристики'!$F$5,"да","нет")</f>
        <v>нет</v>
      </c>
      <c r="N2625" t="str">
        <f>IF(acs2015_county_data[[#This Row],[Unemployment]]&gt;='Описательные характеристики'!$I$5,"да","нет")</f>
        <v>нет</v>
      </c>
    </row>
    <row r="2626" spans="1:14" x14ac:dyDescent="0.35">
      <c r="A2626">
        <v>48203</v>
      </c>
      <c r="B2626" t="s">
        <v>1051</v>
      </c>
      <c r="C2626" t="s">
        <v>568</v>
      </c>
      <c r="D2626" s="2">
        <v>66417</v>
      </c>
      <c r="E2626" s="2">
        <v>24114</v>
      </c>
      <c r="F2626" s="3">
        <v>3.3</v>
      </c>
      <c r="G2626" s="3">
        <v>28650</v>
      </c>
      <c r="H2626" s="3">
        <v>80.599999999999994</v>
      </c>
      <c r="I2626" s="3">
        <v>13.9</v>
      </c>
      <c r="J2626" s="3">
        <v>5.4</v>
      </c>
      <c r="K2626" s="3">
        <v>0.1</v>
      </c>
      <c r="L2626" s="3">
        <v>7.7</v>
      </c>
      <c r="M2626" t="str">
        <f>IF(acs2015_county_data[[#This Row],[PublicWork]]&gt;='Описательные характеристики'!$F$5,"да","нет")</f>
        <v>нет</v>
      </c>
      <c r="N2626" t="str">
        <f>IF(acs2015_county_data[[#This Row],[Unemployment]]&gt;='Описательные характеристики'!$I$5,"да","нет")</f>
        <v>да</v>
      </c>
    </row>
    <row r="2627" spans="1:14" x14ac:dyDescent="0.35">
      <c r="A2627">
        <v>48205</v>
      </c>
      <c r="B2627" t="s">
        <v>1051</v>
      </c>
      <c r="C2627" t="s">
        <v>1604</v>
      </c>
      <c r="D2627" s="2">
        <v>6121</v>
      </c>
      <c r="E2627" s="2">
        <v>21740</v>
      </c>
      <c r="F2627" s="3">
        <v>5.4</v>
      </c>
      <c r="G2627" s="3">
        <v>2290</v>
      </c>
      <c r="H2627" s="3">
        <v>72.099999999999994</v>
      </c>
      <c r="I2627" s="3">
        <v>15.1</v>
      </c>
      <c r="J2627" s="3">
        <v>12.4</v>
      </c>
      <c r="K2627" s="3">
        <v>0.4</v>
      </c>
      <c r="L2627" s="3">
        <v>2.1</v>
      </c>
      <c r="M2627" t="str">
        <f>IF(acs2015_county_data[[#This Row],[PublicWork]]&gt;='Описательные характеристики'!$F$5,"да","нет")</f>
        <v>нет</v>
      </c>
      <c r="N2627" t="str">
        <f>IF(acs2015_county_data[[#This Row],[Unemployment]]&gt;='Описательные характеристики'!$I$5,"да","нет")</f>
        <v>нет</v>
      </c>
    </row>
    <row r="2628" spans="1:14" x14ac:dyDescent="0.35">
      <c r="A2628">
        <v>48207</v>
      </c>
      <c r="B2628" t="s">
        <v>1051</v>
      </c>
      <c r="C2628" t="s">
        <v>666</v>
      </c>
      <c r="D2628" s="2">
        <v>5853</v>
      </c>
      <c r="E2628" s="2">
        <v>22140</v>
      </c>
      <c r="F2628" s="3">
        <v>3.3</v>
      </c>
      <c r="G2628" s="3">
        <v>2227</v>
      </c>
      <c r="H2628" s="3">
        <v>62.4</v>
      </c>
      <c r="I2628" s="3">
        <v>22.5</v>
      </c>
      <c r="J2628" s="3">
        <v>15</v>
      </c>
      <c r="K2628" s="3">
        <v>0.2</v>
      </c>
      <c r="L2628" s="3">
        <v>6.9</v>
      </c>
      <c r="M2628" t="str">
        <f>IF(acs2015_county_data[[#This Row],[PublicWork]]&gt;='Описательные характеристики'!$F$5,"да","нет")</f>
        <v>да</v>
      </c>
      <c r="N2628" t="str">
        <f>IF(acs2015_county_data[[#This Row],[Unemployment]]&gt;='Описательные характеристики'!$I$5,"да","нет")</f>
        <v>нет</v>
      </c>
    </row>
    <row r="2629" spans="1:14" x14ac:dyDescent="0.35">
      <c r="A2629">
        <v>48209</v>
      </c>
      <c r="B2629" t="s">
        <v>1051</v>
      </c>
      <c r="C2629" t="s">
        <v>1605</v>
      </c>
      <c r="D2629" s="2">
        <v>177562</v>
      </c>
      <c r="E2629" s="2">
        <v>27398</v>
      </c>
      <c r="F2629" s="3">
        <v>6</v>
      </c>
      <c r="G2629" s="3">
        <v>87233</v>
      </c>
      <c r="H2629" s="3">
        <v>73.5</v>
      </c>
      <c r="I2629" s="3">
        <v>19.399999999999999</v>
      </c>
      <c r="J2629" s="3">
        <v>7</v>
      </c>
      <c r="K2629" s="3">
        <v>0.2</v>
      </c>
      <c r="L2629" s="3">
        <v>6.7</v>
      </c>
      <c r="M2629" t="str">
        <f>IF(acs2015_county_data[[#This Row],[PublicWork]]&gt;='Описательные характеристики'!$F$5,"да","нет")</f>
        <v>да</v>
      </c>
      <c r="N2629" t="str">
        <f>IF(acs2015_county_data[[#This Row],[Unemployment]]&gt;='Описательные характеристики'!$I$5,"да","нет")</f>
        <v>нет</v>
      </c>
    </row>
    <row r="2630" spans="1:14" x14ac:dyDescent="0.35">
      <c r="A2630">
        <v>48211</v>
      </c>
      <c r="B2630" t="s">
        <v>1051</v>
      </c>
      <c r="C2630" t="s">
        <v>1606</v>
      </c>
      <c r="D2630" s="2">
        <v>4115</v>
      </c>
      <c r="E2630" s="2">
        <v>30082</v>
      </c>
      <c r="F2630" s="3">
        <v>3.8</v>
      </c>
      <c r="G2630" s="3">
        <v>1812</v>
      </c>
      <c r="H2630" s="3">
        <v>71.099999999999994</v>
      </c>
      <c r="I2630" s="3">
        <v>16.399999999999999</v>
      </c>
      <c r="J2630" s="3">
        <v>12.5</v>
      </c>
      <c r="K2630" s="3">
        <v>0</v>
      </c>
      <c r="L2630" s="3">
        <v>3.7</v>
      </c>
      <c r="M2630" t="str">
        <f>IF(acs2015_county_data[[#This Row],[PublicWork]]&gt;='Описательные характеристики'!$F$5,"да","нет")</f>
        <v>да</v>
      </c>
      <c r="N2630" t="str">
        <f>IF(acs2015_county_data[[#This Row],[Unemployment]]&gt;='Описательные характеристики'!$I$5,"да","нет")</f>
        <v>нет</v>
      </c>
    </row>
    <row r="2631" spans="1:14" x14ac:dyDescent="0.35">
      <c r="A2631">
        <v>48213</v>
      </c>
      <c r="B2631" t="s">
        <v>1051</v>
      </c>
      <c r="C2631" t="s">
        <v>522</v>
      </c>
      <c r="D2631" s="2">
        <v>79016</v>
      </c>
      <c r="E2631" s="2">
        <v>22613</v>
      </c>
      <c r="F2631" s="3">
        <v>3.8</v>
      </c>
      <c r="G2631" s="3">
        <v>30441</v>
      </c>
      <c r="H2631" s="3">
        <v>75.599999999999994</v>
      </c>
      <c r="I2631" s="3">
        <v>13.9</v>
      </c>
      <c r="J2631" s="3">
        <v>10.4</v>
      </c>
      <c r="K2631" s="3">
        <v>0.1</v>
      </c>
      <c r="L2631" s="3">
        <v>7.8</v>
      </c>
      <c r="M2631" t="str">
        <f>IF(acs2015_county_data[[#This Row],[PublicWork]]&gt;='Описательные характеристики'!$F$5,"да","нет")</f>
        <v>нет</v>
      </c>
      <c r="N2631" t="str">
        <f>IF(acs2015_county_data[[#This Row],[Unemployment]]&gt;='Описательные характеристики'!$I$5,"да","нет")</f>
        <v>да</v>
      </c>
    </row>
    <row r="2632" spans="1:14" x14ac:dyDescent="0.35">
      <c r="A2632">
        <v>48215</v>
      </c>
      <c r="B2632" t="s">
        <v>1051</v>
      </c>
      <c r="C2632" t="s">
        <v>1174</v>
      </c>
      <c r="D2632" s="2">
        <v>819217</v>
      </c>
      <c r="E2632" s="2">
        <v>14689</v>
      </c>
      <c r="F2632" s="3">
        <v>4.5999999999999996</v>
      </c>
      <c r="G2632" s="3">
        <v>298030</v>
      </c>
      <c r="H2632" s="3">
        <v>70.7</v>
      </c>
      <c r="I2632" s="3">
        <v>17.2</v>
      </c>
      <c r="J2632" s="3">
        <v>11.9</v>
      </c>
      <c r="K2632" s="3">
        <v>0.2</v>
      </c>
      <c r="L2632" s="3">
        <v>9.9</v>
      </c>
      <c r="M2632" t="str">
        <f>IF(acs2015_county_data[[#This Row],[PublicWork]]&gt;='Описательные характеристики'!$F$5,"да","нет")</f>
        <v>да</v>
      </c>
      <c r="N2632" t="str">
        <f>IF(acs2015_county_data[[#This Row],[Unemployment]]&gt;='Описательные характеристики'!$I$5,"да","нет")</f>
        <v>да</v>
      </c>
    </row>
    <row r="2633" spans="1:14" x14ac:dyDescent="0.35">
      <c r="A2633">
        <v>48217</v>
      </c>
      <c r="B2633" t="s">
        <v>1051</v>
      </c>
      <c r="C2633" t="s">
        <v>1068</v>
      </c>
      <c r="D2633" s="2">
        <v>34923</v>
      </c>
      <c r="E2633" s="2">
        <v>21281</v>
      </c>
      <c r="F2633" s="3">
        <v>4.4000000000000004</v>
      </c>
      <c r="G2633" s="3">
        <v>14271</v>
      </c>
      <c r="H2633" s="3">
        <v>77.099999999999994</v>
      </c>
      <c r="I2633" s="3">
        <v>15</v>
      </c>
      <c r="J2633" s="3">
        <v>7.6</v>
      </c>
      <c r="K2633" s="3">
        <v>0.3</v>
      </c>
      <c r="L2633" s="3">
        <v>8.9</v>
      </c>
      <c r="M2633" t="str">
        <f>IF(acs2015_county_data[[#This Row],[PublicWork]]&gt;='Описательные характеристики'!$F$5,"да","нет")</f>
        <v>нет</v>
      </c>
      <c r="N2633" t="str">
        <f>IF(acs2015_county_data[[#This Row],[Unemployment]]&gt;='Описательные характеристики'!$I$5,"да","нет")</f>
        <v>да</v>
      </c>
    </row>
    <row r="2634" spans="1:14" x14ac:dyDescent="0.35">
      <c r="A2634">
        <v>48219</v>
      </c>
      <c r="B2634" t="s">
        <v>1051</v>
      </c>
      <c r="C2634" t="s">
        <v>1607</v>
      </c>
      <c r="D2634" s="2">
        <v>23322</v>
      </c>
      <c r="E2634" s="2">
        <v>22609</v>
      </c>
      <c r="F2634" s="3">
        <v>2.4</v>
      </c>
      <c r="G2634" s="3">
        <v>10729</v>
      </c>
      <c r="H2634" s="3">
        <v>77.099999999999994</v>
      </c>
      <c r="I2634" s="3">
        <v>15.6</v>
      </c>
      <c r="J2634" s="3">
        <v>7.1</v>
      </c>
      <c r="K2634" s="3">
        <v>0.3</v>
      </c>
      <c r="L2634" s="3">
        <v>6.4</v>
      </c>
      <c r="M2634" t="str">
        <f>IF(acs2015_county_data[[#This Row],[PublicWork]]&gt;='Описательные характеристики'!$F$5,"да","нет")</f>
        <v>нет</v>
      </c>
      <c r="N2634" t="str">
        <f>IF(acs2015_county_data[[#This Row],[Unemployment]]&gt;='Описательные характеристики'!$I$5,"да","нет")</f>
        <v>нет</v>
      </c>
    </row>
    <row r="2635" spans="1:14" x14ac:dyDescent="0.35">
      <c r="A2635">
        <v>48221</v>
      </c>
      <c r="B2635" t="s">
        <v>1051</v>
      </c>
      <c r="C2635" t="s">
        <v>1608</v>
      </c>
      <c r="D2635" s="2">
        <v>53171</v>
      </c>
      <c r="E2635" s="2">
        <v>30478</v>
      </c>
      <c r="F2635" s="3">
        <v>5.8</v>
      </c>
      <c r="G2635" s="3">
        <v>22208</v>
      </c>
      <c r="H2635" s="3">
        <v>78.599999999999994</v>
      </c>
      <c r="I2635" s="3">
        <v>11</v>
      </c>
      <c r="J2635" s="3">
        <v>9.9</v>
      </c>
      <c r="K2635" s="3">
        <v>0.5</v>
      </c>
      <c r="L2635" s="3">
        <v>5</v>
      </c>
      <c r="M2635" t="str">
        <f>IF(acs2015_county_data[[#This Row],[PublicWork]]&gt;='Описательные характеристики'!$F$5,"да","нет")</f>
        <v>нет</v>
      </c>
      <c r="N2635" t="str">
        <f>IF(acs2015_county_data[[#This Row],[Unemployment]]&gt;='Описательные характеристики'!$I$5,"да","нет")</f>
        <v>нет</v>
      </c>
    </row>
    <row r="2636" spans="1:14" x14ac:dyDescent="0.35">
      <c r="A2636">
        <v>48223</v>
      </c>
      <c r="B2636" t="s">
        <v>1051</v>
      </c>
      <c r="C2636" t="s">
        <v>738</v>
      </c>
      <c r="D2636" s="2">
        <v>35645</v>
      </c>
      <c r="E2636" s="2">
        <v>22453</v>
      </c>
      <c r="F2636" s="3">
        <v>4.5</v>
      </c>
      <c r="G2636" s="3">
        <v>15235</v>
      </c>
      <c r="H2636" s="3">
        <v>76.7</v>
      </c>
      <c r="I2636" s="3">
        <v>13.2</v>
      </c>
      <c r="J2636" s="3">
        <v>9.8000000000000007</v>
      </c>
      <c r="K2636" s="3">
        <v>0.3</v>
      </c>
      <c r="L2636" s="3">
        <v>7.1</v>
      </c>
      <c r="M2636" t="str">
        <f>IF(acs2015_county_data[[#This Row],[PublicWork]]&gt;='Описательные характеристики'!$F$5,"да","нет")</f>
        <v>нет</v>
      </c>
      <c r="N2636" t="str">
        <f>IF(acs2015_county_data[[#This Row],[Unemployment]]&gt;='Описательные характеристики'!$I$5,"да","нет")</f>
        <v>нет</v>
      </c>
    </row>
    <row r="2637" spans="1:14" x14ac:dyDescent="0.35">
      <c r="A2637">
        <v>48225</v>
      </c>
      <c r="B2637" t="s">
        <v>1051</v>
      </c>
      <c r="C2637" t="s">
        <v>48</v>
      </c>
      <c r="D2637" s="2">
        <v>22949</v>
      </c>
      <c r="E2637" s="2">
        <v>17570</v>
      </c>
      <c r="F2637" s="3">
        <v>5</v>
      </c>
      <c r="G2637" s="3">
        <v>7694</v>
      </c>
      <c r="H2637" s="3">
        <v>67.8</v>
      </c>
      <c r="I2637" s="3">
        <v>22.1</v>
      </c>
      <c r="J2637" s="3">
        <v>9.8000000000000007</v>
      </c>
      <c r="K2637" s="3">
        <v>0.3</v>
      </c>
      <c r="L2637" s="3">
        <v>6.4</v>
      </c>
      <c r="M2637" t="str">
        <f>IF(acs2015_county_data[[#This Row],[PublicWork]]&gt;='Описательные характеристики'!$F$5,"да","нет")</f>
        <v>да</v>
      </c>
      <c r="N2637" t="str">
        <f>IF(acs2015_county_data[[#This Row],[Unemployment]]&gt;='Описательные характеристики'!$I$5,"да","нет")</f>
        <v>нет</v>
      </c>
    </row>
    <row r="2638" spans="1:14" x14ac:dyDescent="0.35">
      <c r="A2638">
        <v>48227</v>
      </c>
      <c r="B2638" t="s">
        <v>1051</v>
      </c>
      <c r="C2638" t="s">
        <v>147</v>
      </c>
      <c r="D2638" s="2">
        <v>36105</v>
      </c>
      <c r="E2638" s="2">
        <v>22049</v>
      </c>
      <c r="F2638" s="3">
        <v>1.7</v>
      </c>
      <c r="G2638" s="3">
        <v>13924</v>
      </c>
      <c r="H2638" s="3">
        <v>72</v>
      </c>
      <c r="I2638" s="3">
        <v>23</v>
      </c>
      <c r="J2638" s="3">
        <v>4.9000000000000004</v>
      </c>
      <c r="K2638" s="3">
        <v>0.1</v>
      </c>
      <c r="L2638" s="3">
        <v>6.4</v>
      </c>
      <c r="M2638" t="str">
        <f>IF(acs2015_county_data[[#This Row],[PublicWork]]&gt;='Описательные характеристики'!$F$5,"да","нет")</f>
        <v>да</v>
      </c>
      <c r="N2638" t="str">
        <f>IF(acs2015_county_data[[#This Row],[Unemployment]]&gt;='Описательные характеристики'!$I$5,"да","нет")</f>
        <v>нет</v>
      </c>
    </row>
    <row r="2639" spans="1:14" x14ac:dyDescent="0.35">
      <c r="A2639">
        <v>48229</v>
      </c>
      <c r="B2639" t="s">
        <v>1051</v>
      </c>
      <c r="C2639" t="s">
        <v>1609</v>
      </c>
      <c r="D2639" s="2">
        <v>3330</v>
      </c>
      <c r="E2639" s="2">
        <v>15990</v>
      </c>
      <c r="F2639" s="3">
        <v>10.6</v>
      </c>
      <c r="G2639" s="3">
        <v>1141</v>
      </c>
      <c r="H2639" s="3">
        <v>57.6</v>
      </c>
      <c r="I2639" s="3">
        <v>33</v>
      </c>
      <c r="J2639" s="3">
        <v>9.3000000000000007</v>
      </c>
      <c r="K2639" s="3">
        <v>0.1</v>
      </c>
      <c r="L2639" s="3">
        <v>5.7</v>
      </c>
      <c r="M2639" t="str">
        <f>IF(acs2015_county_data[[#This Row],[PublicWork]]&gt;='Описательные характеристики'!$F$5,"да","нет")</f>
        <v>да</v>
      </c>
      <c r="N2639" t="str">
        <f>IF(acs2015_county_data[[#This Row],[Unemployment]]&gt;='Описательные характеристики'!$I$5,"да","нет")</f>
        <v>нет</v>
      </c>
    </row>
    <row r="2640" spans="1:14" x14ac:dyDescent="0.35">
      <c r="A2640">
        <v>48231</v>
      </c>
      <c r="B2640" t="s">
        <v>1051</v>
      </c>
      <c r="C2640" t="s">
        <v>1610</v>
      </c>
      <c r="D2640" s="2">
        <v>88052</v>
      </c>
      <c r="E2640" s="2">
        <v>21888</v>
      </c>
      <c r="F2640" s="3">
        <v>3.2</v>
      </c>
      <c r="G2640" s="3">
        <v>35598</v>
      </c>
      <c r="H2640" s="3">
        <v>78.599999999999994</v>
      </c>
      <c r="I2640" s="3">
        <v>14.4</v>
      </c>
      <c r="J2640" s="3">
        <v>7</v>
      </c>
      <c r="K2640" s="3">
        <v>0</v>
      </c>
      <c r="L2640" s="3">
        <v>11.4</v>
      </c>
      <c r="M2640" t="str">
        <f>IF(acs2015_county_data[[#This Row],[PublicWork]]&gt;='Описательные характеристики'!$F$5,"да","нет")</f>
        <v>нет</v>
      </c>
      <c r="N2640" t="str">
        <f>IF(acs2015_county_data[[#This Row],[Unemployment]]&gt;='Описательные характеристики'!$I$5,"да","нет")</f>
        <v>да</v>
      </c>
    </row>
    <row r="2641" spans="1:14" x14ac:dyDescent="0.35">
      <c r="A2641">
        <v>48233</v>
      </c>
      <c r="B2641" t="s">
        <v>1051</v>
      </c>
      <c r="C2641" t="s">
        <v>1491</v>
      </c>
      <c r="D2641" s="2">
        <v>21858</v>
      </c>
      <c r="E2641" s="2">
        <v>24875</v>
      </c>
      <c r="F2641" s="3">
        <v>2.8</v>
      </c>
      <c r="G2641" s="3">
        <v>9347</v>
      </c>
      <c r="H2641" s="3">
        <v>80.2</v>
      </c>
      <c r="I2641" s="3">
        <v>13.9</v>
      </c>
      <c r="J2641" s="3">
        <v>5.8</v>
      </c>
      <c r="K2641" s="3">
        <v>0.1</v>
      </c>
      <c r="L2641" s="3">
        <v>5.3</v>
      </c>
      <c r="M2641" t="str">
        <f>IF(acs2015_county_data[[#This Row],[PublicWork]]&gt;='Описательные характеристики'!$F$5,"да","нет")</f>
        <v>нет</v>
      </c>
      <c r="N2641" t="str">
        <f>IF(acs2015_county_data[[#This Row],[Unemployment]]&gt;='Описательные характеристики'!$I$5,"да","нет")</f>
        <v>нет</v>
      </c>
    </row>
    <row r="2642" spans="1:14" x14ac:dyDescent="0.35">
      <c r="A2642">
        <v>48235</v>
      </c>
      <c r="B2642" t="s">
        <v>1051</v>
      </c>
      <c r="C2642" t="s">
        <v>1611</v>
      </c>
      <c r="D2642" s="2">
        <v>1644</v>
      </c>
      <c r="E2642" s="2">
        <v>30963</v>
      </c>
      <c r="F2642" s="3">
        <v>13.8</v>
      </c>
      <c r="G2642" s="3">
        <v>805</v>
      </c>
      <c r="H2642" s="3">
        <v>57.9</v>
      </c>
      <c r="I2642" s="3">
        <v>21.1</v>
      </c>
      <c r="J2642" s="3">
        <v>18.5</v>
      </c>
      <c r="K2642" s="3">
        <v>2.5</v>
      </c>
      <c r="L2642" s="3">
        <v>4.4000000000000004</v>
      </c>
      <c r="M2642" t="str">
        <f>IF(acs2015_county_data[[#This Row],[PublicWork]]&gt;='Описательные характеристики'!$F$5,"да","нет")</f>
        <v>да</v>
      </c>
      <c r="N2642" t="str">
        <f>IF(acs2015_county_data[[#This Row],[Unemployment]]&gt;='Описательные характеристики'!$I$5,"да","нет")</f>
        <v>нет</v>
      </c>
    </row>
    <row r="2643" spans="1:14" x14ac:dyDescent="0.35">
      <c r="A2643">
        <v>48237</v>
      </c>
      <c r="B2643" t="s">
        <v>1051</v>
      </c>
      <c r="C2643" t="s">
        <v>1612</v>
      </c>
      <c r="D2643" s="2">
        <v>8946</v>
      </c>
      <c r="E2643" s="2">
        <v>23573</v>
      </c>
      <c r="F2643" s="3">
        <v>3.5</v>
      </c>
      <c r="G2643" s="3">
        <v>3348</v>
      </c>
      <c r="H2643" s="3">
        <v>76.099999999999994</v>
      </c>
      <c r="I2643" s="3">
        <v>15.2</v>
      </c>
      <c r="J2643" s="3">
        <v>8.1</v>
      </c>
      <c r="K2643" s="3">
        <v>0.6</v>
      </c>
      <c r="L2643" s="3">
        <v>5.6</v>
      </c>
      <c r="M2643" t="str">
        <f>IF(acs2015_county_data[[#This Row],[PublicWork]]&gt;='Описательные характеристики'!$F$5,"да","нет")</f>
        <v>нет</v>
      </c>
      <c r="N2643" t="str">
        <f>IF(acs2015_county_data[[#This Row],[Unemployment]]&gt;='Описательные характеристики'!$I$5,"да","нет")</f>
        <v>нет</v>
      </c>
    </row>
    <row r="2644" spans="1:14" x14ac:dyDescent="0.35">
      <c r="A2644">
        <v>48239</v>
      </c>
      <c r="B2644" t="s">
        <v>1051</v>
      </c>
      <c r="C2644" t="s">
        <v>49</v>
      </c>
      <c r="D2644" s="2">
        <v>14486</v>
      </c>
      <c r="E2644" s="2">
        <v>25687</v>
      </c>
      <c r="F2644" s="3">
        <v>6</v>
      </c>
      <c r="G2644" s="3">
        <v>6251</v>
      </c>
      <c r="H2644" s="3">
        <v>76.099999999999994</v>
      </c>
      <c r="I2644" s="3">
        <v>13.6</v>
      </c>
      <c r="J2644" s="3">
        <v>9.3000000000000007</v>
      </c>
      <c r="K2644" s="3">
        <v>1</v>
      </c>
      <c r="L2644" s="3">
        <v>5.2</v>
      </c>
      <c r="M2644" t="str">
        <f>IF(acs2015_county_data[[#This Row],[PublicWork]]&gt;='Описательные характеристики'!$F$5,"да","нет")</f>
        <v>нет</v>
      </c>
      <c r="N2644" t="str">
        <f>IF(acs2015_county_data[[#This Row],[Unemployment]]&gt;='Описательные характеристики'!$I$5,"да","нет")</f>
        <v>нет</v>
      </c>
    </row>
    <row r="2645" spans="1:14" x14ac:dyDescent="0.35">
      <c r="A2645">
        <v>48241</v>
      </c>
      <c r="B2645" t="s">
        <v>1051</v>
      </c>
      <c r="C2645" t="s">
        <v>412</v>
      </c>
      <c r="D2645" s="2">
        <v>35768</v>
      </c>
      <c r="E2645" s="2">
        <v>20121</v>
      </c>
      <c r="F2645" s="3">
        <v>3</v>
      </c>
      <c r="G2645" s="3">
        <v>12347</v>
      </c>
      <c r="H2645" s="3">
        <v>77.7</v>
      </c>
      <c r="I2645" s="3">
        <v>15.5</v>
      </c>
      <c r="J2645" s="3">
        <v>6.7</v>
      </c>
      <c r="K2645" s="3">
        <v>0.1</v>
      </c>
      <c r="L2645" s="3">
        <v>11.4</v>
      </c>
      <c r="M2645" t="str">
        <f>IF(acs2015_county_data[[#This Row],[PublicWork]]&gt;='Описательные характеристики'!$F$5,"да","нет")</f>
        <v>нет</v>
      </c>
      <c r="N2645" t="str">
        <f>IF(acs2015_county_data[[#This Row],[Unemployment]]&gt;='Описательные характеристики'!$I$5,"да","нет")</f>
        <v>да</v>
      </c>
    </row>
    <row r="2646" spans="1:14" x14ac:dyDescent="0.35">
      <c r="A2646">
        <v>48243</v>
      </c>
      <c r="B2646" t="s">
        <v>1051</v>
      </c>
      <c r="C2646" t="s">
        <v>413</v>
      </c>
      <c r="D2646" s="2">
        <v>2232</v>
      </c>
      <c r="E2646" s="2">
        <v>26693</v>
      </c>
      <c r="F2646" s="3">
        <v>14</v>
      </c>
      <c r="G2646" s="3">
        <v>1074</v>
      </c>
      <c r="H2646" s="3">
        <v>50.5</v>
      </c>
      <c r="I2646" s="3">
        <v>29.5</v>
      </c>
      <c r="J2646" s="3">
        <v>18.2</v>
      </c>
      <c r="K2646" s="3">
        <v>1.8</v>
      </c>
      <c r="L2646" s="3">
        <v>7.1</v>
      </c>
      <c r="M2646" t="str">
        <f>IF(acs2015_county_data[[#This Row],[PublicWork]]&gt;='Описательные характеристики'!$F$5,"да","нет")</f>
        <v>да</v>
      </c>
      <c r="N2646" t="str">
        <f>IF(acs2015_county_data[[#This Row],[Unemployment]]&gt;='Описательные характеристики'!$I$5,"да","нет")</f>
        <v>нет</v>
      </c>
    </row>
    <row r="2647" spans="1:14" x14ac:dyDescent="0.35">
      <c r="A2647">
        <v>48245</v>
      </c>
      <c r="B2647" t="s">
        <v>1051</v>
      </c>
      <c r="C2647" t="s">
        <v>50</v>
      </c>
      <c r="D2647" s="2">
        <v>252872</v>
      </c>
      <c r="E2647" s="2">
        <v>24154</v>
      </c>
      <c r="F2647" s="3">
        <v>1.6</v>
      </c>
      <c r="G2647" s="3">
        <v>103203</v>
      </c>
      <c r="H2647" s="3">
        <v>81.900000000000006</v>
      </c>
      <c r="I2647" s="3">
        <v>13.4</v>
      </c>
      <c r="J2647" s="3">
        <v>4.5</v>
      </c>
      <c r="K2647" s="3">
        <v>0.1</v>
      </c>
      <c r="L2647" s="3">
        <v>8.8000000000000007</v>
      </c>
      <c r="M2647" t="str">
        <f>IF(acs2015_county_data[[#This Row],[PublicWork]]&gt;='Описательные характеристики'!$F$5,"да","нет")</f>
        <v>нет</v>
      </c>
      <c r="N2647" t="str">
        <f>IF(acs2015_county_data[[#This Row],[Unemployment]]&gt;='Описательные характеристики'!$I$5,"да","нет")</f>
        <v>да</v>
      </c>
    </row>
    <row r="2648" spans="1:14" x14ac:dyDescent="0.35">
      <c r="A2648">
        <v>48247</v>
      </c>
      <c r="B2648" t="s">
        <v>1051</v>
      </c>
      <c r="C2648" t="s">
        <v>1613</v>
      </c>
      <c r="D2648" s="2">
        <v>5239</v>
      </c>
      <c r="E2648" s="2">
        <v>17122</v>
      </c>
      <c r="F2648" s="3">
        <v>1</v>
      </c>
      <c r="G2648" s="3">
        <v>1786</v>
      </c>
      <c r="H2648" s="3">
        <v>56.8</v>
      </c>
      <c r="I2648" s="3">
        <v>30.7</v>
      </c>
      <c r="J2648" s="3">
        <v>11.7</v>
      </c>
      <c r="K2648" s="3">
        <v>0.8</v>
      </c>
      <c r="L2648" s="3">
        <v>16.5</v>
      </c>
      <c r="M2648" t="str">
        <f>IF(acs2015_county_data[[#This Row],[PublicWork]]&gt;='Описательные характеристики'!$F$5,"да","нет")</f>
        <v>да</v>
      </c>
      <c r="N2648" t="str">
        <f>IF(acs2015_county_data[[#This Row],[Unemployment]]&gt;='Описательные характеристики'!$I$5,"да","нет")</f>
        <v>да</v>
      </c>
    </row>
    <row r="2649" spans="1:14" x14ac:dyDescent="0.35">
      <c r="A2649">
        <v>48249</v>
      </c>
      <c r="B2649" t="s">
        <v>1051</v>
      </c>
      <c r="C2649" t="s">
        <v>1614</v>
      </c>
      <c r="D2649" s="2">
        <v>41461</v>
      </c>
      <c r="E2649" s="2">
        <v>21798</v>
      </c>
      <c r="F2649" s="3">
        <v>2.5</v>
      </c>
      <c r="G2649" s="3">
        <v>16674</v>
      </c>
      <c r="H2649" s="3">
        <v>80.3</v>
      </c>
      <c r="I2649" s="3">
        <v>12.6</v>
      </c>
      <c r="J2649" s="3">
        <v>7.1</v>
      </c>
      <c r="K2649" s="3">
        <v>0</v>
      </c>
      <c r="L2649" s="3">
        <v>6.6</v>
      </c>
      <c r="M2649" t="str">
        <f>IF(acs2015_county_data[[#This Row],[PublicWork]]&gt;='Описательные характеристики'!$F$5,"да","нет")</f>
        <v>нет</v>
      </c>
      <c r="N2649" t="str">
        <f>IF(acs2015_county_data[[#This Row],[Unemployment]]&gt;='Описательные характеристики'!$I$5,"да","нет")</f>
        <v>нет</v>
      </c>
    </row>
    <row r="2650" spans="1:14" x14ac:dyDescent="0.35">
      <c r="A2650">
        <v>48251</v>
      </c>
      <c r="B2650" t="s">
        <v>1051</v>
      </c>
      <c r="C2650" t="s">
        <v>150</v>
      </c>
      <c r="D2650" s="2">
        <v>155450</v>
      </c>
      <c r="E2650" s="2">
        <v>25310</v>
      </c>
      <c r="F2650" s="3">
        <v>3.9</v>
      </c>
      <c r="G2650" s="3">
        <v>68950</v>
      </c>
      <c r="H2650" s="3">
        <v>80.900000000000006</v>
      </c>
      <c r="I2650" s="3">
        <v>13.3</v>
      </c>
      <c r="J2650" s="3">
        <v>5.7</v>
      </c>
      <c r="K2650" s="3">
        <v>0.1</v>
      </c>
      <c r="L2650" s="3">
        <v>7.3</v>
      </c>
      <c r="M2650" t="str">
        <f>IF(acs2015_county_data[[#This Row],[PublicWork]]&gt;='Описательные характеристики'!$F$5,"да","нет")</f>
        <v>нет</v>
      </c>
      <c r="N2650" t="str">
        <f>IF(acs2015_county_data[[#This Row],[Unemployment]]&gt;='Описательные характеристики'!$I$5,"да","нет")</f>
        <v>нет</v>
      </c>
    </row>
    <row r="2651" spans="1:14" x14ac:dyDescent="0.35">
      <c r="A2651">
        <v>48253</v>
      </c>
      <c r="B2651" t="s">
        <v>1051</v>
      </c>
      <c r="C2651" t="s">
        <v>415</v>
      </c>
      <c r="D2651" s="2">
        <v>19978</v>
      </c>
      <c r="E2651" s="2">
        <v>15006</v>
      </c>
      <c r="F2651" s="3">
        <v>2.2999999999999998</v>
      </c>
      <c r="G2651" s="3">
        <v>5003</v>
      </c>
      <c r="H2651" s="3">
        <v>68.7</v>
      </c>
      <c r="I2651" s="3">
        <v>20.5</v>
      </c>
      <c r="J2651" s="3">
        <v>10.3</v>
      </c>
      <c r="K2651" s="3">
        <v>0.5</v>
      </c>
      <c r="L2651" s="3">
        <v>4.2</v>
      </c>
      <c r="M2651" t="str">
        <f>IF(acs2015_county_data[[#This Row],[PublicWork]]&gt;='Описательные характеристики'!$F$5,"да","нет")</f>
        <v>да</v>
      </c>
      <c r="N2651" t="str">
        <f>IF(acs2015_county_data[[#This Row],[Unemployment]]&gt;='Описательные характеристики'!$I$5,"да","нет")</f>
        <v>нет</v>
      </c>
    </row>
    <row r="2652" spans="1:14" x14ac:dyDescent="0.35">
      <c r="A2652">
        <v>48255</v>
      </c>
      <c r="B2652" t="s">
        <v>1051</v>
      </c>
      <c r="C2652" t="s">
        <v>1615</v>
      </c>
      <c r="D2652" s="2">
        <v>14879</v>
      </c>
      <c r="E2652" s="2">
        <v>25868</v>
      </c>
      <c r="F2652" s="3">
        <v>2.5</v>
      </c>
      <c r="G2652" s="3">
        <v>5251</v>
      </c>
      <c r="H2652" s="3">
        <v>69.599999999999994</v>
      </c>
      <c r="I2652" s="3">
        <v>22</v>
      </c>
      <c r="J2652" s="3">
        <v>7.8</v>
      </c>
      <c r="K2652" s="3">
        <v>0.5</v>
      </c>
      <c r="L2652" s="3">
        <v>4.8</v>
      </c>
      <c r="M2652" t="str">
        <f>IF(acs2015_county_data[[#This Row],[PublicWork]]&gt;='Описательные характеристики'!$F$5,"да","нет")</f>
        <v>да</v>
      </c>
      <c r="N2652" t="str">
        <f>IF(acs2015_county_data[[#This Row],[Unemployment]]&gt;='Описательные характеристики'!$I$5,"да","нет")</f>
        <v>нет</v>
      </c>
    </row>
    <row r="2653" spans="1:14" x14ac:dyDescent="0.35">
      <c r="A2653">
        <v>48257</v>
      </c>
      <c r="B2653" t="s">
        <v>1051</v>
      </c>
      <c r="C2653" t="s">
        <v>1616</v>
      </c>
      <c r="D2653" s="2">
        <v>109289</v>
      </c>
      <c r="E2653" s="2">
        <v>24944</v>
      </c>
      <c r="F2653" s="3">
        <v>3.1</v>
      </c>
      <c r="G2653" s="3">
        <v>49359</v>
      </c>
      <c r="H2653" s="3">
        <v>77.400000000000006</v>
      </c>
      <c r="I2653" s="3">
        <v>16.7</v>
      </c>
      <c r="J2653" s="3">
        <v>5.8</v>
      </c>
      <c r="K2653" s="3">
        <v>0.1</v>
      </c>
      <c r="L2653" s="3">
        <v>8.6999999999999993</v>
      </c>
      <c r="M2653" t="str">
        <f>IF(acs2015_county_data[[#This Row],[PublicWork]]&gt;='Описательные характеристики'!$F$5,"да","нет")</f>
        <v>да</v>
      </c>
      <c r="N2653" t="str">
        <f>IF(acs2015_county_data[[#This Row],[Unemployment]]&gt;='Описательные характеристики'!$I$5,"да","нет")</f>
        <v>да</v>
      </c>
    </row>
    <row r="2654" spans="1:14" x14ac:dyDescent="0.35">
      <c r="A2654">
        <v>48259</v>
      </c>
      <c r="B2654" t="s">
        <v>1051</v>
      </c>
      <c r="C2654" t="s">
        <v>528</v>
      </c>
      <c r="D2654" s="2">
        <v>37361</v>
      </c>
      <c r="E2654" s="2">
        <v>36126</v>
      </c>
      <c r="F2654" s="3">
        <v>7.6</v>
      </c>
      <c r="G2654" s="3">
        <v>16597</v>
      </c>
      <c r="H2654" s="3">
        <v>73.900000000000006</v>
      </c>
      <c r="I2654" s="3">
        <v>15.7</v>
      </c>
      <c r="J2654" s="3">
        <v>10.4</v>
      </c>
      <c r="K2654" s="3">
        <v>0</v>
      </c>
      <c r="L2654" s="3">
        <v>4.5</v>
      </c>
      <c r="M2654" t="str">
        <f>IF(acs2015_county_data[[#This Row],[PublicWork]]&gt;='Описательные характеристики'!$F$5,"да","нет")</f>
        <v>нет</v>
      </c>
      <c r="N2654" t="str">
        <f>IF(acs2015_county_data[[#This Row],[Unemployment]]&gt;='Описательные характеристики'!$I$5,"да","нет")</f>
        <v>нет</v>
      </c>
    </row>
    <row r="2655" spans="1:14" x14ac:dyDescent="0.35">
      <c r="A2655">
        <v>48261</v>
      </c>
      <c r="B2655" t="s">
        <v>1051</v>
      </c>
      <c r="C2655" t="s">
        <v>1617</v>
      </c>
      <c r="D2655" s="2">
        <v>565</v>
      </c>
      <c r="E2655" s="2">
        <v>14251</v>
      </c>
      <c r="F2655" s="3">
        <v>0</v>
      </c>
      <c r="G2655" s="3">
        <v>185</v>
      </c>
      <c r="H2655" s="3">
        <v>51.9</v>
      </c>
      <c r="I2655" s="3">
        <v>48.1</v>
      </c>
      <c r="J2655" s="3">
        <v>0</v>
      </c>
      <c r="K2655" s="3">
        <v>0</v>
      </c>
      <c r="L2655" s="3">
        <v>0</v>
      </c>
      <c r="M2655" t="str">
        <f>IF(acs2015_county_data[[#This Row],[PublicWork]]&gt;='Описательные характеристики'!$F$5,"да","нет")</f>
        <v>да</v>
      </c>
      <c r="N2655" t="str">
        <f>IF(acs2015_county_data[[#This Row],[Unemployment]]&gt;='Описательные характеристики'!$I$5,"да","нет")</f>
        <v>нет</v>
      </c>
    </row>
    <row r="2656" spans="1:14" x14ac:dyDescent="0.35">
      <c r="A2656">
        <v>48263</v>
      </c>
      <c r="B2656" t="s">
        <v>1051</v>
      </c>
      <c r="C2656" t="s">
        <v>301</v>
      </c>
      <c r="D2656" s="2">
        <v>821</v>
      </c>
      <c r="E2656" s="2">
        <v>27962</v>
      </c>
      <c r="F2656" s="3">
        <v>3.6</v>
      </c>
      <c r="G2656" s="3">
        <v>398</v>
      </c>
      <c r="H2656" s="3">
        <v>49.7</v>
      </c>
      <c r="I2656" s="3">
        <v>38.9</v>
      </c>
      <c r="J2656" s="3">
        <v>10.1</v>
      </c>
      <c r="K2656" s="3">
        <v>1.3</v>
      </c>
      <c r="L2656" s="3">
        <v>1.5</v>
      </c>
      <c r="M2656" t="str">
        <f>IF(acs2015_county_data[[#This Row],[PublicWork]]&gt;='Описательные характеристики'!$F$5,"да","нет")</f>
        <v>да</v>
      </c>
      <c r="N2656" t="str">
        <f>IF(acs2015_county_data[[#This Row],[Unemployment]]&gt;='Описательные характеристики'!$I$5,"да","нет")</f>
        <v>нет</v>
      </c>
    </row>
    <row r="2657" spans="1:14" x14ac:dyDescent="0.35">
      <c r="A2657">
        <v>48265</v>
      </c>
      <c r="B2657" t="s">
        <v>1051</v>
      </c>
      <c r="C2657" t="s">
        <v>1618</v>
      </c>
      <c r="D2657" s="2">
        <v>50149</v>
      </c>
      <c r="E2657" s="2">
        <v>26265</v>
      </c>
      <c r="F2657" s="3">
        <v>5.5</v>
      </c>
      <c r="G2657" s="3">
        <v>20523</v>
      </c>
      <c r="H2657" s="3">
        <v>72.8</v>
      </c>
      <c r="I2657" s="3">
        <v>16.7</v>
      </c>
      <c r="J2657" s="3">
        <v>10.4</v>
      </c>
      <c r="K2657" s="3">
        <v>0.1</v>
      </c>
      <c r="L2657" s="3">
        <v>8</v>
      </c>
      <c r="M2657" t="str">
        <f>IF(acs2015_county_data[[#This Row],[PublicWork]]&gt;='Описательные характеристики'!$F$5,"да","нет")</f>
        <v>да</v>
      </c>
      <c r="N2657" t="str">
        <f>IF(acs2015_county_data[[#This Row],[Unemployment]]&gt;='Описательные характеристики'!$I$5,"да","нет")</f>
        <v>да</v>
      </c>
    </row>
    <row r="2658" spans="1:14" x14ac:dyDescent="0.35">
      <c r="A2658">
        <v>48267</v>
      </c>
      <c r="B2658" t="s">
        <v>1051</v>
      </c>
      <c r="C2658" t="s">
        <v>1619</v>
      </c>
      <c r="D2658" s="2">
        <v>4486</v>
      </c>
      <c r="E2658" s="2">
        <v>26749</v>
      </c>
      <c r="F2658" s="3">
        <v>3</v>
      </c>
      <c r="G2658" s="3">
        <v>2129</v>
      </c>
      <c r="H2658" s="3">
        <v>68.3</v>
      </c>
      <c r="I2658" s="3">
        <v>18</v>
      </c>
      <c r="J2658" s="3">
        <v>13.1</v>
      </c>
      <c r="K2658" s="3">
        <v>0.6</v>
      </c>
      <c r="L2658" s="3">
        <v>7.6</v>
      </c>
      <c r="M2658" t="str">
        <f>IF(acs2015_county_data[[#This Row],[PublicWork]]&gt;='Описательные характеристики'!$F$5,"да","нет")</f>
        <v>да</v>
      </c>
      <c r="N2658" t="str">
        <f>IF(acs2015_county_data[[#This Row],[Unemployment]]&gt;='Описательные характеристики'!$I$5,"да","нет")</f>
        <v>да</v>
      </c>
    </row>
    <row r="2659" spans="1:14" x14ac:dyDescent="0.35">
      <c r="A2659">
        <v>48269</v>
      </c>
      <c r="B2659" t="s">
        <v>1051</v>
      </c>
      <c r="C2659" t="s">
        <v>1620</v>
      </c>
      <c r="D2659" s="2">
        <v>267</v>
      </c>
      <c r="E2659" s="2">
        <v>30269</v>
      </c>
      <c r="F2659" s="3">
        <v>3.6</v>
      </c>
      <c r="G2659" s="3">
        <v>166</v>
      </c>
      <c r="H2659" s="3">
        <v>72.900000000000006</v>
      </c>
      <c r="I2659" s="3">
        <v>21.1</v>
      </c>
      <c r="J2659" s="3">
        <v>6</v>
      </c>
      <c r="K2659" s="3">
        <v>0</v>
      </c>
      <c r="L2659" s="3">
        <v>5.0999999999999996</v>
      </c>
      <c r="M2659" t="str">
        <f>IF(acs2015_county_data[[#This Row],[PublicWork]]&gt;='Описательные характеристики'!$F$5,"да","нет")</f>
        <v>да</v>
      </c>
      <c r="N2659" t="str">
        <f>IF(acs2015_county_data[[#This Row],[Unemployment]]&gt;='Описательные характеристики'!$I$5,"да","нет")</f>
        <v>нет</v>
      </c>
    </row>
    <row r="2660" spans="1:14" x14ac:dyDescent="0.35">
      <c r="A2660">
        <v>48271</v>
      </c>
      <c r="B2660" t="s">
        <v>1051</v>
      </c>
      <c r="C2660" t="s">
        <v>1621</v>
      </c>
      <c r="D2660" s="2">
        <v>3577</v>
      </c>
      <c r="E2660" s="2">
        <v>17299</v>
      </c>
      <c r="F2660" s="3">
        <v>9.8000000000000007</v>
      </c>
      <c r="G2660" s="3">
        <v>1213</v>
      </c>
      <c r="H2660" s="3">
        <v>48.7</v>
      </c>
      <c r="I2660" s="3">
        <v>38.1</v>
      </c>
      <c r="J2660" s="3">
        <v>13.2</v>
      </c>
      <c r="K2660" s="3">
        <v>0</v>
      </c>
      <c r="L2660" s="3">
        <v>13.2</v>
      </c>
      <c r="M2660" t="str">
        <f>IF(acs2015_county_data[[#This Row],[PublicWork]]&gt;='Описательные характеристики'!$F$5,"да","нет")</f>
        <v>да</v>
      </c>
      <c r="N2660" t="str">
        <f>IF(acs2015_county_data[[#This Row],[Unemployment]]&gt;='Описательные характеристики'!$I$5,"да","нет")</f>
        <v>да</v>
      </c>
    </row>
    <row r="2661" spans="1:14" x14ac:dyDescent="0.35">
      <c r="A2661">
        <v>48273</v>
      </c>
      <c r="B2661" t="s">
        <v>1051</v>
      </c>
      <c r="C2661" t="s">
        <v>1622</v>
      </c>
      <c r="D2661" s="2">
        <v>32029</v>
      </c>
      <c r="E2661" s="2">
        <v>18722</v>
      </c>
      <c r="F2661" s="3">
        <v>1.9</v>
      </c>
      <c r="G2661" s="3">
        <v>13466</v>
      </c>
      <c r="H2661" s="3">
        <v>69.5</v>
      </c>
      <c r="I2661" s="3">
        <v>25.9</v>
      </c>
      <c r="J2661" s="3">
        <v>4.4000000000000004</v>
      </c>
      <c r="K2661" s="3">
        <v>0.2</v>
      </c>
      <c r="L2661" s="3">
        <v>11.7</v>
      </c>
      <c r="M2661" t="str">
        <f>IF(acs2015_county_data[[#This Row],[PublicWork]]&gt;='Описательные характеристики'!$F$5,"да","нет")</f>
        <v>да</v>
      </c>
      <c r="N2661" t="str">
        <f>IF(acs2015_county_data[[#This Row],[Unemployment]]&gt;='Описательные характеристики'!$I$5,"да","нет")</f>
        <v>да</v>
      </c>
    </row>
    <row r="2662" spans="1:14" x14ac:dyDescent="0.35">
      <c r="A2662">
        <v>48275</v>
      </c>
      <c r="B2662" t="s">
        <v>1051</v>
      </c>
      <c r="C2662" t="s">
        <v>529</v>
      </c>
      <c r="D2662" s="2">
        <v>3796</v>
      </c>
      <c r="E2662" s="2">
        <v>20124</v>
      </c>
      <c r="F2662" s="3">
        <v>1.6</v>
      </c>
      <c r="G2662" s="3">
        <v>1534</v>
      </c>
      <c r="H2662" s="3">
        <v>67.099999999999994</v>
      </c>
      <c r="I2662" s="3">
        <v>25</v>
      </c>
      <c r="J2662" s="3">
        <v>7</v>
      </c>
      <c r="K2662" s="3">
        <v>0.8</v>
      </c>
      <c r="L2662" s="3">
        <v>7.1</v>
      </c>
      <c r="M2662" t="str">
        <f>IF(acs2015_county_data[[#This Row],[PublicWork]]&gt;='Описательные характеристики'!$F$5,"да","нет")</f>
        <v>да</v>
      </c>
      <c r="N2662" t="str">
        <f>IF(acs2015_county_data[[#This Row],[Unemployment]]&gt;='Описательные характеристики'!$I$5,"да","нет")</f>
        <v>нет</v>
      </c>
    </row>
    <row r="2663" spans="1:14" x14ac:dyDescent="0.35">
      <c r="A2663">
        <v>48277</v>
      </c>
      <c r="B2663" t="s">
        <v>1051</v>
      </c>
      <c r="C2663" t="s">
        <v>51</v>
      </c>
      <c r="D2663" s="2">
        <v>49566</v>
      </c>
      <c r="E2663" s="2">
        <v>22344</v>
      </c>
      <c r="F2663" s="3">
        <v>3.2</v>
      </c>
      <c r="G2663" s="3">
        <v>20953</v>
      </c>
      <c r="H2663" s="3">
        <v>79.2</v>
      </c>
      <c r="I2663" s="3">
        <v>13.9</v>
      </c>
      <c r="J2663" s="3">
        <v>6.7</v>
      </c>
      <c r="K2663" s="3">
        <v>0.2</v>
      </c>
      <c r="L2663" s="3">
        <v>7.4</v>
      </c>
      <c r="M2663" t="str">
        <f>IF(acs2015_county_data[[#This Row],[PublicWork]]&gt;='Описательные характеристики'!$F$5,"да","нет")</f>
        <v>нет</v>
      </c>
      <c r="N2663" t="str">
        <f>IF(acs2015_county_data[[#This Row],[Unemployment]]&gt;='Описательные характеристики'!$I$5,"да","нет")</f>
        <v>нет</v>
      </c>
    </row>
    <row r="2664" spans="1:14" x14ac:dyDescent="0.35">
      <c r="A2664">
        <v>48279</v>
      </c>
      <c r="B2664" t="s">
        <v>1051</v>
      </c>
      <c r="C2664" t="s">
        <v>1623</v>
      </c>
      <c r="D2664" s="2">
        <v>13742</v>
      </c>
      <c r="E2664" s="2">
        <v>20863</v>
      </c>
      <c r="F2664" s="3">
        <v>3.3</v>
      </c>
      <c r="G2664" s="3">
        <v>5709</v>
      </c>
      <c r="H2664" s="3">
        <v>73.8</v>
      </c>
      <c r="I2664" s="3">
        <v>16.100000000000001</v>
      </c>
      <c r="J2664" s="3">
        <v>9.9</v>
      </c>
      <c r="K2664" s="3">
        <v>0.1</v>
      </c>
      <c r="L2664" s="3">
        <v>6.2</v>
      </c>
      <c r="M2664" t="str">
        <f>IF(acs2015_county_data[[#This Row],[PublicWork]]&gt;='Описательные характеристики'!$F$5,"да","нет")</f>
        <v>нет</v>
      </c>
      <c r="N2664" t="str">
        <f>IF(acs2015_county_data[[#This Row],[Unemployment]]&gt;='Описательные характеристики'!$I$5,"да","нет")</f>
        <v>нет</v>
      </c>
    </row>
    <row r="2665" spans="1:14" x14ac:dyDescent="0.35">
      <c r="A2665">
        <v>48281</v>
      </c>
      <c r="B2665" t="s">
        <v>1051</v>
      </c>
      <c r="C2665" t="s">
        <v>1624</v>
      </c>
      <c r="D2665" s="2">
        <v>20219</v>
      </c>
      <c r="E2665" s="2">
        <v>23772</v>
      </c>
      <c r="F2665" s="3">
        <v>2.9</v>
      </c>
      <c r="G2665" s="3">
        <v>8245</v>
      </c>
      <c r="H2665" s="3">
        <v>65.5</v>
      </c>
      <c r="I2665" s="3">
        <v>26.5</v>
      </c>
      <c r="J2665" s="3">
        <v>8</v>
      </c>
      <c r="K2665" s="3">
        <v>0</v>
      </c>
      <c r="L2665" s="3">
        <v>8.6</v>
      </c>
      <c r="M2665" t="str">
        <f>IF(acs2015_county_data[[#This Row],[PublicWork]]&gt;='Описательные характеристики'!$F$5,"да","нет")</f>
        <v>да</v>
      </c>
      <c r="N2665" t="str">
        <f>IF(acs2015_county_data[[#This Row],[Unemployment]]&gt;='Описательные характеристики'!$I$5,"да","нет")</f>
        <v>да</v>
      </c>
    </row>
    <row r="2666" spans="1:14" x14ac:dyDescent="0.35">
      <c r="A2666">
        <v>48283</v>
      </c>
      <c r="B2666" t="s">
        <v>1051</v>
      </c>
      <c r="C2666" t="s">
        <v>1625</v>
      </c>
      <c r="D2666" s="2">
        <v>7191</v>
      </c>
      <c r="E2666" s="2">
        <v>22127</v>
      </c>
      <c r="F2666" s="3">
        <v>2.4</v>
      </c>
      <c r="G2666" s="3">
        <v>2307</v>
      </c>
      <c r="H2666" s="3">
        <v>78.2</v>
      </c>
      <c r="I2666" s="3">
        <v>14</v>
      </c>
      <c r="J2666" s="3">
        <v>7.8</v>
      </c>
      <c r="K2666" s="3">
        <v>0</v>
      </c>
      <c r="L2666" s="3">
        <v>8.1</v>
      </c>
      <c r="M2666" t="str">
        <f>IF(acs2015_county_data[[#This Row],[PublicWork]]&gt;='Описательные характеристики'!$F$5,"да","нет")</f>
        <v>нет</v>
      </c>
      <c r="N2666" t="str">
        <f>IF(acs2015_county_data[[#This Row],[Unemployment]]&gt;='Описательные характеристики'!$I$5,"да","нет")</f>
        <v>да</v>
      </c>
    </row>
    <row r="2667" spans="1:14" x14ac:dyDescent="0.35">
      <c r="A2667">
        <v>48285</v>
      </c>
      <c r="B2667" t="s">
        <v>1051</v>
      </c>
      <c r="C2667" t="s">
        <v>1626</v>
      </c>
      <c r="D2667" s="2">
        <v>19549</v>
      </c>
      <c r="E2667" s="2">
        <v>27288</v>
      </c>
      <c r="F2667" s="3">
        <v>4.3</v>
      </c>
      <c r="G2667" s="3">
        <v>8929</v>
      </c>
      <c r="H2667" s="3">
        <v>73.400000000000006</v>
      </c>
      <c r="I2667" s="3">
        <v>14.4</v>
      </c>
      <c r="J2667" s="3">
        <v>12.1</v>
      </c>
      <c r="K2667" s="3">
        <v>0.1</v>
      </c>
      <c r="L2667" s="3">
        <v>4</v>
      </c>
      <c r="M2667" t="str">
        <f>IF(acs2015_county_data[[#This Row],[PublicWork]]&gt;='Описательные характеристики'!$F$5,"да","нет")</f>
        <v>нет</v>
      </c>
      <c r="N2667" t="str">
        <f>IF(acs2015_county_data[[#This Row],[Unemployment]]&gt;='Описательные характеристики'!$I$5,"да","нет")</f>
        <v>нет</v>
      </c>
    </row>
    <row r="2668" spans="1:14" x14ac:dyDescent="0.35">
      <c r="A2668">
        <v>48287</v>
      </c>
      <c r="B2668" t="s">
        <v>1051</v>
      </c>
      <c r="C2668" t="s">
        <v>53</v>
      </c>
      <c r="D2668" s="2">
        <v>16664</v>
      </c>
      <c r="E2668" s="2">
        <v>25006</v>
      </c>
      <c r="F2668" s="3">
        <v>3.4</v>
      </c>
      <c r="G2668" s="3">
        <v>7706</v>
      </c>
      <c r="H2668" s="3">
        <v>74.5</v>
      </c>
      <c r="I2668" s="3">
        <v>16.7</v>
      </c>
      <c r="J2668" s="3">
        <v>8.4</v>
      </c>
      <c r="K2668" s="3">
        <v>0.4</v>
      </c>
      <c r="L2668" s="3">
        <v>5.7</v>
      </c>
      <c r="M2668" t="str">
        <f>IF(acs2015_county_data[[#This Row],[PublicWork]]&gt;='Описательные характеристики'!$F$5,"да","нет")</f>
        <v>да</v>
      </c>
      <c r="N2668" t="str">
        <f>IF(acs2015_county_data[[#This Row],[Unemployment]]&gt;='Описательные характеристики'!$I$5,"да","нет")</f>
        <v>нет</v>
      </c>
    </row>
    <row r="2669" spans="1:14" x14ac:dyDescent="0.35">
      <c r="A2669">
        <v>48289</v>
      </c>
      <c r="B2669" t="s">
        <v>1051</v>
      </c>
      <c r="C2669" t="s">
        <v>331</v>
      </c>
      <c r="D2669" s="2">
        <v>16819</v>
      </c>
      <c r="E2669" s="2">
        <v>27535</v>
      </c>
      <c r="F2669" s="3">
        <v>5.3</v>
      </c>
      <c r="G2669" s="3">
        <v>6673</v>
      </c>
      <c r="H2669" s="3">
        <v>69.400000000000006</v>
      </c>
      <c r="I2669" s="3">
        <v>14.5</v>
      </c>
      <c r="J2669" s="3">
        <v>15.7</v>
      </c>
      <c r="K2669" s="3">
        <v>0.4</v>
      </c>
      <c r="L2669" s="3">
        <v>7.5</v>
      </c>
      <c r="M2669" t="str">
        <f>IF(acs2015_county_data[[#This Row],[PublicWork]]&gt;='Описательные характеристики'!$F$5,"да","нет")</f>
        <v>нет</v>
      </c>
      <c r="N2669" t="str">
        <f>IF(acs2015_county_data[[#This Row],[Unemployment]]&gt;='Описательные характеристики'!$I$5,"да","нет")</f>
        <v>нет</v>
      </c>
    </row>
    <row r="2670" spans="1:14" x14ac:dyDescent="0.35">
      <c r="A2670">
        <v>48291</v>
      </c>
      <c r="B2670" t="s">
        <v>1051</v>
      </c>
      <c r="C2670" t="s">
        <v>333</v>
      </c>
      <c r="D2670" s="2">
        <v>77486</v>
      </c>
      <c r="E2670" s="2">
        <v>21194</v>
      </c>
      <c r="F2670" s="3">
        <v>0.6</v>
      </c>
      <c r="G2670" s="3">
        <v>27767</v>
      </c>
      <c r="H2670" s="3">
        <v>78.400000000000006</v>
      </c>
      <c r="I2670" s="3">
        <v>13.6</v>
      </c>
      <c r="J2670" s="3">
        <v>7.8</v>
      </c>
      <c r="K2670" s="3">
        <v>0.2</v>
      </c>
      <c r="L2670" s="3">
        <v>11.5</v>
      </c>
      <c r="M2670" t="str">
        <f>IF(acs2015_county_data[[#This Row],[PublicWork]]&gt;='Описательные характеристики'!$F$5,"да","нет")</f>
        <v>нет</v>
      </c>
      <c r="N2670" t="str">
        <f>IF(acs2015_county_data[[#This Row],[Unemployment]]&gt;='Описательные характеристики'!$I$5,"да","нет")</f>
        <v>да</v>
      </c>
    </row>
    <row r="2671" spans="1:14" x14ac:dyDescent="0.35">
      <c r="A2671">
        <v>48293</v>
      </c>
      <c r="B2671" t="s">
        <v>1051</v>
      </c>
      <c r="C2671" t="s">
        <v>54</v>
      </c>
      <c r="D2671" s="2">
        <v>23454</v>
      </c>
      <c r="E2671" s="2">
        <v>20430</v>
      </c>
      <c r="F2671" s="3">
        <v>4</v>
      </c>
      <c r="G2671" s="3">
        <v>9384</v>
      </c>
      <c r="H2671" s="3">
        <v>61.3</v>
      </c>
      <c r="I2671" s="3">
        <v>28.6</v>
      </c>
      <c r="J2671" s="3">
        <v>10.1</v>
      </c>
      <c r="K2671" s="3">
        <v>0</v>
      </c>
      <c r="L2671" s="3">
        <v>8.1999999999999993</v>
      </c>
      <c r="M2671" t="str">
        <f>IF(acs2015_county_data[[#This Row],[PublicWork]]&gt;='Описательные характеристики'!$F$5,"да","нет")</f>
        <v>да</v>
      </c>
      <c r="N2671" t="str">
        <f>IF(acs2015_county_data[[#This Row],[Unemployment]]&gt;='Описательные характеристики'!$I$5,"да","нет")</f>
        <v>да</v>
      </c>
    </row>
    <row r="2672" spans="1:14" x14ac:dyDescent="0.35">
      <c r="A2672">
        <v>48295</v>
      </c>
      <c r="B2672" t="s">
        <v>1051</v>
      </c>
      <c r="C2672" t="s">
        <v>1627</v>
      </c>
      <c r="D2672" s="2">
        <v>3483</v>
      </c>
      <c r="E2672" s="2">
        <v>30237</v>
      </c>
      <c r="F2672" s="3">
        <v>1.5</v>
      </c>
      <c r="G2672" s="3">
        <v>1662</v>
      </c>
      <c r="H2672" s="3">
        <v>72.7</v>
      </c>
      <c r="I2672" s="3">
        <v>14.7</v>
      </c>
      <c r="J2672" s="3">
        <v>12.2</v>
      </c>
      <c r="K2672" s="3">
        <v>0.4</v>
      </c>
      <c r="L2672" s="3">
        <v>5</v>
      </c>
      <c r="M2672" t="str">
        <f>IF(acs2015_county_data[[#This Row],[PublicWork]]&gt;='Описательные характеристики'!$F$5,"да","нет")</f>
        <v>нет</v>
      </c>
      <c r="N2672" t="str">
        <f>IF(acs2015_county_data[[#This Row],[Unemployment]]&gt;='Описательные характеристики'!$I$5,"да","нет")</f>
        <v>нет</v>
      </c>
    </row>
    <row r="2673" spans="1:14" x14ac:dyDescent="0.35">
      <c r="A2673">
        <v>48297</v>
      </c>
      <c r="B2673" t="s">
        <v>1051</v>
      </c>
      <c r="C2673" t="s">
        <v>1628</v>
      </c>
      <c r="D2673" s="2">
        <v>11873</v>
      </c>
      <c r="E2673" s="2">
        <v>21231</v>
      </c>
      <c r="F2673" s="3">
        <v>6.5</v>
      </c>
      <c r="G2673" s="3">
        <v>4140</v>
      </c>
      <c r="H2673" s="3">
        <v>73.5</v>
      </c>
      <c r="I2673" s="3">
        <v>14.2</v>
      </c>
      <c r="J2673" s="3">
        <v>12.1</v>
      </c>
      <c r="K2673" s="3">
        <v>0.2</v>
      </c>
      <c r="L2673" s="3">
        <v>4.3</v>
      </c>
      <c r="M2673" t="str">
        <f>IF(acs2015_county_data[[#This Row],[PublicWork]]&gt;='Описательные характеристики'!$F$5,"да","нет")</f>
        <v>нет</v>
      </c>
      <c r="N2673" t="str">
        <f>IF(acs2015_county_data[[#This Row],[Unemployment]]&gt;='Описательные характеристики'!$I$5,"да","нет")</f>
        <v>нет</v>
      </c>
    </row>
    <row r="2674" spans="1:14" x14ac:dyDescent="0.35">
      <c r="A2674">
        <v>48299</v>
      </c>
      <c r="B2674" t="s">
        <v>1051</v>
      </c>
      <c r="C2674" t="s">
        <v>1629</v>
      </c>
      <c r="D2674" s="2">
        <v>19323</v>
      </c>
      <c r="E2674" s="2">
        <v>36279</v>
      </c>
      <c r="F2674" s="3">
        <v>11.8</v>
      </c>
      <c r="G2674" s="3">
        <v>7348</v>
      </c>
      <c r="H2674" s="3">
        <v>72</v>
      </c>
      <c r="I2674" s="3">
        <v>11.4</v>
      </c>
      <c r="J2674" s="3">
        <v>16.399999999999999</v>
      </c>
      <c r="K2674" s="3">
        <v>0.2</v>
      </c>
      <c r="L2674" s="3">
        <v>5.8</v>
      </c>
      <c r="M2674" t="str">
        <f>IF(acs2015_county_data[[#This Row],[PublicWork]]&gt;='Описательные характеристики'!$F$5,"да","нет")</f>
        <v>нет</v>
      </c>
      <c r="N2674" t="str">
        <f>IF(acs2015_county_data[[#This Row],[Unemployment]]&gt;='Описательные характеристики'!$I$5,"да","нет")</f>
        <v>нет</v>
      </c>
    </row>
    <row r="2675" spans="1:14" x14ac:dyDescent="0.35">
      <c r="A2675">
        <v>48301</v>
      </c>
      <c r="B2675" t="s">
        <v>1051</v>
      </c>
      <c r="C2675" t="s">
        <v>1630</v>
      </c>
      <c r="D2675" s="2">
        <v>117</v>
      </c>
      <c r="E2675" s="2">
        <v>25877</v>
      </c>
      <c r="F2675" s="3">
        <v>16.100000000000001</v>
      </c>
      <c r="G2675" s="3">
        <v>62</v>
      </c>
      <c r="H2675" s="3">
        <v>71</v>
      </c>
      <c r="I2675" s="3">
        <v>27.4</v>
      </c>
      <c r="J2675" s="3">
        <v>1.6</v>
      </c>
      <c r="K2675" s="3">
        <v>0</v>
      </c>
      <c r="L2675" s="3">
        <v>15.1</v>
      </c>
      <c r="M2675" t="str">
        <f>IF(acs2015_county_data[[#This Row],[PublicWork]]&gt;='Описательные характеристики'!$F$5,"да","нет")</f>
        <v>да</v>
      </c>
      <c r="N2675" t="str">
        <f>IF(acs2015_county_data[[#This Row],[Unemployment]]&gt;='Описательные характеристики'!$I$5,"да","нет")</f>
        <v>да</v>
      </c>
    </row>
    <row r="2676" spans="1:14" x14ac:dyDescent="0.35">
      <c r="A2676">
        <v>48303</v>
      </c>
      <c r="B2676" t="s">
        <v>1051</v>
      </c>
      <c r="C2676" t="s">
        <v>1631</v>
      </c>
      <c r="D2676" s="2">
        <v>290782</v>
      </c>
      <c r="E2676" s="2">
        <v>24510</v>
      </c>
      <c r="F2676" s="3">
        <v>2.8</v>
      </c>
      <c r="G2676" s="3">
        <v>141493</v>
      </c>
      <c r="H2676" s="3">
        <v>76.5</v>
      </c>
      <c r="I2676" s="3">
        <v>16.8</v>
      </c>
      <c r="J2676" s="3">
        <v>6.5</v>
      </c>
      <c r="K2676" s="3">
        <v>0.2</v>
      </c>
      <c r="L2676" s="3">
        <v>6.2</v>
      </c>
      <c r="M2676" t="str">
        <f>IF(acs2015_county_data[[#This Row],[PublicWork]]&gt;='Описательные характеристики'!$F$5,"да","нет")</f>
        <v>да</v>
      </c>
      <c r="N2676" t="str">
        <f>IF(acs2015_county_data[[#This Row],[Unemployment]]&gt;='Описательные характеристики'!$I$5,"да","нет")</f>
        <v>нет</v>
      </c>
    </row>
    <row r="2677" spans="1:14" x14ac:dyDescent="0.35">
      <c r="A2677">
        <v>48305</v>
      </c>
      <c r="B2677" t="s">
        <v>1051</v>
      </c>
      <c r="C2677" t="s">
        <v>1632</v>
      </c>
      <c r="D2677" s="2">
        <v>5764</v>
      </c>
      <c r="E2677" s="2">
        <v>23341</v>
      </c>
      <c r="F2677" s="3">
        <v>4.5</v>
      </c>
      <c r="G2677" s="3">
        <v>2409</v>
      </c>
      <c r="H2677" s="3">
        <v>65.900000000000006</v>
      </c>
      <c r="I2677" s="3">
        <v>21.7</v>
      </c>
      <c r="J2677" s="3">
        <v>12.5</v>
      </c>
      <c r="K2677" s="3">
        <v>0</v>
      </c>
      <c r="L2677" s="3">
        <v>10.9</v>
      </c>
      <c r="M2677" t="str">
        <f>IF(acs2015_county_data[[#This Row],[PublicWork]]&gt;='Описательные характеристики'!$F$5,"да","нет")</f>
        <v>да</v>
      </c>
      <c r="N2677" t="str">
        <f>IF(acs2015_county_data[[#This Row],[Unemployment]]&gt;='Описательные характеристики'!$I$5,"да","нет")</f>
        <v>да</v>
      </c>
    </row>
    <row r="2678" spans="1:14" x14ac:dyDescent="0.35">
      <c r="A2678">
        <v>48307</v>
      </c>
      <c r="B2678" t="s">
        <v>1051</v>
      </c>
      <c r="C2678" t="s">
        <v>1633</v>
      </c>
      <c r="D2678" s="2">
        <v>8273</v>
      </c>
      <c r="E2678" s="2">
        <v>22194</v>
      </c>
      <c r="F2678" s="3">
        <v>2</v>
      </c>
      <c r="G2678" s="3">
        <v>3727</v>
      </c>
      <c r="H2678" s="3">
        <v>68.099999999999994</v>
      </c>
      <c r="I2678" s="3">
        <v>16.2</v>
      </c>
      <c r="J2678" s="3">
        <v>14.6</v>
      </c>
      <c r="K2678" s="3">
        <v>1.1000000000000001</v>
      </c>
      <c r="L2678" s="3">
        <v>4.3</v>
      </c>
      <c r="M2678" t="str">
        <f>IF(acs2015_county_data[[#This Row],[PublicWork]]&gt;='Описательные характеристики'!$F$5,"да","нет")</f>
        <v>да</v>
      </c>
      <c r="N2678" t="str">
        <f>IF(acs2015_county_data[[#This Row],[Unemployment]]&gt;='Описательные характеристики'!$I$5,"да","нет")</f>
        <v>нет</v>
      </c>
    </row>
    <row r="2679" spans="1:14" x14ac:dyDescent="0.35">
      <c r="A2679">
        <v>48309</v>
      </c>
      <c r="B2679" t="s">
        <v>1051</v>
      </c>
      <c r="C2679" t="s">
        <v>1634</v>
      </c>
      <c r="D2679" s="2">
        <v>241505</v>
      </c>
      <c r="E2679" s="2">
        <v>22221</v>
      </c>
      <c r="F2679" s="3">
        <v>3.2</v>
      </c>
      <c r="G2679" s="3">
        <v>107737</v>
      </c>
      <c r="H2679" s="3">
        <v>79.5</v>
      </c>
      <c r="I2679" s="3">
        <v>14.7</v>
      </c>
      <c r="J2679" s="3">
        <v>5.7</v>
      </c>
      <c r="K2679" s="3">
        <v>0.1</v>
      </c>
      <c r="L2679" s="3">
        <v>6.2</v>
      </c>
      <c r="M2679" t="str">
        <f>IF(acs2015_county_data[[#This Row],[PublicWork]]&gt;='Описательные характеристики'!$F$5,"да","нет")</f>
        <v>нет</v>
      </c>
      <c r="N2679" t="str">
        <f>IF(acs2015_county_data[[#This Row],[Unemployment]]&gt;='Описательные характеристики'!$I$5,"да","нет")</f>
        <v>нет</v>
      </c>
    </row>
    <row r="2680" spans="1:14" x14ac:dyDescent="0.35">
      <c r="A2680">
        <v>48311</v>
      </c>
      <c r="B2680" t="s">
        <v>1051</v>
      </c>
      <c r="C2680" t="s">
        <v>1635</v>
      </c>
      <c r="D2680" s="2">
        <v>778</v>
      </c>
      <c r="E2680" s="2">
        <v>27608</v>
      </c>
      <c r="F2680" s="3">
        <v>4.4000000000000004</v>
      </c>
      <c r="G2680" s="3">
        <v>324</v>
      </c>
      <c r="H2680" s="3">
        <v>60.5</v>
      </c>
      <c r="I2680" s="3">
        <v>25.6</v>
      </c>
      <c r="J2680" s="3">
        <v>12.7</v>
      </c>
      <c r="K2680" s="3">
        <v>1.2</v>
      </c>
      <c r="L2680" s="3">
        <v>14.1</v>
      </c>
      <c r="M2680" t="str">
        <f>IF(acs2015_county_data[[#This Row],[PublicWork]]&gt;='Описательные характеристики'!$F$5,"да","нет")</f>
        <v>да</v>
      </c>
      <c r="N2680" t="str">
        <f>IF(acs2015_county_data[[#This Row],[Unemployment]]&gt;='Описательные характеристики'!$I$5,"да","нет")</f>
        <v>да</v>
      </c>
    </row>
    <row r="2681" spans="1:14" x14ac:dyDescent="0.35">
      <c r="A2681">
        <v>48313</v>
      </c>
      <c r="B2681" t="s">
        <v>1051</v>
      </c>
      <c r="C2681" t="s">
        <v>57</v>
      </c>
      <c r="D2681" s="2">
        <v>13838</v>
      </c>
      <c r="E2681" s="2">
        <v>15894</v>
      </c>
      <c r="F2681" s="3">
        <v>2.1</v>
      </c>
      <c r="G2681" s="3">
        <v>4194</v>
      </c>
      <c r="H2681" s="3">
        <v>65.099999999999994</v>
      </c>
      <c r="I2681" s="3">
        <v>22.4</v>
      </c>
      <c r="J2681" s="3">
        <v>11.8</v>
      </c>
      <c r="K2681" s="3">
        <v>0.7</v>
      </c>
      <c r="L2681" s="3">
        <v>5.7</v>
      </c>
      <c r="M2681" t="str">
        <f>IF(acs2015_county_data[[#This Row],[PublicWork]]&gt;='Описательные характеристики'!$F$5,"да","нет")</f>
        <v>да</v>
      </c>
      <c r="N2681" t="str">
        <f>IF(acs2015_county_data[[#This Row],[Unemployment]]&gt;='Описательные характеристики'!$I$5,"да","нет")</f>
        <v>нет</v>
      </c>
    </row>
    <row r="2682" spans="1:14" x14ac:dyDescent="0.35">
      <c r="A2682">
        <v>48315</v>
      </c>
      <c r="B2682" t="s">
        <v>1051</v>
      </c>
      <c r="C2682" t="s">
        <v>59</v>
      </c>
      <c r="D2682" s="2">
        <v>10248</v>
      </c>
      <c r="E2682" s="2">
        <v>22755</v>
      </c>
      <c r="F2682" s="3">
        <v>5.9</v>
      </c>
      <c r="G2682" s="3">
        <v>3940</v>
      </c>
      <c r="H2682" s="3">
        <v>78.7</v>
      </c>
      <c r="I2682" s="3">
        <v>15.2</v>
      </c>
      <c r="J2682" s="3">
        <v>5.9</v>
      </c>
      <c r="K2682" s="3">
        <v>0.1</v>
      </c>
      <c r="L2682" s="3">
        <v>8</v>
      </c>
      <c r="M2682" t="str">
        <f>IF(acs2015_county_data[[#This Row],[PublicWork]]&gt;='Описательные характеристики'!$F$5,"да","нет")</f>
        <v>нет</v>
      </c>
      <c r="N2682" t="str">
        <f>IF(acs2015_county_data[[#This Row],[Unemployment]]&gt;='Описательные характеристики'!$I$5,"да","нет")</f>
        <v>да</v>
      </c>
    </row>
    <row r="2683" spans="1:14" x14ac:dyDescent="0.35">
      <c r="A2683">
        <v>48317</v>
      </c>
      <c r="B2683" t="s">
        <v>1051</v>
      </c>
      <c r="C2683" t="s">
        <v>334</v>
      </c>
      <c r="D2683" s="2">
        <v>5252</v>
      </c>
      <c r="E2683" s="2">
        <v>26130</v>
      </c>
      <c r="F2683" s="3">
        <v>4.4000000000000004</v>
      </c>
      <c r="G2683" s="3">
        <v>2342</v>
      </c>
      <c r="H2683" s="3">
        <v>77</v>
      </c>
      <c r="I2683" s="3">
        <v>12.9</v>
      </c>
      <c r="J2683" s="3">
        <v>10.1</v>
      </c>
      <c r="K2683" s="3">
        <v>0</v>
      </c>
      <c r="L2683" s="3">
        <v>3.5</v>
      </c>
      <c r="M2683" t="str">
        <f>IF(acs2015_county_data[[#This Row],[PublicWork]]&gt;='Описательные характеристики'!$F$5,"да","нет")</f>
        <v>нет</v>
      </c>
      <c r="N2683" t="str">
        <f>IF(acs2015_county_data[[#This Row],[Unemployment]]&gt;='Описательные характеристики'!$I$5,"да","нет")</f>
        <v>нет</v>
      </c>
    </row>
    <row r="2684" spans="1:14" x14ac:dyDescent="0.35">
      <c r="A2684">
        <v>48319</v>
      </c>
      <c r="B2684" t="s">
        <v>1051</v>
      </c>
      <c r="C2684" t="s">
        <v>536</v>
      </c>
      <c r="D2684" s="2">
        <v>4066</v>
      </c>
      <c r="E2684" s="2">
        <v>25585</v>
      </c>
      <c r="F2684" s="3">
        <v>5.3</v>
      </c>
      <c r="G2684" s="3">
        <v>2018</v>
      </c>
      <c r="H2684" s="3">
        <v>66</v>
      </c>
      <c r="I2684" s="3">
        <v>11.6</v>
      </c>
      <c r="J2684" s="3">
        <v>21.8</v>
      </c>
      <c r="K2684" s="3">
        <v>0.6</v>
      </c>
      <c r="L2684" s="3">
        <v>6.8</v>
      </c>
      <c r="M2684" t="str">
        <f>IF(acs2015_county_data[[#This Row],[PublicWork]]&gt;='Описательные характеристики'!$F$5,"да","нет")</f>
        <v>нет</v>
      </c>
      <c r="N2684" t="str">
        <f>IF(acs2015_county_data[[#This Row],[Unemployment]]&gt;='Описательные характеристики'!$I$5,"да","нет")</f>
        <v>нет</v>
      </c>
    </row>
    <row r="2685" spans="1:14" x14ac:dyDescent="0.35">
      <c r="A2685">
        <v>48321</v>
      </c>
      <c r="B2685" t="s">
        <v>1051</v>
      </c>
      <c r="C2685" t="s">
        <v>1636</v>
      </c>
      <c r="D2685" s="2">
        <v>36598</v>
      </c>
      <c r="E2685" s="2">
        <v>21693</v>
      </c>
      <c r="F2685" s="3">
        <v>1.9</v>
      </c>
      <c r="G2685" s="3">
        <v>15874</v>
      </c>
      <c r="H2685" s="3">
        <v>77.400000000000006</v>
      </c>
      <c r="I2685" s="3">
        <v>15.6</v>
      </c>
      <c r="J2685" s="3">
        <v>7</v>
      </c>
      <c r="K2685" s="3">
        <v>0</v>
      </c>
      <c r="L2685" s="3">
        <v>6.4</v>
      </c>
      <c r="M2685" t="str">
        <f>IF(acs2015_county_data[[#This Row],[PublicWork]]&gt;='Описательные характеристики'!$F$5,"да","нет")</f>
        <v>нет</v>
      </c>
      <c r="N2685" t="str">
        <f>IF(acs2015_county_data[[#This Row],[Unemployment]]&gt;='Описательные характеристики'!$I$5,"да","нет")</f>
        <v>нет</v>
      </c>
    </row>
    <row r="2686" spans="1:14" x14ac:dyDescent="0.35">
      <c r="A2686">
        <v>48323</v>
      </c>
      <c r="B2686" t="s">
        <v>1051</v>
      </c>
      <c r="C2686" t="s">
        <v>1637</v>
      </c>
      <c r="D2686" s="2">
        <v>56548</v>
      </c>
      <c r="E2686" s="2">
        <v>15249</v>
      </c>
      <c r="F2686" s="3">
        <v>1.2</v>
      </c>
      <c r="G2686" s="3">
        <v>20309</v>
      </c>
      <c r="H2686" s="3">
        <v>68.8</v>
      </c>
      <c r="I2686" s="3">
        <v>25</v>
      </c>
      <c r="J2686" s="3">
        <v>6.1</v>
      </c>
      <c r="K2686" s="3">
        <v>0.1</v>
      </c>
      <c r="L2686" s="3">
        <v>13.1</v>
      </c>
      <c r="M2686" t="str">
        <f>IF(acs2015_county_data[[#This Row],[PublicWork]]&gt;='Описательные характеристики'!$F$5,"да","нет")</f>
        <v>да</v>
      </c>
      <c r="N2686" t="str">
        <f>IF(acs2015_county_data[[#This Row],[Unemployment]]&gt;='Описательные характеристики'!$I$5,"да","нет")</f>
        <v>да</v>
      </c>
    </row>
    <row r="2687" spans="1:14" x14ac:dyDescent="0.35">
      <c r="A2687">
        <v>48325</v>
      </c>
      <c r="B2687" t="s">
        <v>1051</v>
      </c>
      <c r="C2687" t="s">
        <v>1335</v>
      </c>
      <c r="D2687" s="2">
        <v>47392</v>
      </c>
      <c r="E2687" s="2">
        <v>23830</v>
      </c>
      <c r="F2687" s="3">
        <v>3.2</v>
      </c>
      <c r="G2687" s="3">
        <v>19610</v>
      </c>
      <c r="H2687" s="3">
        <v>73.599999999999994</v>
      </c>
      <c r="I2687" s="3">
        <v>17.3</v>
      </c>
      <c r="J2687" s="3">
        <v>9</v>
      </c>
      <c r="K2687" s="3">
        <v>0.1</v>
      </c>
      <c r="L2687" s="3">
        <v>6.6</v>
      </c>
      <c r="M2687" t="str">
        <f>IF(acs2015_county_data[[#This Row],[PublicWork]]&gt;='Описательные характеристики'!$F$5,"да","нет")</f>
        <v>да</v>
      </c>
      <c r="N2687" t="str">
        <f>IF(acs2015_county_data[[#This Row],[Unemployment]]&gt;='Описательные характеристики'!$I$5,"да","нет")</f>
        <v>нет</v>
      </c>
    </row>
    <row r="2688" spans="1:14" x14ac:dyDescent="0.35">
      <c r="A2688">
        <v>48327</v>
      </c>
      <c r="B2688" t="s">
        <v>1051</v>
      </c>
      <c r="C2688" t="s">
        <v>538</v>
      </c>
      <c r="D2688" s="2">
        <v>2182</v>
      </c>
      <c r="E2688" s="2">
        <v>22016</v>
      </c>
      <c r="F2688" s="3">
        <v>5.0999999999999996</v>
      </c>
      <c r="G2688" s="3">
        <v>797</v>
      </c>
      <c r="H2688" s="3">
        <v>52.9</v>
      </c>
      <c r="I2688" s="3">
        <v>24.6</v>
      </c>
      <c r="J2688" s="3">
        <v>21</v>
      </c>
      <c r="K2688" s="3">
        <v>1.5</v>
      </c>
      <c r="L2688" s="3">
        <v>8.3000000000000007</v>
      </c>
      <c r="M2688" t="str">
        <f>IF(acs2015_county_data[[#This Row],[PublicWork]]&gt;='Описательные характеристики'!$F$5,"да","нет")</f>
        <v>да</v>
      </c>
      <c r="N2688" t="str">
        <f>IF(acs2015_county_data[[#This Row],[Unemployment]]&gt;='Описательные характеристики'!$I$5,"да","нет")</f>
        <v>да</v>
      </c>
    </row>
    <row r="2689" spans="1:14" x14ac:dyDescent="0.35">
      <c r="A2689">
        <v>48329</v>
      </c>
      <c r="B2689" t="s">
        <v>1051</v>
      </c>
      <c r="C2689" t="s">
        <v>895</v>
      </c>
      <c r="D2689" s="2">
        <v>151290</v>
      </c>
      <c r="E2689" s="2">
        <v>35537</v>
      </c>
      <c r="F2689" s="3">
        <v>2.5</v>
      </c>
      <c r="G2689" s="3">
        <v>76743</v>
      </c>
      <c r="H2689" s="3">
        <v>81.2</v>
      </c>
      <c r="I2689" s="3">
        <v>11.4</v>
      </c>
      <c r="J2689" s="3">
        <v>7.1</v>
      </c>
      <c r="K2689" s="3">
        <v>0.3</v>
      </c>
      <c r="L2689" s="3">
        <v>3.4</v>
      </c>
      <c r="M2689" t="str">
        <f>IF(acs2015_county_data[[#This Row],[PublicWork]]&gt;='Описательные характеристики'!$F$5,"да","нет")</f>
        <v>нет</v>
      </c>
      <c r="N2689" t="str">
        <f>IF(acs2015_county_data[[#This Row],[Unemployment]]&gt;='Описательные характеристики'!$I$5,"да","нет")</f>
        <v>нет</v>
      </c>
    </row>
    <row r="2690" spans="1:14" x14ac:dyDescent="0.35">
      <c r="A2690">
        <v>48331</v>
      </c>
      <c r="B2690" t="s">
        <v>1051</v>
      </c>
      <c r="C2690" t="s">
        <v>1638</v>
      </c>
      <c r="D2690" s="2">
        <v>24344</v>
      </c>
      <c r="E2690" s="2">
        <v>22130</v>
      </c>
      <c r="F2690" s="3">
        <v>4.5999999999999996</v>
      </c>
      <c r="G2690" s="3">
        <v>9212</v>
      </c>
      <c r="H2690" s="3">
        <v>68.5</v>
      </c>
      <c r="I2690" s="3">
        <v>21.3</v>
      </c>
      <c r="J2690" s="3">
        <v>9.8000000000000007</v>
      </c>
      <c r="K2690" s="3">
        <v>0.4</v>
      </c>
      <c r="L2690" s="3">
        <v>9.6</v>
      </c>
      <c r="M2690" t="str">
        <f>IF(acs2015_county_data[[#This Row],[PublicWork]]&gt;='Описательные характеристики'!$F$5,"да","нет")</f>
        <v>да</v>
      </c>
      <c r="N2690" t="str">
        <f>IF(acs2015_county_data[[#This Row],[Unemployment]]&gt;='Описательные характеристики'!$I$5,"да","нет")</f>
        <v>да</v>
      </c>
    </row>
    <row r="2691" spans="1:14" x14ac:dyDescent="0.35">
      <c r="A2691">
        <v>48333</v>
      </c>
      <c r="B2691" t="s">
        <v>1051</v>
      </c>
      <c r="C2691" t="s">
        <v>624</v>
      </c>
      <c r="D2691" s="2">
        <v>4875</v>
      </c>
      <c r="E2691" s="2">
        <v>22804</v>
      </c>
      <c r="F2691" s="3">
        <v>3.8</v>
      </c>
      <c r="G2691" s="3">
        <v>1887</v>
      </c>
      <c r="H2691" s="3">
        <v>71.3</v>
      </c>
      <c r="I2691" s="3">
        <v>19.5</v>
      </c>
      <c r="J2691" s="3">
        <v>9</v>
      </c>
      <c r="K2691" s="3">
        <v>0.2</v>
      </c>
      <c r="L2691" s="3">
        <v>3.6</v>
      </c>
      <c r="M2691" t="str">
        <f>IF(acs2015_county_data[[#This Row],[PublicWork]]&gt;='Описательные характеристики'!$F$5,"да","нет")</f>
        <v>да</v>
      </c>
      <c r="N2691" t="str">
        <f>IF(acs2015_county_data[[#This Row],[Unemployment]]&gt;='Описательные характеристики'!$I$5,"да","нет")</f>
        <v>нет</v>
      </c>
    </row>
    <row r="2692" spans="1:14" x14ac:dyDescent="0.35">
      <c r="A2692">
        <v>48335</v>
      </c>
      <c r="B2692" t="s">
        <v>1051</v>
      </c>
      <c r="C2692" t="s">
        <v>423</v>
      </c>
      <c r="D2692" s="2">
        <v>9169</v>
      </c>
      <c r="E2692" s="2">
        <v>18764</v>
      </c>
      <c r="F2692" s="3">
        <v>3.5</v>
      </c>
      <c r="G2692" s="3">
        <v>2955</v>
      </c>
      <c r="H2692" s="3">
        <v>66.7</v>
      </c>
      <c r="I2692" s="3">
        <v>25.9</v>
      </c>
      <c r="J2692" s="3">
        <v>7</v>
      </c>
      <c r="K2692" s="3">
        <v>0.4</v>
      </c>
      <c r="L2692" s="3">
        <v>5.5</v>
      </c>
      <c r="M2692" t="str">
        <f>IF(acs2015_county_data[[#This Row],[PublicWork]]&gt;='Описательные характеристики'!$F$5,"да","нет")</f>
        <v>да</v>
      </c>
      <c r="N2692" t="str">
        <f>IF(acs2015_county_data[[#This Row],[Unemployment]]&gt;='Описательные характеристики'!$I$5,"да","нет")</f>
        <v>нет</v>
      </c>
    </row>
    <row r="2693" spans="1:14" x14ac:dyDescent="0.35">
      <c r="A2693">
        <v>48337</v>
      </c>
      <c r="B2693" t="s">
        <v>1051</v>
      </c>
      <c r="C2693" t="s">
        <v>1639</v>
      </c>
      <c r="D2693" s="2">
        <v>19478</v>
      </c>
      <c r="E2693" s="2">
        <v>25846</v>
      </c>
      <c r="F2693" s="3">
        <v>5.8</v>
      </c>
      <c r="G2693" s="3">
        <v>8193</v>
      </c>
      <c r="H2693" s="3">
        <v>76.400000000000006</v>
      </c>
      <c r="I2693" s="3">
        <v>13.3</v>
      </c>
      <c r="J2693" s="3">
        <v>9.9</v>
      </c>
      <c r="K2693" s="3">
        <v>0.4</v>
      </c>
      <c r="L2693" s="3">
        <v>6.6</v>
      </c>
      <c r="M2693" t="str">
        <f>IF(acs2015_county_data[[#This Row],[PublicWork]]&gt;='Описательные характеристики'!$F$5,"да","нет")</f>
        <v>нет</v>
      </c>
      <c r="N2693" t="str">
        <f>IF(acs2015_county_data[[#This Row],[Unemployment]]&gt;='Описательные характеристики'!$I$5,"да","нет")</f>
        <v>нет</v>
      </c>
    </row>
    <row r="2694" spans="1:14" x14ac:dyDescent="0.35">
      <c r="A2694">
        <v>48339</v>
      </c>
      <c r="B2694" t="s">
        <v>1051</v>
      </c>
      <c r="C2694" t="s">
        <v>158</v>
      </c>
      <c r="D2694" s="2">
        <v>502586</v>
      </c>
      <c r="E2694" s="2">
        <v>34215</v>
      </c>
      <c r="F2694" s="3">
        <v>4.9000000000000004</v>
      </c>
      <c r="G2694" s="3">
        <v>230258</v>
      </c>
      <c r="H2694" s="3">
        <v>80.400000000000006</v>
      </c>
      <c r="I2694" s="3">
        <v>11.7</v>
      </c>
      <c r="J2694" s="3">
        <v>7.8</v>
      </c>
      <c r="K2694" s="3">
        <v>0.1</v>
      </c>
      <c r="L2694" s="3">
        <v>6.1</v>
      </c>
      <c r="M2694" t="str">
        <f>IF(acs2015_county_data[[#This Row],[PublicWork]]&gt;='Описательные характеристики'!$F$5,"да","нет")</f>
        <v>нет</v>
      </c>
      <c r="N2694" t="str">
        <f>IF(acs2015_county_data[[#This Row],[Unemployment]]&gt;='Описательные характеристики'!$I$5,"да","нет")</f>
        <v>нет</v>
      </c>
    </row>
    <row r="2695" spans="1:14" x14ac:dyDescent="0.35">
      <c r="A2695">
        <v>48341</v>
      </c>
      <c r="B2695" t="s">
        <v>1051</v>
      </c>
      <c r="C2695" t="s">
        <v>1258</v>
      </c>
      <c r="D2695" s="2">
        <v>22281</v>
      </c>
      <c r="E2695" s="2">
        <v>19495</v>
      </c>
      <c r="F2695" s="3">
        <v>1.6</v>
      </c>
      <c r="G2695" s="3">
        <v>10714</v>
      </c>
      <c r="H2695" s="3">
        <v>82</v>
      </c>
      <c r="I2695" s="3">
        <v>11.7</v>
      </c>
      <c r="J2695" s="3">
        <v>5.9</v>
      </c>
      <c r="K2695" s="3">
        <v>0.4</v>
      </c>
      <c r="L2695" s="3">
        <v>4.0999999999999996</v>
      </c>
      <c r="M2695" t="str">
        <f>IF(acs2015_county_data[[#This Row],[PublicWork]]&gt;='Описательные характеристики'!$F$5,"да","нет")</f>
        <v>нет</v>
      </c>
      <c r="N2695" t="str">
        <f>IF(acs2015_county_data[[#This Row],[Unemployment]]&gt;='Описательные характеристики'!$I$5,"да","нет")</f>
        <v>нет</v>
      </c>
    </row>
    <row r="2696" spans="1:14" x14ac:dyDescent="0.35">
      <c r="A2696">
        <v>48343</v>
      </c>
      <c r="B2696" t="s">
        <v>1051</v>
      </c>
      <c r="C2696" t="s">
        <v>676</v>
      </c>
      <c r="D2696" s="2">
        <v>12700</v>
      </c>
      <c r="E2696" s="2">
        <v>20900</v>
      </c>
      <c r="F2696" s="3">
        <v>5.4</v>
      </c>
      <c r="G2696" s="3">
        <v>4588</v>
      </c>
      <c r="H2696" s="3">
        <v>75.3</v>
      </c>
      <c r="I2696" s="3">
        <v>17.5</v>
      </c>
      <c r="J2696" s="3">
        <v>7.1</v>
      </c>
      <c r="K2696" s="3">
        <v>0</v>
      </c>
      <c r="L2696" s="3">
        <v>12.7</v>
      </c>
      <c r="M2696" t="str">
        <f>IF(acs2015_county_data[[#This Row],[PublicWork]]&gt;='Описательные характеристики'!$F$5,"да","нет")</f>
        <v>да</v>
      </c>
      <c r="N2696" t="str">
        <f>IF(acs2015_county_data[[#This Row],[Unemployment]]&gt;='Описательные характеристики'!$I$5,"да","нет")</f>
        <v>да</v>
      </c>
    </row>
    <row r="2697" spans="1:14" x14ac:dyDescent="0.35">
      <c r="A2697">
        <v>48345</v>
      </c>
      <c r="B2697" t="s">
        <v>1051</v>
      </c>
      <c r="C2697" t="s">
        <v>1640</v>
      </c>
      <c r="D2697" s="2">
        <v>1071</v>
      </c>
      <c r="E2697" s="2">
        <v>20322</v>
      </c>
      <c r="F2697" s="3">
        <v>2.9</v>
      </c>
      <c r="G2697" s="3">
        <v>459</v>
      </c>
      <c r="H2697" s="3">
        <v>65.599999999999994</v>
      </c>
      <c r="I2697" s="3">
        <v>21.6</v>
      </c>
      <c r="J2697" s="3">
        <v>12.9</v>
      </c>
      <c r="K2697" s="3">
        <v>0</v>
      </c>
      <c r="L2697" s="3">
        <v>11</v>
      </c>
      <c r="M2697" t="str">
        <f>IF(acs2015_county_data[[#This Row],[PublicWork]]&gt;='Описательные характеристики'!$F$5,"да","нет")</f>
        <v>да</v>
      </c>
      <c r="N2697" t="str">
        <f>IF(acs2015_county_data[[#This Row],[Unemployment]]&gt;='Описательные характеристики'!$I$5,"да","нет")</f>
        <v>да</v>
      </c>
    </row>
    <row r="2698" spans="1:14" x14ac:dyDescent="0.35">
      <c r="A2698">
        <v>48347</v>
      </c>
      <c r="B2698" t="s">
        <v>1051</v>
      </c>
      <c r="C2698" t="s">
        <v>1641</v>
      </c>
      <c r="D2698" s="2">
        <v>65531</v>
      </c>
      <c r="E2698" s="2">
        <v>21113</v>
      </c>
      <c r="F2698" s="3">
        <v>3</v>
      </c>
      <c r="G2698" s="3">
        <v>27638</v>
      </c>
      <c r="H2698" s="3">
        <v>72</v>
      </c>
      <c r="I2698" s="3">
        <v>20</v>
      </c>
      <c r="J2698" s="3">
        <v>7.9</v>
      </c>
      <c r="K2698" s="3">
        <v>0.1</v>
      </c>
      <c r="L2698" s="3">
        <v>8.6</v>
      </c>
      <c r="M2698" t="str">
        <f>IF(acs2015_county_data[[#This Row],[PublicWork]]&gt;='Описательные характеристики'!$F$5,"да","нет")</f>
        <v>да</v>
      </c>
      <c r="N2698" t="str">
        <f>IF(acs2015_county_data[[#This Row],[Unemployment]]&gt;='Описательные характеристики'!$I$5,"да","нет")</f>
        <v>да</v>
      </c>
    </row>
    <row r="2699" spans="1:14" x14ac:dyDescent="0.35">
      <c r="A2699">
        <v>48349</v>
      </c>
      <c r="B2699" t="s">
        <v>1051</v>
      </c>
      <c r="C2699" t="s">
        <v>1642</v>
      </c>
      <c r="D2699" s="2">
        <v>48118</v>
      </c>
      <c r="E2699" s="2">
        <v>20697</v>
      </c>
      <c r="F2699" s="3">
        <v>3.6</v>
      </c>
      <c r="G2699" s="3">
        <v>20159</v>
      </c>
      <c r="H2699" s="3">
        <v>74.8</v>
      </c>
      <c r="I2699" s="3">
        <v>17.3</v>
      </c>
      <c r="J2699" s="3">
        <v>7.8</v>
      </c>
      <c r="K2699" s="3">
        <v>0.2</v>
      </c>
      <c r="L2699" s="3">
        <v>10.9</v>
      </c>
      <c r="M2699" t="str">
        <f>IF(acs2015_county_data[[#This Row],[PublicWork]]&gt;='Описательные характеристики'!$F$5,"да","нет")</f>
        <v>да</v>
      </c>
      <c r="N2699" t="str">
        <f>IF(acs2015_county_data[[#This Row],[Unemployment]]&gt;='Описательные характеристики'!$I$5,"да","нет")</f>
        <v>да</v>
      </c>
    </row>
    <row r="2700" spans="1:14" x14ac:dyDescent="0.35">
      <c r="A2700">
        <v>48351</v>
      </c>
      <c r="B2700" t="s">
        <v>1051</v>
      </c>
      <c r="C2700" t="s">
        <v>160</v>
      </c>
      <c r="D2700" s="2">
        <v>14231</v>
      </c>
      <c r="E2700" s="2">
        <v>20428</v>
      </c>
      <c r="F2700" s="3">
        <v>1.5</v>
      </c>
      <c r="G2700" s="3">
        <v>4911</v>
      </c>
      <c r="H2700" s="3">
        <v>79.400000000000006</v>
      </c>
      <c r="I2700" s="3">
        <v>15.8</v>
      </c>
      <c r="J2700" s="3">
        <v>4.8</v>
      </c>
      <c r="K2700" s="3">
        <v>0</v>
      </c>
      <c r="L2700" s="3">
        <v>12.1</v>
      </c>
      <c r="M2700" t="str">
        <f>IF(acs2015_county_data[[#This Row],[PublicWork]]&gt;='Описательные характеристики'!$F$5,"да","нет")</f>
        <v>нет</v>
      </c>
      <c r="N2700" t="str">
        <f>IF(acs2015_county_data[[#This Row],[Unemployment]]&gt;='Описательные характеристики'!$I$5,"да","нет")</f>
        <v>да</v>
      </c>
    </row>
    <row r="2701" spans="1:14" x14ac:dyDescent="0.35">
      <c r="A2701">
        <v>48353</v>
      </c>
      <c r="B2701" t="s">
        <v>1051</v>
      </c>
      <c r="C2701" t="s">
        <v>1643</v>
      </c>
      <c r="D2701" s="2">
        <v>15061</v>
      </c>
      <c r="E2701" s="2">
        <v>20444</v>
      </c>
      <c r="F2701" s="3">
        <v>1.5</v>
      </c>
      <c r="G2701" s="3">
        <v>6403</v>
      </c>
      <c r="H2701" s="3">
        <v>76.099999999999994</v>
      </c>
      <c r="I2701" s="3">
        <v>17.100000000000001</v>
      </c>
      <c r="J2701" s="3">
        <v>6.5</v>
      </c>
      <c r="K2701" s="3">
        <v>0.3</v>
      </c>
      <c r="L2701" s="3">
        <v>7.7</v>
      </c>
      <c r="M2701" t="str">
        <f>IF(acs2015_county_data[[#This Row],[PublicWork]]&gt;='Описательные характеристики'!$F$5,"да","нет")</f>
        <v>да</v>
      </c>
      <c r="N2701" t="str">
        <f>IF(acs2015_county_data[[#This Row],[Unemployment]]&gt;='Описательные характеристики'!$I$5,"да","нет")</f>
        <v>да</v>
      </c>
    </row>
    <row r="2702" spans="1:14" x14ac:dyDescent="0.35">
      <c r="A2702">
        <v>48355</v>
      </c>
      <c r="B2702" t="s">
        <v>1051</v>
      </c>
      <c r="C2702" t="s">
        <v>1644</v>
      </c>
      <c r="D2702" s="2">
        <v>352060</v>
      </c>
      <c r="E2702" s="2">
        <v>25176</v>
      </c>
      <c r="F2702" s="3">
        <v>2.2000000000000002</v>
      </c>
      <c r="G2702" s="3">
        <v>162895</v>
      </c>
      <c r="H2702" s="3">
        <v>76.599999999999994</v>
      </c>
      <c r="I2702" s="3">
        <v>16.3</v>
      </c>
      <c r="J2702" s="3">
        <v>6.9</v>
      </c>
      <c r="K2702" s="3">
        <v>0.2</v>
      </c>
      <c r="L2702" s="3">
        <v>6.6</v>
      </c>
      <c r="M2702" t="str">
        <f>IF(acs2015_county_data[[#This Row],[PublicWork]]&gt;='Описательные характеристики'!$F$5,"да","нет")</f>
        <v>да</v>
      </c>
      <c r="N2702" t="str">
        <f>IF(acs2015_county_data[[#This Row],[Unemployment]]&gt;='Описательные характеристики'!$I$5,"да","нет")</f>
        <v>нет</v>
      </c>
    </row>
    <row r="2703" spans="1:14" x14ac:dyDescent="0.35">
      <c r="A2703">
        <v>48357</v>
      </c>
      <c r="B2703" t="s">
        <v>1051</v>
      </c>
      <c r="C2703" t="s">
        <v>1645</v>
      </c>
      <c r="D2703" s="2">
        <v>10642</v>
      </c>
      <c r="E2703" s="2">
        <v>25995</v>
      </c>
      <c r="F2703" s="3">
        <v>2.1</v>
      </c>
      <c r="G2703" s="3">
        <v>5081</v>
      </c>
      <c r="H2703" s="3">
        <v>80.099999999999994</v>
      </c>
      <c r="I2703" s="3">
        <v>10.4</v>
      </c>
      <c r="J2703" s="3">
        <v>9.1999999999999993</v>
      </c>
      <c r="K2703" s="3">
        <v>0.3</v>
      </c>
      <c r="L2703" s="3">
        <v>5.2</v>
      </c>
      <c r="M2703" t="str">
        <f>IF(acs2015_county_data[[#This Row],[PublicWork]]&gt;='Описательные характеристики'!$F$5,"да","нет")</f>
        <v>нет</v>
      </c>
      <c r="N2703" t="str">
        <f>IF(acs2015_county_data[[#This Row],[Unemployment]]&gt;='Описательные характеристики'!$I$5,"да","нет")</f>
        <v>нет</v>
      </c>
    </row>
    <row r="2704" spans="1:14" x14ac:dyDescent="0.35">
      <c r="A2704">
        <v>48359</v>
      </c>
      <c r="B2704" t="s">
        <v>1051</v>
      </c>
      <c r="C2704" t="s">
        <v>754</v>
      </c>
      <c r="D2704" s="2">
        <v>2071</v>
      </c>
      <c r="E2704" s="2">
        <v>23452</v>
      </c>
      <c r="F2704" s="3">
        <v>5.2</v>
      </c>
      <c r="G2704" s="3">
        <v>773</v>
      </c>
      <c r="H2704" s="3">
        <v>73.2</v>
      </c>
      <c r="I2704" s="3">
        <v>20.100000000000001</v>
      </c>
      <c r="J2704" s="3">
        <v>6.7</v>
      </c>
      <c r="K2704" s="3">
        <v>0</v>
      </c>
      <c r="L2704" s="3">
        <v>7.4</v>
      </c>
      <c r="M2704" t="str">
        <f>IF(acs2015_county_data[[#This Row],[PublicWork]]&gt;='Описательные характеристики'!$F$5,"да","нет")</f>
        <v>да</v>
      </c>
      <c r="N2704" t="str">
        <f>IF(acs2015_county_data[[#This Row],[Unemployment]]&gt;='Описательные характеристики'!$I$5,"да","нет")</f>
        <v>нет</v>
      </c>
    </row>
    <row r="2705" spans="1:14" x14ac:dyDescent="0.35">
      <c r="A2705">
        <v>48361</v>
      </c>
      <c r="B2705" t="s">
        <v>1051</v>
      </c>
      <c r="C2705" t="s">
        <v>208</v>
      </c>
      <c r="D2705" s="2">
        <v>83217</v>
      </c>
      <c r="E2705" s="2">
        <v>25489</v>
      </c>
      <c r="F2705" s="3">
        <v>1.8</v>
      </c>
      <c r="G2705" s="3">
        <v>35616</v>
      </c>
      <c r="H2705" s="3">
        <v>80.8</v>
      </c>
      <c r="I2705" s="3">
        <v>13.7</v>
      </c>
      <c r="J2705" s="3">
        <v>5.4</v>
      </c>
      <c r="K2705" s="3">
        <v>0.1</v>
      </c>
      <c r="L2705" s="3">
        <v>8.4</v>
      </c>
      <c r="M2705" t="str">
        <f>IF(acs2015_county_data[[#This Row],[PublicWork]]&gt;='Описательные характеристики'!$F$5,"да","нет")</f>
        <v>нет</v>
      </c>
      <c r="N2705" t="str">
        <f>IF(acs2015_county_data[[#This Row],[Unemployment]]&gt;='Описательные характеристики'!$I$5,"да","нет")</f>
        <v>да</v>
      </c>
    </row>
    <row r="2706" spans="1:14" x14ac:dyDescent="0.35">
      <c r="A2706">
        <v>48363</v>
      </c>
      <c r="B2706" t="s">
        <v>1051</v>
      </c>
      <c r="C2706" t="s">
        <v>1646</v>
      </c>
      <c r="D2706" s="2">
        <v>27921</v>
      </c>
      <c r="E2706" s="2">
        <v>23013</v>
      </c>
      <c r="F2706" s="3">
        <v>3.6</v>
      </c>
      <c r="G2706" s="3">
        <v>11291</v>
      </c>
      <c r="H2706" s="3">
        <v>76.7</v>
      </c>
      <c r="I2706" s="3">
        <v>14.1</v>
      </c>
      <c r="J2706" s="3">
        <v>9</v>
      </c>
      <c r="K2706" s="3">
        <v>0.2</v>
      </c>
      <c r="L2706" s="3">
        <v>8.3000000000000007</v>
      </c>
      <c r="M2706" t="str">
        <f>IF(acs2015_county_data[[#This Row],[PublicWork]]&gt;='Описательные характеристики'!$F$5,"да","нет")</f>
        <v>нет</v>
      </c>
      <c r="N2706" t="str">
        <f>IF(acs2015_county_data[[#This Row],[Unemployment]]&gt;='Описательные характеристики'!$I$5,"да","нет")</f>
        <v>да</v>
      </c>
    </row>
    <row r="2707" spans="1:14" x14ac:dyDescent="0.35">
      <c r="A2707">
        <v>48365</v>
      </c>
      <c r="B2707" t="s">
        <v>1051</v>
      </c>
      <c r="C2707" t="s">
        <v>999</v>
      </c>
      <c r="D2707" s="2">
        <v>23900</v>
      </c>
      <c r="E2707" s="2">
        <v>25693</v>
      </c>
      <c r="F2707" s="3">
        <v>2.2999999999999998</v>
      </c>
      <c r="G2707" s="3">
        <v>10154</v>
      </c>
      <c r="H2707" s="3">
        <v>81.5</v>
      </c>
      <c r="I2707" s="3">
        <v>11.7</v>
      </c>
      <c r="J2707" s="3">
        <v>6.9</v>
      </c>
      <c r="K2707" s="3">
        <v>0</v>
      </c>
      <c r="L2707" s="3">
        <v>5.7</v>
      </c>
      <c r="M2707" t="str">
        <f>IF(acs2015_county_data[[#This Row],[PublicWork]]&gt;='Описательные характеристики'!$F$5,"да","нет")</f>
        <v>нет</v>
      </c>
      <c r="N2707" t="str">
        <f>IF(acs2015_county_data[[#This Row],[Unemployment]]&gt;='Описательные характеристики'!$I$5,"да","нет")</f>
        <v>нет</v>
      </c>
    </row>
    <row r="2708" spans="1:14" x14ac:dyDescent="0.35">
      <c r="A2708">
        <v>48367</v>
      </c>
      <c r="B2708" t="s">
        <v>1051</v>
      </c>
      <c r="C2708" t="s">
        <v>1647</v>
      </c>
      <c r="D2708" s="2">
        <v>121418</v>
      </c>
      <c r="E2708" s="2">
        <v>31923</v>
      </c>
      <c r="F2708" s="3">
        <v>4.2</v>
      </c>
      <c r="G2708" s="3">
        <v>56235</v>
      </c>
      <c r="H2708" s="3">
        <v>76.599999999999994</v>
      </c>
      <c r="I2708" s="3">
        <v>15.2</v>
      </c>
      <c r="J2708" s="3">
        <v>8</v>
      </c>
      <c r="K2708" s="3">
        <v>0.2</v>
      </c>
      <c r="L2708" s="3">
        <v>6.1</v>
      </c>
      <c r="M2708" t="str">
        <f>IF(acs2015_county_data[[#This Row],[PublicWork]]&gt;='Описательные характеристики'!$F$5,"да","нет")</f>
        <v>нет</v>
      </c>
      <c r="N2708" t="str">
        <f>IF(acs2015_county_data[[#This Row],[Unemployment]]&gt;='Описательные характеристики'!$I$5,"да","нет")</f>
        <v>нет</v>
      </c>
    </row>
    <row r="2709" spans="1:14" x14ac:dyDescent="0.35">
      <c r="A2709">
        <v>48369</v>
      </c>
      <c r="B2709" t="s">
        <v>1051</v>
      </c>
      <c r="C2709" t="s">
        <v>1648</v>
      </c>
      <c r="D2709" s="2">
        <v>10004</v>
      </c>
      <c r="E2709" s="2">
        <v>20381</v>
      </c>
      <c r="F2709" s="3">
        <v>3.5</v>
      </c>
      <c r="G2709" s="3">
        <v>4665</v>
      </c>
      <c r="H2709" s="3">
        <v>77.599999999999994</v>
      </c>
      <c r="I2709" s="3">
        <v>12.5</v>
      </c>
      <c r="J2709" s="3">
        <v>9.3000000000000007</v>
      </c>
      <c r="K2709" s="3">
        <v>0.5</v>
      </c>
      <c r="L2709" s="3">
        <v>3.6</v>
      </c>
      <c r="M2709" t="str">
        <f>IF(acs2015_county_data[[#This Row],[PublicWork]]&gt;='Описательные характеристики'!$F$5,"да","нет")</f>
        <v>нет</v>
      </c>
      <c r="N2709" t="str">
        <f>IF(acs2015_county_data[[#This Row],[Unemployment]]&gt;='Описательные характеристики'!$I$5,"да","нет")</f>
        <v>нет</v>
      </c>
    </row>
    <row r="2710" spans="1:14" x14ac:dyDescent="0.35">
      <c r="A2710">
        <v>48371</v>
      </c>
      <c r="B2710" t="s">
        <v>1051</v>
      </c>
      <c r="C2710" t="s">
        <v>1649</v>
      </c>
      <c r="D2710" s="2">
        <v>15807</v>
      </c>
      <c r="E2710" s="2">
        <v>19772</v>
      </c>
      <c r="F2710" s="3">
        <v>1.4</v>
      </c>
      <c r="G2710" s="3">
        <v>6447</v>
      </c>
      <c r="H2710" s="3">
        <v>68.599999999999994</v>
      </c>
      <c r="I2710" s="3">
        <v>24.5</v>
      </c>
      <c r="J2710" s="3">
        <v>6</v>
      </c>
      <c r="K2710" s="3">
        <v>0.9</v>
      </c>
      <c r="L2710" s="3">
        <v>4.8</v>
      </c>
      <c r="M2710" t="str">
        <f>IF(acs2015_county_data[[#This Row],[PublicWork]]&gt;='Описательные характеристики'!$F$5,"да","нет")</f>
        <v>да</v>
      </c>
      <c r="N2710" t="str">
        <f>IF(acs2015_county_data[[#This Row],[Unemployment]]&gt;='Описательные характеристики'!$I$5,"да","нет")</f>
        <v>нет</v>
      </c>
    </row>
    <row r="2711" spans="1:14" x14ac:dyDescent="0.35">
      <c r="A2711">
        <v>48373</v>
      </c>
      <c r="B2711" t="s">
        <v>1051</v>
      </c>
      <c r="C2711" t="s">
        <v>164</v>
      </c>
      <c r="D2711" s="2">
        <v>46113</v>
      </c>
      <c r="E2711" s="2">
        <v>21010</v>
      </c>
      <c r="F2711" s="3">
        <v>3.4</v>
      </c>
      <c r="G2711" s="3">
        <v>16267</v>
      </c>
      <c r="H2711" s="3">
        <v>68.7</v>
      </c>
      <c r="I2711" s="3">
        <v>22.2</v>
      </c>
      <c r="J2711" s="3">
        <v>8.6999999999999993</v>
      </c>
      <c r="K2711" s="3">
        <v>0.4</v>
      </c>
      <c r="L2711" s="3">
        <v>10</v>
      </c>
      <c r="M2711" t="str">
        <f>IF(acs2015_county_data[[#This Row],[PublicWork]]&gt;='Описательные характеристики'!$F$5,"да","нет")</f>
        <v>да</v>
      </c>
      <c r="N2711" t="str">
        <f>IF(acs2015_county_data[[#This Row],[Unemployment]]&gt;='Описательные характеристики'!$I$5,"да","нет")</f>
        <v>да</v>
      </c>
    </row>
    <row r="2712" spans="1:14" x14ac:dyDescent="0.35">
      <c r="A2712">
        <v>48375</v>
      </c>
      <c r="B2712" t="s">
        <v>1051</v>
      </c>
      <c r="C2712" t="s">
        <v>1434</v>
      </c>
      <c r="D2712" s="2">
        <v>122352</v>
      </c>
      <c r="E2712" s="2">
        <v>20283</v>
      </c>
      <c r="F2712" s="3">
        <v>2.7</v>
      </c>
      <c r="G2712" s="3">
        <v>53420</v>
      </c>
      <c r="H2712" s="3">
        <v>81.2</v>
      </c>
      <c r="I2712" s="3">
        <v>12.4</v>
      </c>
      <c r="J2712" s="3">
        <v>6.2</v>
      </c>
      <c r="K2712" s="3">
        <v>0.2</v>
      </c>
      <c r="L2712" s="3">
        <v>5.3</v>
      </c>
      <c r="M2712" t="str">
        <f>IF(acs2015_county_data[[#This Row],[PublicWork]]&gt;='Описательные характеристики'!$F$5,"да","нет")</f>
        <v>нет</v>
      </c>
      <c r="N2712" t="str">
        <f>IF(acs2015_county_data[[#This Row],[Unemployment]]&gt;='Описательные характеристики'!$I$5,"да","нет")</f>
        <v>нет</v>
      </c>
    </row>
    <row r="2713" spans="1:14" x14ac:dyDescent="0.35">
      <c r="A2713">
        <v>48377</v>
      </c>
      <c r="B2713" t="s">
        <v>1051</v>
      </c>
      <c r="C2713" t="s">
        <v>1650</v>
      </c>
      <c r="D2713" s="2">
        <v>7304</v>
      </c>
      <c r="E2713" s="2">
        <v>16507</v>
      </c>
      <c r="F2713" s="3">
        <v>11.4</v>
      </c>
      <c r="G2713" s="3">
        <v>2610</v>
      </c>
      <c r="H2713" s="3">
        <v>54.9</v>
      </c>
      <c r="I2713" s="3">
        <v>33.200000000000003</v>
      </c>
      <c r="J2713" s="3">
        <v>11.3</v>
      </c>
      <c r="K2713" s="3">
        <v>0.6</v>
      </c>
      <c r="L2713" s="3">
        <v>9.6</v>
      </c>
      <c r="M2713" t="str">
        <f>IF(acs2015_county_data[[#This Row],[PublicWork]]&gt;='Описательные характеристики'!$F$5,"да","нет")</f>
        <v>да</v>
      </c>
      <c r="N2713" t="str">
        <f>IF(acs2015_county_data[[#This Row],[Unemployment]]&gt;='Описательные характеристики'!$I$5,"да","нет")</f>
        <v>да</v>
      </c>
    </row>
    <row r="2714" spans="1:14" x14ac:dyDescent="0.35">
      <c r="A2714">
        <v>48379</v>
      </c>
      <c r="B2714" t="s">
        <v>1051</v>
      </c>
      <c r="C2714" t="s">
        <v>1651</v>
      </c>
      <c r="D2714" s="2">
        <v>11037</v>
      </c>
      <c r="E2714" s="2">
        <v>23443</v>
      </c>
      <c r="F2714" s="3">
        <v>3.6</v>
      </c>
      <c r="G2714" s="3">
        <v>4468</v>
      </c>
      <c r="H2714" s="3">
        <v>75.3</v>
      </c>
      <c r="I2714" s="3">
        <v>15.6</v>
      </c>
      <c r="J2714" s="3">
        <v>9</v>
      </c>
      <c r="K2714" s="3">
        <v>0.1</v>
      </c>
      <c r="L2714" s="3">
        <v>7.9</v>
      </c>
      <c r="M2714" t="str">
        <f>IF(acs2015_county_data[[#This Row],[PublicWork]]&gt;='Описательные характеристики'!$F$5,"да","нет")</f>
        <v>нет</v>
      </c>
      <c r="N2714" t="str">
        <f>IF(acs2015_county_data[[#This Row],[Unemployment]]&gt;='Описательные характеристики'!$I$5,"да","нет")</f>
        <v>да</v>
      </c>
    </row>
    <row r="2715" spans="1:14" x14ac:dyDescent="0.35">
      <c r="A2715">
        <v>48381</v>
      </c>
      <c r="B2715" t="s">
        <v>1051</v>
      </c>
      <c r="C2715" t="s">
        <v>1652</v>
      </c>
      <c r="D2715" s="2">
        <v>126782</v>
      </c>
      <c r="E2715" s="2">
        <v>30480</v>
      </c>
      <c r="F2715" s="3">
        <v>2.7</v>
      </c>
      <c r="G2715" s="3">
        <v>65270</v>
      </c>
      <c r="H2715" s="3">
        <v>75.400000000000006</v>
      </c>
      <c r="I2715" s="3">
        <v>17.5</v>
      </c>
      <c r="J2715" s="3">
        <v>7.1</v>
      </c>
      <c r="K2715" s="3">
        <v>0.1</v>
      </c>
      <c r="L2715" s="3">
        <v>3.9</v>
      </c>
      <c r="M2715" t="str">
        <f>IF(acs2015_county_data[[#This Row],[PublicWork]]&gt;='Описательные характеристики'!$F$5,"да","нет")</f>
        <v>да</v>
      </c>
      <c r="N2715" t="str">
        <f>IF(acs2015_county_data[[#This Row],[Unemployment]]&gt;='Описательные характеристики'!$I$5,"да","нет")</f>
        <v>нет</v>
      </c>
    </row>
    <row r="2716" spans="1:14" x14ac:dyDescent="0.35">
      <c r="A2716">
        <v>48383</v>
      </c>
      <c r="B2716" t="s">
        <v>1051</v>
      </c>
      <c r="C2716" t="s">
        <v>1653</v>
      </c>
      <c r="D2716" s="2">
        <v>3598</v>
      </c>
      <c r="E2716" s="2">
        <v>25238</v>
      </c>
      <c r="F2716" s="3">
        <v>1.3</v>
      </c>
      <c r="G2716" s="3">
        <v>1778</v>
      </c>
      <c r="H2716" s="3">
        <v>70</v>
      </c>
      <c r="I2716" s="3">
        <v>18.7</v>
      </c>
      <c r="J2716" s="3">
        <v>11.1</v>
      </c>
      <c r="K2716" s="3">
        <v>0.2</v>
      </c>
      <c r="L2716" s="3">
        <v>2.2000000000000002</v>
      </c>
      <c r="M2716" t="str">
        <f>IF(acs2015_county_data[[#This Row],[PublicWork]]&gt;='Описательные характеристики'!$F$5,"да","нет")</f>
        <v>да</v>
      </c>
      <c r="N2716" t="str">
        <f>IF(acs2015_county_data[[#This Row],[Unemployment]]&gt;='Описательные характеристики'!$I$5,"да","нет")</f>
        <v>нет</v>
      </c>
    </row>
    <row r="2717" spans="1:14" x14ac:dyDescent="0.35">
      <c r="A2717">
        <v>48385</v>
      </c>
      <c r="B2717" t="s">
        <v>1051</v>
      </c>
      <c r="C2717" t="s">
        <v>1654</v>
      </c>
      <c r="D2717" s="2">
        <v>3356</v>
      </c>
      <c r="E2717" s="2">
        <v>19549</v>
      </c>
      <c r="F2717" s="3">
        <v>15.7</v>
      </c>
      <c r="G2717" s="3">
        <v>996</v>
      </c>
      <c r="H2717" s="3">
        <v>61.8</v>
      </c>
      <c r="I2717" s="3">
        <v>20.5</v>
      </c>
      <c r="J2717" s="3">
        <v>17.7</v>
      </c>
      <c r="K2717" s="3">
        <v>0</v>
      </c>
      <c r="L2717" s="3">
        <v>12</v>
      </c>
      <c r="M2717" t="str">
        <f>IF(acs2015_county_data[[#This Row],[PublicWork]]&gt;='Описательные характеристики'!$F$5,"да","нет")</f>
        <v>да</v>
      </c>
      <c r="N2717" t="str">
        <f>IF(acs2015_county_data[[#This Row],[Unemployment]]&gt;='Описательные характеристики'!$I$5,"да","нет")</f>
        <v>да</v>
      </c>
    </row>
    <row r="2718" spans="1:14" x14ac:dyDescent="0.35">
      <c r="A2718">
        <v>48387</v>
      </c>
      <c r="B2718" t="s">
        <v>1051</v>
      </c>
      <c r="C2718" t="s">
        <v>795</v>
      </c>
      <c r="D2718" s="2">
        <v>12567</v>
      </c>
      <c r="E2718" s="2">
        <v>19482</v>
      </c>
      <c r="F2718" s="3">
        <v>3.2</v>
      </c>
      <c r="G2718" s="3">
        <v>4697</v>
      </c>
      <c r="H2718" s="3">
        <v>68.5</v>
      </c>
      <c r="I2718" s="3">
        <v>17.399999999999999</v>
      </c>
      <c r="J2718" s="3">
        <v>13.8</v>
      </c>
      <c r="K2718" s="3">
        <v>0.4</v>
      </c>
      <c r="L2718" s="3">
        <v>7.2</v>
      </c>
      <c r="M2718" t="str">
        <f>IF(acs2015_county_data[[#This Row],[PublicWork]]&gt;='Описательные характеристики'!$F$5,"да","нет")</f>
        <v>да</v>
      </c>
      <c r="N2718" t="str">
        <f>IF(acs2015_county_data[[#This Row],[Unemployment]]&gt;='Описательные характеристики'!$I$5,"да","нет")</f>
        <v>нет</v>
      </c>
    </row>
    <row r="2719" spans="1:14" x14ac:dyDescent="0.35">
      <c r="A2719">
        <v>48389</v>
      </c>
      <c r="B2719" t="s">
        <v>1051</v>
      </c>
      <c r="C2719" t="s">
        <v>1655</v>
      </c>
      <c r="D2719" s="2">
        <v>14179</v>
      </c>
      <c r="E2719" s="2">
        <v>17893</v>
      </c>
      <c r="F2719" s="3">
        <v>2.2999999999999998</v>
      </c>
      <c r="G2719" s="3">
        <v>4768</v>
      </c>
      <c r="H2719" s="3">
        <v>67.8</v>
      </c>
      <c r="I2719" s="3">
        <v>28.3</v>
      </c>
      <c r="J2719" s="3">
        <v>3.9</v>
      </c>
      <c r="K2719" s="3">
        <v>0</v>
      </c>
      <c r="L2719" s="3">
        <v>6.7</v>
      </c>
      <c r="M2719" t="str">
        <f>IF(acs2015_county_data[[#This Row],[PublicWork]]&gt;='Описательные характеристики'!$F$5,"да","нет")</f>
        <v>да</v>
      </c>
      <c r="N2719" t="str">
        <f>IF(acs2015_county_data[[#This Row],[Unemployment]]&gt;='Описательные характеристики'!$I$5,"да","нет")</f>
        <v>нет</v>
      </c>
    </row>
    <row r="2720" spans="1:14" x14ac:dyDescent="0.35">
      <c r="A2720">
        <v>48391</v>
      </c>
      <c r="B2720" t="s">
        <v>1051</v>
      </c>
      <c r="C2720" t="s">
        <v>1656</v>
      </c>
      <c r="D2720" s="2">
        <v>7277</v>
      </c>
      <c r="E2720" s="2">
        <v>24902</v>
      </c>
      <c r="F2720" s="3">
        <v>2.4</v>
      </c>
      <c r="G2720" s="3">
        <v>3096</v>
      </c>
      <c r="H2720" s="3">
        <v>75.2</v>
      </c>
      <c r="I2720" s="3">
        <v>13.9</v>
      </c>
      <c r="J2720" s="3">
        <v>9.8000000000000007</v>
      </c>
      <c r="K2720" s="3">
        <v>1.2</v>
      </c>
      <c r="L2720" s="3">
        <v>6.7</v>
      </c>
      <c r="M2720" t="str">
        <f>IF(acs2015_county_data[[#This Row],[PublicWork]]&gt;='Описательные характеристики'!$F$5,"да","нет")</f>
        <v>нет</v>
      </c>
      <c r="N2720" t="str">
        <f>IF(acs2015_county_data[[#This Row],[Unemployment]]&gt;='Описательные характеристики'!$I$5,"да","нет")</f>
        <v>нет</v>
      </c>
    </row>
    <row r="2721" spans="1:14" x14ac:dyDescent="0.35">
      <c r="A2721">
        <v>48393</v>
      </c>
      <c r="B2721" t="s">
        <v>1051</v>
      </c>
      <c r="C2721" t="s">
        <v>1501</v>
      </c>
      <c r="D2721" s="2">
        <v>931</v>
      </c>
      <c r="E2721" s="2">
        <v>31314</v>
      </c>
      <c r="F2721" s="3">
        <v>5.7</v>
      </c>
      <c r="G2721" s="3">
        <v>423</v>
      </c>
      <c r="H2721" s="3">
        <v>59.1</v>
      </c>
      <c r="I2721" s="3">
        <v>23.2</v>
      </c>
      <c r="J2721" s="3">
        <v>17.7</v>
      </c>
      <c r="K2721" s="3">
        <v>0</v>
      </c>
      <c r="L2721" s="3">
        <v>1.9</v>
      </c>
      <c r="M2721" t="str">
        <f>IF(acs2015_county_data[[#This Row],[PublicWork]]&gt;='Описательные характеристики'!$F$5,"да","нет")</f>
        <v>да</v>
      </c>
      <c r="N2721" t="str">
        <f>IF(acs2015_county_data[[#This Row],[Unemployment]]&gt;='Описательные характеристики'!$I$5,"да","нет")</f>
        <v>нет</v>
      </c>
    </row>
    <row r="2722" spans="1:14" x14ac:dyDescent="0.35">
      <c r="A2722">
        <v>48395</v>
      </c>
      <c r="B2722" t="s">
        <v>1051</v>
      </c>
      <c r="C2722" t="s">
        <v>758</v>
      </c>
      <c r="D2722" s="2">
        <v>16532</v>
      </c>
      <c r="E2722" s="2">
        <v>21781</v>
      </c>
      <c r="F2722" s="3">
        <v>2.5</v>
      </c>
      <c r="G2722" s="3">
        <v>6776</v>
      </c>
      <c r="H2722" s="3">
        <v>69.8</v>
      </c>
      <c r="I2722" s="3">
        <v>22.4</v>
      </c>
      <c r="J2722" s="3">
        <v>7.6</v>
      </c>
      <c r="K2722" s="3">
        <v>0.1</v>
      </c>
      <c r="L2722" s="3">
        <v>9.1999999999999993</v>
      </c>
      <c r="M2722" t="str">
        <f>IF(acs2015_county_data[[#This Row],[PublicWork]]&gt;='Описательные характеристики'!$F$5,"да","нет")</f>
        <v>да</v>
      </c>
      <c r="N2722" t="str">
        <f>IF(acs2015_county_data[[#This Row],[Unemployment]]&gt;='Описательные характеристики'!$I$5,"да","нет")</f>
        <v>да</v>
      </c>
    </row>
    <row r="2723" spans="1:14" x14ac:dyDescent="0.35">
      <c r="A2723">
        <v>48397</v>
      </c>
      <c r="B2723" t="s">
        <v>1051</v>
      </c>
      <c r="C2723" t="s">
        <v>1657</v>
      </c>
      <c r="D2723" s="2">
        <v>85536</v>
      </c>
      <c r="E2723" s="2">
        <v>36163</v>
      </c>
      <c r="F2723" s="3">
        <v>5.7</v>
      </c>
      <c r="G2723" s="3">
        <v>41300</v>
      </c>
      <c r="H2723" s="3">
        <v>76.900000000000006</v>
      </c>
      <c r="I2723" s="3">
        <v>16.2</v>
      </c>
      <c r="J2723" s="3">
        <v>6.7</v>
      </c>
      <c r="K2723" s="3">
        <v>0.2</v>
      </c>
      <c r="L2723" s="3">
        <v>5.9</v>
      </c>
      <c r="M2723" t="str">
        <f>IF(acs2015_county_data[[#This Row],[PublicWork]]&gt;='Описательные характеристики'!$F$5,"да","нет")</f>
        <v>да</v>
      </c>
      <c r="N2723" t="str">
        <f>IF(acs2015_county_data[[#This Row],[Unemployment]]&gt;='Описательные характеристики'!$I$5,"да","нет")</f>
        <v>нет</v>
      </c>
    </row>
    <row r="2724" spans="1:14" x14ac:dyDescent="0.35">
      <c r="A2724">
        <v>48399</v>
      </c>
      <c r="B2724" t="s">
        <v>1051</v>
      </c>
      <c r="C2724" t="s">
        <v>1658</v>
      </c>
      <c r="D2724" s="2">
        <v>10445</v>
      </c>
      <c r="E2724" s="2">
        <v>21803</v>
      </c>
      <c r="F2724" s="3">
        <v>4.3</v>
      </c>
      <c r="G2724" s="3">
        <v>4292</v>
      </c>
      <c r="H2724" s="3">
        <v>67.7</v>
      </c>
      <c r="I2724" s="3">
        <v>19.899999999999999</v>
      </c>
      <c r="J2724" s="3">
        <v>12.1</v>
      </c>
      <c r="K2724" s="3">
        <v>0.4</v>
      </c>
      <c r="L2724" s="3">
        <v>3.4</v>
      </c>
      <c r="M2724" t="str">
        <f>IF(acs2015_county_data[[#This Row],[PublicWork]]&gt;='Описательные характеристики'!$F$5,"да","нет")</f>
        <v>да</v>
      </c>
      <c r="N2724" t="str">
        <f>IF(acs2015_county_data[[#This Row],[Unemployment]]&gt;='Описательные характеристики'!$I$5,"да","нет")</f>
        <v>нет</v>
      </c>
    </row>
    <row r="2725" spans="1:14" x14ac:dyDescent="0.35">
      <c r="A2725">
        <v>48401</v>
      </c>
      <c r="B2725" t="s">
        <v>1051</v>
      </c>
      <c r="C2725" t="s">
        <v>1659</v>
      </c>
      <c r="D2725" s="2">
        <v>53457</v>
      </c>
      <c r="E2725" s="2">
        <v>22272</v>
      </c>
      <c r="F2725" s="3">
        <v>3.6</v>
      </c>
      <c r="G2725" s="3">
        <v>21219</v>
      </c>
      <c r="H2725" s="3">
        <v>79.2</v>
      </c>
      <c r="I2725" s="3">
        <v>12.8</v>
      </c>
      <c r="J2725" s="3">
        <v>7.9</v>
      </c>
      <c r="K2725" s="3">
        <v>0.1</v>
      </c>
      <c r="L2725" s="3">
        <v>4.9000000000000004</v>
      </c>
      <c r="M2725" t="str">
        <f>IF(acs2015_county_data[[#This Row],[PublicWork]]&gt;='Описательные характеристики'!$F$5,"да","нет")</f>
        <v>нет</v>
      </c>
      <c r="N2725" t="str">
        <f>IF(acs2015_county_data[[#This Row],[Unemployment]]&gt;='Описательные характеристики'!$I$5,"да","нет")</f>
        <v>нет</v>
      </c>
    </row>
    <row r="2726" spans="1:14" x14ac:dyDescent="0.35">
      <c r="A2726">
        <v>48403</v>
      </c>
      <c r="B2726" t="s">
        <v>1051</v>
      </c>
      <c r="C2726" t="s">
        <v>796</v>
      </c>
      <c r="D2726" s="2">
        <v>10440</v>
      </c>
      <c r="E2726" s="2">
        <v>19511</v>
      </c>
      <c r="F2726" s="3">
        <v>5.8</v>
      </c>
      <c r="G2726" s="3">
        <v>2882</v>
      </c>
      <c r="H2726" s="3">
        <v>75.099999999999994</v>
      </c>
      <c r="I2726" s="3">
        <v>18.100000000000001</v>
      </c>
      <c r="J2726" s="3">
        <v>6.8</v>
      </c>
      <c r="K2726" s="3">
        <v>0</v>
      </c>
      <c r="L2726" s="3">
        <v>12.1</v>
      </c>
      <c r="M2726" t="str">
        <f>IF(acs2015_county_data[[#This Row],[PublicWork]]&gt;='Описательные характеристики'!$F$5,"да","нет")</f>
        <v>да</v>
      </c>
      <c r="N2726" t="str">
        <f>IF(acs2015_county_data[[#This Row],[Unemployment]]&gt;='Описательные характеристики'!$I$5,"да","нет")</f>
        <v>да</v>
      </c>
    </row>
    <row r="2727" spans="1:14" x14ac:dyDescent="0.35">
      <c r="A2727">
        <v>48405</v>
      </c>
      <c r="B2727" t="s">
        <v>1051</v>
      </c>
      <c r="C2727" t="s">
        <v>1660</v>
      </c>
      <c r="D2727" s="2">
        <v>8695</v>
      </c>
      <c r="E2727" s="2">
        <v>19213</v>
      </c>
      <c r="F2727" s="3">
        <v>1.3</v>
      </c>
      <c r="G2727" s="3">
        <v>2237</v>
      </c>
      <c r="H2727" s="3">
        <v>82</v>
      </c>
      <c r="I2727" s="3">
        <v>9.6999999999999993</v>
      </c>
      <c r="J2727" s="3">
        <v>8.3000000000000007</v>
      </c>
      <c r="K2727" s="3">
        <v>0</v>
      </c>
      <c r="L2727" s="3">
        <v>16.3</v>
      </c>
      <c r="M2727" t="str">
        <f>IF(acs2015_county_data[[#This Row],[PublicWork]]&gt;='Описательные характеристики'!$F$5,"да","нет")</f>
        <v>нет</v>
      </c>
      <c r="N2727" t="str">
        <f>IF(acs2015_county_data[[#This Row],[Unemployment]]&gt;='Описательные характеристики'!$I$5,"да","нет")</f>
        <v>да</v>
      </c>
    </row>
    <row r="2728" spans="1:14" x14ac:dyDescent="0.35">
      <c r="A2728">
        <v>48407</v>
      </c>
      <c r="B2728" t="s">
        <v>1051</v>
      </c>
      <c r="C2728" t="s">
        <v>1661</v>
      </c>
      <c r="D2728" s="2">
        <v>27023</v>
      </c>
      <c r="E2728" s="2">
        <v>22363</v>
      </c>
      <c r="F2728" s="3">
        <v>3.7</v>
      </c>
      <c r="G2728" s="3">
        <v>9976</v>
      </c>
      <c r="H2728" s="3">
        <v>69.099999999999994</v>
      </c>
      <c r="I2728" s="3">
        <v>23</v>
      </c>
      <c r="J2728" s="3">
        <v>7.6</v>
      </c>
      <c r="K2728" s="3">
        <v>0.2</v>
      </c>
      <c r="L2728" s="3">
        <v>12.6</v>
      </c>
      <c r="M2728" t="str">
        <f>IF(acs2015_county_data[[#This Row],[PublicWork]]&gt;='Описательные характеристики'!$F$5,"да","нет")</f>
        <v>да</v>
      </c>
      <c r="N2728" t="str">
        <f>IF(acs2015_county_data[[#This Row],[Unemployment]]&gt;='Описательные характеристики'!$I$5,"да","нет")</f>
        <v>да</v>
      </c>
    </row>
    <row r="2729" spans="1:14" x14ac:dyDescent="0.35">
      <c r="A2729">
        <v>48409</v>
      </c>
      <c r="B2729" t="s">
        <v>1051</v>
      </c>
      <c r="C2729" t="s">
        <v>1662</v>
      </c>
      <c r="D2729" s="2">
        <v>66070</v>
      </c>
      <c r="E2729" s="2">
        <v>24211</v>
      </c>
      <c r="F2729" s="3">
        <v>3.6</v>
      </c>
      <c r="G2729" s="3">
        <v>28627</v>
      </c>
      <c r="H2729" s="3">
        <v>77.599999999999994</v>
      </c>
      <c r="I2729" s="3">
        <v>17.899999999999999</v>
      </c>
      <c r="J2729" s="3">
        <v>4.4000000000000004</v>
      </c>
      <c r="K2729" s="3">
        <v>0.1</v>
      </c>
      <c r="L2729" s="3">
        <v>5.2</v>
      </c>
      <c r="M2729" t="str">
        <f>IF(acs2015_county_data[[#This Row],[PublicWork]]&gt;='Описательные характеристики'!$F$5,"да","нет")</f>
        <v>да</v>
      </c>
      <c r="N2729" t="str">
        <f>IF(acs2015_county_data[[#This Row],[Unemployment]]&gt;='Описательные характеристики'!$I$5,"да","нет")</f>
        <v>нет</v>
      </c>
    </row>
    <row r="2730" spans="1:14" x14ac:dyDescent="0.35">
      <c r="A2730">
        <v>48411</v>
      </c>
      <c r="B2730" t="s">
        <v>1051</v>
      </c>
      <c r="C2730" t="s">
        <v>1663</v>
      </c>
      <c r="D2730" s="2">
        <v>5893</v>
      </c>
      <c r="E2730" s="2">
        <v>19743</v>
      </c>
      <c r="F2730" s="3">
        <v>5.5</v>
      </c>
      <c r="G2730" s="3">
        <v>2329</v>
      </c>
      <c r="H2730" s="3">
        <v>64.5</v>
      </c>
      <c r="I2730" s="3">
        <v>21.7</v>
      </c>
      <c r="J2730" s="3">
        <v>13.5</v>
      </c>
      <c r="K2730" s="3">
        <v>0.3</v>
      </c>
      <c r="L2730" s="3">
        <v>4.9000000000000004</v>
      </c>
      <c r="M2730" t="str">
        <f>IF(acs2015_county_data[[#This Row],[PublicWork]]&gt;='Описательные характеристики'!$F$5,"да","нет")</f>
        <v>да</v>
      </c>
      <c r="N2730" t="str">
        <f>IF(acs2015_county_data[[#This Row],[Unemployment]]&gt;='Описательные характеристики'!$I$5,"да","нет")</f>
        <v>нет</v>
      </c>
    </row>
    <row r="2731" spans="1:14" x14ac:dyDescent="0.35">
      <c r="A2731">
        <v>48413</v>
      </c>
      <c r="B2731" t="s">
        <v>1051</v>
      </c>
      <c r="C2731" t="s">
        <v>1664</v>
      </c>
      <c r="D2731" s="2">
        <v>3224</v>
      </c>
      <c r="E2731" s="2">
        <v>25199</v>
      </c>
      <c r="F2731" s="3">
        <v>6</v>
      </c>
      <c r="G2731" s="3">
        <v>1499</v>
      </c>
      <c r="H2731" s="3">
        <v>67.400000000000006</v>
      </c>
      <c r="I2731" s="3">
        <v>23.5</v>
      </c>
      <c r="J2731" s="3">
        <v>9.1</v>
      </c>
      <c r="K2731" s="3">
        <v>0</v>
      </c>
      <c r="L2731" s="3">
        <v>4.0999999999999996</v>
      </c>
      <c r="M2731" t="str">
        <f>IF(acs2015_county_data[[#This Row],[PublicWork]]&gt;='Описательные характеристики'!$F$5,"да","нет")</f>
        <v>да</v>
      </c>
      <c r="N2731" t="str">
        <f>IF(acs2015_county_data[[#This Row],[Unemployment]]&gt;='Описательные характеристики'!$I$5,"да","нет")</f>
        <v>нет</v>
      </c>
    </row>
    <row r="2732" spans="1:14" x14ac:dyDescent="0.35">
      <c r="A2732">
        <v>48415</v>
      </c>
      <c r="B2732" t="s">
        <v>1051</v>
      </c>
      <c r="C2732" t="s">
        <v>1665</v>
      </c>
      <c r="D2732" s="2">
        <v>17238</v>
      </c>
      <c r="E2732" s="2">
        <v>24584</v>
      </c>
      <c r="F2732" s="3">
        <v>1.8</v>
      </c>
      <c r="G2732" s="3">
        <v>7371</v>
      </c>
      <c r="H2732" s="3">
        <v>77.7</v>
      </c>
      <c r="I2732" s="3">
        <v>16.2</v>
      </c>
      <c r="J2732" s="3">
        <v>6</v>
      </c>
      <c r="K2732" s="3">
        <v>0.1</v>
      </c>
      <c r="L2732" s="3">
        <v>3.3</v>
      </c>
      <c r="M2732" t="str">
        <f>IF(acs2015_county_data[[#This Row],[PublicWork]]&gt;='Описательные характеристики'!$F$5,"да","нет")</f>
        <v>да</v>
      </c>
      <c r="N2732" t="str">
        <f>IF(acs2015_county_data[[#This Row],[Unemployment]]&gt;='Описательные характеристики'!$I$5,"да","нет")</f>
        <v>нет</v>
      </c>
    </row>
    <row r="2733" spans="1:14" x14ac:dyDescent="0.35">
      <c r="A2733">
        <v>48417</v>
      </c>
      <c r="B2733" t="s">
        <v>1051</v>
      </c>
      <c r="C2733" t="s">
        <v>1666</v>
      </c>
      <c r="D2733" s="2">
        <v>3352</v>
      </c>
      <c r="E2733" s="2">
        <v>23826</v>
      </c>
      <c r="F2733" s="3">
        <v>1.7</v>
      </c>
      <c r="G2733" s="3">
        <v>1502</v>
      </c>
      <c r="H2733" s="3">
        <v>74</v>
      </c>
      <c r="I2733" s="3">
        <v>13.4</v>
      </c>
      <c r="J2733" s="3">
        <v>12.3</v>
      </c>
      <c r="K2733" s="3">
        <v>0.3</v>
      </c>
      <c r="L2733" s="3">
        <v>3.8</v>
      </c>
      <c r="M2733" t="str">
        <f>IF(acs2015_county_data[[#This Row],[PublicWork]]&gt;='Описательные характеристики'!$F$5,"да","нет")</f>
        <v>нет</v>
      </c>
      <c r="N2733" t="str">
        <f>IF(acs2015_county_data[[#This Row],[Unemployment]]&gt;='Описательные характеристики'!$I$5,"да","нет")</f>
        <v>нет</v>
      </c>
    </row>
    <row r="2734" spans="1:14" x14ac:dyDescent="0.35">
      <c r="A2734">
        <v>48419</v>
      </c>
      <c r="B2734" t="s">
        <v>1051</v>
      </c>
      <c r="C2734" t="s">
        <v>70</v>
      </c>
      <c r="D2734" s="2">
        <v>25725</v>
      </c>
      <c r="E2734" s="2">
        <v>20753</v>
      </c>
      <c r="F2734" s="3">
        <v>4.0999999999999996</v>
      </c>
      <c r="G2734" s="3">
        <v>10162</v>
      </c>
      <c r="H2734" s="3">
        <v>75.3</v>
      </c>
      <c r="I2734" s="3">
        <v>16.8</v>
      </c>
      <c r="J2734" s="3">
        <v>7.8</v>
      </c>
      <c r="K2734" s="3">
        <v>0.1</v>
      </c>
      <c r="L2734" s="3">
        <v>7.9</v>
      </c>
      <c r="M2734" t="str">
        <f>IF(acs2015_county_data[[#This Row],[PublicWork]]&gt;='Описательные характеристики'!$F$5,"да","нет")</f>
        <v>да</v>
      </c>
      <c r="N2734" t="str">
        <f>IF(acs2015_county_data[[#This Row],[Unemployment]]&gt;='Описательные характеристики'!$I$5,"да","нет")</f>
        <v>да</v>
      </c>
    </row>
    <row r="2735" spans="1:14" x14ac:dyDescent="0.35">
      <c r="A2735">
        <v>48421</v>
      </c>
      <c r="B2735" t="s">
        <v>1051</v>
      </c>
      <c r="C2735" t="s">
        <v>697</v>
      </c>
      <c r="D2735" s="2">
        <v>3066</v>
      </c>
      <c r="E2735" s="2">
        <v>22436</v>
      </c>
      <c r="F2735" s="3">
        <v>3.2</v>
      </c>
      <c r="G2735" s="3">
        <v>1497</v>
      </c>
      <c r="H2735" s="3">
        <v>75.099999999999994</v>
      </c>
      <c r="I2735" s="3">
        <v>13.2</v>
      </c>
      <c r="J2735" s="3">
        <v>11.3</v>
      </c>
      <c r="K2735" s="3">
        <v>0.4</v>
      </c>
      <c r="L2735" s="3">
        <v>3.7</v>
      </c>
      <c r="M2735" t="str">
        <f>IF(acs2015_county_data[[#This Row],[PublicWork]]&gt;='Описательные характеристики'!$F$5,"да","нет")</f>
        <v>нет</v>
      </c>
      <c r="N2735" t="str">
        <f>IF(acs2015_county_data[[#This Row],[Unemployment]]&gt;='Описательные характеристики'!$I$5,"да","нет")</f>
        <v>нет</v>
      </c>
    </row>
    <row r="2736" spans="1:14" x14ac:dyDescent="0.35">
      <c r="A2736">
        <v>48423</v>
      </c>
      <c r="B2736" t="s">
        <v>1051</v>
      </c>
      <c r="C2736" t="s">
        <v>698</v>
      </c>
      <c r="D2736" s="2">
        <v>217552</v>
      </c>
      <c r="E2736" s="2">
        <v>24964</v>
      </c>
      <c r="F2736" s="3">
        <v>3.1</v>
      </c>
      <c r="G2736" s="3">
        <v>95841</v>
      </c>
      <c r="H2736" s="3">
        <v>80.900000000000006</v>
      </c>
      <c r="I2736" s="3">
        <v>12.7</v>
      </c>
      <c r="J2736" s="3">
        <v>6.3</v>
      </c>
      <c r="K2736" s="3">
        <v>0.1</v>
      </c>
      <c r="L2736" s="3">
        <v>7.2</v>
      </c>
      <c r="M2736" t="str">
        <f>IF(acs2015_county_data[[#This Row],[PublicWork]]&gt;='Описательные характеристики'!$F$5,"да","нет")</f>
        <v>нет</v>
      </c>
      <c r="N2736" t="str">
        <f>IF(acs2015_county_data[[#This Row],[Unemployment]]&gt;='Описательные характеристики'!$I$5,"да","нет")</f>
        <v>нет</v>
      </c>
    </row>
    <row r="2737" spans="1:14" x14ac:dyDescent="0.35">
      <c r="A2737">
        <v>48425</v>
      </c>
      <c r="B2737" t="s">
        <v>1051</v>
      </c>
      <c r="C2737" t="s">
        <v>1667</v>
      </c>
      <c r="D2737" s="2">
        <v>8608</v>
      </c>
      <c r="E2737" s="2">
        <v>26946</v>
      </c>
      <c r="F2737" s="3">
        <v>1.3</v>
      </c>
      <c r="G2737" s="3">
        <v>3878</v>
      </c>
      <c r="H2737" s="3">
        <v>79.8</v>
      </c>
      <c r="I2737" s="3">
        <v>14.5</v>
      </c>
      <c r="J2737" s="3">
        <v>5.5</v>
      </c>
      <c r="K2737" s="3">
        <v>0.3</v>
      </c>
      <c r="L2737" s="3">
        <v>2.1</v>
      </c>
      <c r="M2737" t="str">
        <f>IF(acs2015_county_data[[#This Row],[PublicWork]]&gt;='Описательные характеристики'!$F$5,"да","нет")</f>
        <v>нет</v>
      </c>
      <c r="N2737" t="str">
        <f>IF(acs2015_county_data[[#This Row],[Unemployment]]&gt;='Описательные характеристики'!$I$5,"да","нет")</f>
        <v>нет</v>
      </c>
    </row>
    <row r="2738" spans="1:14" x14ac:dyDescent="0.35">
      <c r="A2738">
        <v>48427</v>
      </c>
      <c r="B2738" t="s">
        <v>1051</v>
      </c>
      <c r="C2738" t="s">
        <v>1668</v>
      </c>
      <c r="D2738" s="2">
        <v>62648</v>
      </c>
      <c r="E2738" s="2">
        <v>12483</v>
      </c>
      <c r="F2738" s="3">
        <v>4.5999999999999996</v>
      </c>
      <c r="G2738" s="3">
        <v>21006</v>
      </c>
      <c r="H2738" s="3">
        <v>68.2</v>
      </c>
      <c r="I2738" s="3">
        <v>22.5</v>
      </c>
      <c r="J2738" s="3">
        <v>8.6</v>
      </c>
      <c r="K2738" s="3">
        <v>0.6</v>
      </c>
      <c r="L2738" s="3">
        <v>13.8</v>
      </c>
      <c r="M2738" t="str">
        <f>IF(acs2015_county_data[[#This Row],[PublicWork]]&gt;='Описательные характеристики'!$F$5,"да","нет")</f>
        <v>да</v>
      </c>
      <c r="N2738" t="str">
        <f>IF(acs2015_county_data[[#This Row],[Unemployment]]&gt;='Описательные характеристики'!$I$5,"да","нет")</f>
        <v>да</v>
      </c>
    </row>
    <row r="2739" spans="1:14" x14ac:dyDescent="0.35">
      <c r="A2739">
        <v>48429</v>
      </c>
      <c r="B2739" t="s">
        <v>1051</v>
      </c>
      <c r="C2739" t="s">
        <v>438</v>
      </c>
      <c r="D2739" s="2">
        <v>9452</v>
      </c>
      <c r="E2739" s="2">
        <v>22241</v>
      </c>
      <c r="F2739" s="3">
        <v>1.4</v>
      </c>
      <c r="G2739" s="3">
        <v>3805</v>
      </c>
      <c r="H2739" s="3">
        <v>70.7</v>
      </c>
      <c r="I2739" s="3">
        <v>16.3</v>
      </c>
      <c r="J2739" s="3">
        <v>13</v>
      </c>
      <c r="K2739" s="3">
        <v>0</v>
      </c>
      <c r="L2739" s="3">
        <v>3.9</v>
      </c>
      <c r="M2739" t="str">
        <f>IF(acs2015_county_data[[#This Row],[PublicWork]]&gt;='Описательные характеристики'!$F$5,"да","нет")</f>
        <v>да</v>
      </c>
      <c r="N2739" t="str">
        <f>IF(acs2015_county_data[[#This Row],[Unemployment]]&gt;='Описательные характеристики'!$I$5,"да","нет")</f>
        <v>нет</v>
      </c>
    </row>
    <row r="2740" spans="1:14" x14ac:dyDescent="0.35">
      <c r="A2740">
        <v>48431</v>
      </c>
      <c r="B2740" t="s">
        <v>1051</v>
      </c>
      <c r="C2740" t="s">
        <v>1669</v>
      </c>
      <c r="D2740" s="2">
        <v>1346</v>
      </c>
      <c r="E2740" s="2">
        <v>21386</v>
      </c>
      <c r="F2740" s="3">
        <v>14.3</v>
      </c>
      <c r="G2740" s="3">
        <v>583</v>
      </c>
      <c r="H2740" s="3">
        <v>64.5</v>
      </c>
      <c r="I2740" s="3">
        <v>20.9</v>
      </c>
      <c r="J2740" s="3">
        <v>14.6</v>
      </c>
      <c r="K2740" s="3">
        <v>0</v>
      </c>
      <c r="L2740" s="3">
        <v>0.3</v>
      </c>
      <c r="M2740" t="str">
        <f>IF(acs2015_county_data[[#This Row],[PublicWork]]&gt;='Описательные характеристики'!$F$5,"да","нет")</f>
        <v>да</v>
      </c>
      <c r="N2740" t="str">
        <f>IF(acs2015_county_data[[#This Row],[Unemployment]]&gt;='Описательные характеристики'!$I$5,"да","нет")</f>
        <v>нет</v>
      </c>
    </row>
    <row r="2741" spans="1:14" x14ac:dyDescent="0.35">
      <c r="A2741">
        <v>48433</v>
      </c>
      <c r="B2741" t="s">
        <v>1051</v>
      </c>
      <c r="C2741" t="s">
        <v>1670</v>
      </c>
      <c r="D2741" s="2">
        <v>1414</v>
      </c>
      <c r="E2741" s="2">
        <v>22416</v>
      </c>
      <c r="F2741" s="3">
        <v>2.2000000000000002</v>
      </c>
      <c r="G2741" s="3">
        <v>553</v>
      </c>
      <c r="H2741" s="3">
        <v>55.3</v>
      </c>
      <c r="I2741" s="3">
        <v>29.3</v>
      </c>
      <c r="J2741" s="3">
        <v>13.6</v>
      </c>
      <c r="K2741" s="3">
        <v>1.8</v>
      </c>
      <c r="L2741" s="3">
        <v>6.9</v>
      </c>
      <c r="M2741" t="str">
        <f>IF(acs2015_county_data[[#This Row],[PublicWork]]&gt;='Описательные характеристики'!$F$5,"да","нет")</f>
        <v>да</v>
      </c>
      <c r="N2741" t="str">
        <f>IF(acs2015_county_data[[#This Row],[Unemployment]]&gt;='Описательные характеристики'!$I$5,"да","нет")</f>
        <v>нет</v>
      </c>
    </row>
    <row r="2742" spans="1:14" x14ac:dyDescent="0.35">
      <c r="A2742">
        <v>48435</v>
      </c>
      <c r="B2742" t="s">
        <v>1051</v>
      </c>
      <c r="C2742" t="s">
        <v>1671</v>
      </c>
      <c r="D2742" s="2">
        <v>3966</v>
      </c>
      <c r="E2742" s="2">
        <v>25650</v>
      </c>
      <c r="F2742" s="3">
        <v>5.4</v>
      </c>
      <c r="G2742" s="3">
        <v>1771</v>
      </c>
      <c r="H2742" s="3">
        <v>76.5</v>
      </c>
      <c r="I2742" s="3">
        <v>14.6</v>
      </c>
      <c r="J2742" s="3">
        <v>8.6</v>
      </c>
      <c r="K2742" s="3">
        <v>0.3</v>
      </c>
      <c r="L2742" s="3">
        <v>4.3</v>
      </c>
      <c r="M2742" t="str">
        <f>IF(acs2015_county_data[[#This Row],[PublicWork]]&gt;='Описательные характеристики'!$F$5,"да","нет")</f>
        <v>нет</v>
      </c>
      <c r="N2742" t="str">
        <f>IF(acs2015_county_data[[#This Row],[Unemployment]]&gt;='Описательные характеристики'!$I$5,"да","нет")</f>
        <v>нет</v>
      </c>
    </row>
    <row r="2743" spans="1:14" x14ac:dyDescent="0.35">
      <c r="A2743">
        <v>48437</v>
      </c>
      <c r="B2743" t="s">
        <v>1051</v>
      </c>
      <c r="C2743" t="s">
        <v>1672</v>
      </c>
      <c r="D2743" s="2">
        <v>7713</v>
      </c>
      <c r="E2743" s="2">
        <v>18437</v>
      </c>
      <c r="F2743" s="3">
        <v>3.5</v>
      </c>
      <c r="G2743" s="3">
        <v>2784</v>
      </c>
      <c r="H2743" s="3">
        <v>79.2</v>
      </c>
      <c r="I2743" s="3">
        <v>12.6</v>
      </c>
      <c r="J2743" s="3">
        <v>8.1999999999999993</v>
      </c>
      <c r="K2743" s="3">
        <v>0</v>
      </c>
      <c r="L2743" s="3">
        <v>6.4</v>
      </c>
      <c r="M2743" t="str">
        <f>IF(acs2015_county_data[[#This Row],[PublicWork]]&gt;='Описательные характеристики'!$F$5,"да","нет")</f>
        <v>нет</v>
      </c>
      <c r="N2743" t="str">
        <f>IF(acs2015_county_data[[#This Row],[Unemployment]]&gt;='Описательные характеристики'!$I$5,"да","нет")</f>
        <v>нет</v>
      </c>
    </row>
    <row r="2744" spans="1:14" x14ac:dyDescent="0.35">
      <c r="A2744">
        <v>48439</v>
      </c>
      <c r="B2744" t="s">
        <v>1051</v>
      </c>
      <c r="C2744" t="s">
        <v>1673</v>
      </c>
      <c r="D2744" s="2">
        <v>1914526</v>
      </c>
      <c r="E2744" s="2">
        <v>29058</v>
      </c>
      <c r="F2744" s="3">
        <v>3.9</v>
      </c>
      <c r="G2744" s="3">
        <v>924741</v>
      </c>
      <c r="H2744" s="3">
        <v>83.1</v>
      </c>
      <c r="I2744" s="3">
        <v>11.4</v>
      </c>
      <c r="J2744" s="3">
        <v>5.4</v>
      </c>
      <c r="K2744" s="3">
        <v>0.1</v>
      </c>
      <c r="L2744" s="3">
        <v>6.9</v>
      </c>
      <c r="M2744" t="str">
        <f>IF(acs2015_county_data[[#This Row],[PublicWork]]&gt;='Описательные характеристики'!$F$5,"да","нет")</f>
        <v>нет</v>
      </c>
      <c r="N2744" t="str">
        <f>IF(acs2015_county_data[[#This Row],[Unemployment]]&gt;='Описательные характеристики'!$I$5,"да","нет")</f>
        <v>нет</v>
      </c>
    </row>
    <row r="2745" spans="1:14" x14ac:dyDescent="0.35">
      <c r="A2745">
        <v>48441</v>
      </c>
      <c r="B2745" t="s">
        <v>1051</v>
      </c>
      <c r="C2745" t="s">
        <v>350</v>
      </c>
      <c r="D2745" s="2">
        <v>134435</v>
      </c>
      <c r="E2745" s="2">
        <v>23896</v>
      </c>
      <c r="F2745" s="3">
        <v>2.5</v>
      </c>
      <c r="G2745" s="3">
        <v>60708</v>
      </c>
      <c r="H2745" s="3">
        <v>77.5</v>
      </c>
      <c r="I2745" s="3">
        <v>16.5</v>
      </c>
      <c r="J2745" s="3">
        <v>5.7</v>
      </c>
      <c r="K2745" s="3">
        <v>0.2</v>
      </c>
      <c r="L2745" s="3">
        <v>5.9</v>
      </c>
      <c r="M2745" t="str">
        <f>IF(acs2015_county_data[[#This Row],[PublicWork]]&gt;='Описательные характеристики'!$F$5,"да","нет")</f>
        <v>да</v>
      </c>
      <c r="N2745" t="str">
        <f>IF(acs2015_county_data[[#This Row],[Unemployment]]&gt;='Описательные характеристики'!$I$5,"да","нет")</f>
        <v>нет</v>
      </c>
    </row>
    <row r="2746" spans="1:14" x14ac:dyDescent="0.35">
      <c r="A2746">
        <v>48443</v>
      </c>
      <c r="B2746" t="s">
        <v>1051</v>
      </c>
      <c r="C2746" t="s">
        <v>444</v>
      </c>
      <c r="D2746" s="2">
        <v>921</v>
      </c>
      <c r="E2746" s="2">
        <v>27062</v>
      </c>
      <c r="F2746" s="3">
        <v>6.5</v>
      </c>
      <c r="G2746" s="3">
        <v>415</v>
      </c>
      <c r="H2746" s="3">
        <v>49.4</v>
      </c>
      <c r="I2746" s="3">
        <v>32.799999999999997</v>
      </c>
      <c r="J2746" s="3">
        <v>16.399999999999999</v>
      </c>
      <c r="K2746" s="3">
        <v>1.4</v>
      </c>
      <c r="L2746" s="3">
        <v>3.7</v>
      </c>
      <c r="M2746" t="str">
        <f>IF(acs2015_county_data[[#This Row],[PublicWork]]&gt;='Описательные характеристики'!$F$5,"да","нет")</f>
        <v>да</v>
      </c>
      <c r="N2746" t="str">
        <f>IF(acs2015_county_data[[#This Row],[Unemployment]]&gt;='Описательные характеристики'!$I$5,"да","нет")</f>
        <v>нет</v>
      </c>
    </row>
    <row r="2747" spans="1:14" x14ac:dyDescent="0.35">
      <c r="A2747">
        <v>48445</v>
      </c>
      <c r="B2747" t="s">
        <v>1051</v>
      </c>
      <c r="C2747" t="s">
        <v>1674</v>
      </c>
      <c r="D2747" s="2">
        <v>12687</v>
      </c>
      <c r="E2747" s="2">
        <v>21705</v>
      </c>
      <c r="F2747" s="3">
        <v>2.8</v>
      </c>
      <c r="G2747" s="3">
        <v>4767</v>
      </c>
      <c r="H2747" s="3">
        <v>70.2</v>
      </c>
      <c r="I2747" s="3">
        <v>19.7</v>
      </c>
      <c r="J2747" s="3">
        <v>9.8000000000000007</v>
      </c>
      <c r="K2747" s="3">
        <v>0.3</v>
      </c>
      <c r="L2747" s="3">
        <v>6.5</v>
      </c>
      <c r="M2747" t="str">
        <f>IF(acs2015_county_data[[#This Row],[PublicWork]]&gt;='Описательные характеристики'!$F$5,"да","нет")</f>
        <v>да</v>
      </c>
      <c r="N2747" t="str">
        <f>IF(acs2015_county_data[[#This Row],[Unemployment]]&gt;='Описательные характеристики'!$I$5,"да","нет")</f>
        <v>нет</v>
      </c>
    </row>
    <row r="2748" spans="1:14" x14ac:dyDescent="0.35">
      <c r="A2748">
        <v>48447</v>
      </c>
      <c r="B2748" t="s">
        <v>1051</v>
      </c>
      <c r="C2748" t="s">
        <v>1675</v>
      </c>
      <c r="D2748" s="2">
        <v>1545</v>
      </c>
      <c r="E2748" s="2">
        <v>28305</v>
      </c>
      <c r="F2748" s="3">
        <v>9.6999999999999993</v>
      </c>
      <c r="G2748" s="3">
        <v>686</v>
      </c>
      <c r="H2748" s="3">
        <v>67.5</v>
      </c>
      <c r="I2748" s="3">
        <v>16.2</v>
      </c>
      <c r="J2748" s="3">
        <v>16.3</v>
      </c>
      <c r="K2748" s="3">
        <v>0</v>
      </c>
      <c r="L2748" s="3">
        <v>2.6</v>
      </c>
      <c r="M2748" t="str">
        <f>IF(acs2015_county_data[[#This Row],[PublicWork]]&gt;='Описательные характеристики'!$F$5,"да","нет")</f>
        <v>да</v>
      </c>
      <c r="N2748" t="str">
        <f>IF(acs2015_county_data[[#This Row],[Unemployment]]&gt;='Описательные характеристики'!$I$5,"да","нет")</f>
        <v>нет</v>
      </c>
    </row>
    <row r="2749" spans="1:14" x14ac:dyDescent="0.35">
      <c r="A2749">
        <v>48449</v>
      </c>
      <c r="B2749" t="s">
        <v>1051</v>
      </c>
      <c r="C2749" t="s">
        <v>1676</v>
      </c>
      <c r="D2749" s="2">
        <v>32553</v>
      </c>
      <c r="E2749" s="2">
        <v>19472</v>
      </c>
      <c r="F2749" s="3">
        <v>1.8</v>
      </c>
      <c r="G2749" s="3">
        <v>13867</v>
      </c>
      <c r="H2749" s="3">
        <v>82.5</v>
      </c>
      <c r="I2749" s="3">
        <v>10</v>
      </c>
      <c r="J2749" s="3">
        <v>7.4</v>
      </c>
      <c r="K2749" s="3">
        <v>0.1</v>
      </c>
      <c r="L2749" s="3">
        <v>7.5</v>
      </c>
      <c r="M2749" t="str">
        <f>IF(acs2015_county_data[[#This Row],[PublicWork]]&gt;='Описательные характеристики'!$F$5,"да","нет")</f>
        <v>нет</v>
      </c>
      <c r="N2749" t="str">
        <f>IF(acs2015_county_data[[#This Row],[Unemployment]]&gt;='Описательные характеристики'!$I$5,"да","нет")</f>
        <v>нет</v>
      </c>
    </row>
    <row r="2750" spans="1:14" x14ac:dyDescent="0.35">
      <c r="A2750">
        <v>48451</v>
      </c>
      <c r="B2750" t="s">
        <v>1051</v>
      </c>
      <c r="C2750" t="s">
        <v>1677</v>
      </c>
      <c r="D2750" s="2">
        <v>115056</v>
      </c>
      <c r="E2750" s="2">
        <v>25274</v>
      </c>
      <c r="F2750" s="3">
        <v>3</v>
      </c>
      <c r="G2750" s="3">
        <v>51528</v>
      </c>
      <c r="H2750" s="3">
        <v>76.8</v>
      </c>
      <c r="I2750" s="3">
        <v>16.5</v>
      </c>
      <c r="J2750" s="3">
        <v>6.6</v>
      </c>
      <c r="K2750" s="3">
        <v>0.1</v>
      </c>
      <c r="L2750" s="3">
        <v>4.7</v>
      </c>
      <c r="M2750" t="str">
        <f>IF(acs2015_county_data[[#This Row],[PublicWork]]&gt;='Описательные характеристики'!$F$5,"да","нет")</f>
        <v>да</v>
      </c>
      <c r="N2750" t="str">
        <f>IF(acs2015_county_data[[#This Row],[Unemployment]]&gt;='Описательные характеристики'!$I$5,"да","нет")</f>
        <v>нет</v>
      </c>
    </row>
    <row r="2751" spans="1:14" x14ac:dyDescent="0.35">
      <c r="A2751">
        <v>48453</v>
      </c>
      <c r="B2751" t="s">
        <v>1051</v>
      </c>
      <c r="C2751" t="s">
        <v>1678</v>
      </c>
      <c r="D2751" s="2">
        <v>1121645</v>
      </c>
      <c r="E2751" s="2">
        <v>35168</v>
      </c>
      <c r="F2751" s="3">
        <v>7.4</v>
      </c>
      <c r="G2751" s="3">
        <v>599597</v>
      </c>
      <c r="H2751" s="3">
        <v>76.5</v>
      </c>
      <c r="I2751" s="3">
        <v>16</v>
      </c>
      <c r="J2751" s="3">
        <v>7.4</v>
      </c>
      <c r="K2751" s="3">
        <v>0.2</v>
      </c>
      <c r="L2751" s="3">
        <v>6</v>
      </c>
      <c r="M2751" t="str">
        <f>IF(acs2015_county_data[[#This Row],[PublicWork]]&gt;='Описательные характеристики'!$F$5,"да","нет")</f>
        <v>нет</v>
      </c>
      <c r="N2751" t="str">
        <f>IF(acs2015_county_data[[#This Row],[Unemployment]]&gt;='Описательные характеристики'!$I$5,"да","нет")</f>
        <v>нет</v>
      </c>
    </row>
    <row r="2752" spans="1:14" x14ac:dyDescent="0.35">
      <c r="A2752">
        <v>48455</v>
      </c>
      <c r="B2752" t="s">
        <v>1051</v>
      </c>
      <c r="C2752" t="s">
        <v>230</v>
      </c>
      <c r="D2752" s="2">
        <v>14405</v>
      </c>
      <c r="E2752" s="2">
        <v>19766</v>
      </c>
      <c r="F2752" s="3">
        <v>6.3</v>
      </c>
      <c r="G2752" s="3">
        <v>4922</v>
      </c>
      <c r="H2752" s="3">
        <v>68.8</v>
      </c>
      <c r="I2752" s="3">
        <v>17.8</v>
      </c>
      <c r="J2752" s="3">
        <v>12.1</v>
      </c>
      <c r="K2752" s="3">
        <v>1.3</v>
      </c>
      <c r="L2752" s="3">
        <v>9.9</v>
      </c>
      <c r="M2752" t="str">
        <f>IF(acs2015_county_data[[#This Row],[PublicWork]]&gt;='Описательные характеристики'!$F$5,"да","нет")</f>
        <v>да</v>
      </c>
      <c r="N2752" t="str">
        <f>IF(acs2015_county_data[[#This Row],[Unemployment]]&gt;='Описательные характеристики'!$I$5,"да","нет")</f>
        <v>да</v>
      </c>
    </row>
    <row r="2753" spans="1:14" x14ac:dyDescent="0.35">
      <c r="A2753">
        <v>48457</v>
      </c>
      <c r="B2753" t="s">
        <v>1051</v>
      </c>
      <c r="C2753" t="s">
        <v>1679</v>
      </c>
      <c r="D2753" s="2">
        <v>21462</v>
      </c>
      <c r="E2753" s="2">
        <v>20242</v>
      </c>
      <c r="F2753" s="3">
        <v>4.0999999999999996</v>
      </c>
      <c r="G2753" s="3">
        <v>7230</v>
      </c>
      <c r="H2753" s="3">
        <v>74.599999999999994</v>
      </c>
      <c r="I2753" s="3">
        <v>19.8</v>
      </c>
      <c r="J2753" s="3">
        <v>5.3</v>
      </c>
      <c r="K2753" s="3">
        <v>0.3</v>
      </c>
      <c r="L2753" s="3">
        <v>11.5</v>
      </c>
      <c r="M2753" t="str">
        <f>IF(acs2015_county_data[[#This Row],[PublicWork]]&gt;='Описательные характеристики'!$F$5,"да","нет")</f>
        <v>да</v>
      </c>
      <c r="N2753" t="str">
        <f>IF(acs2015_county_data[[#This Row],[Unemployment]]&gt;='Описательные характеристики'!$I$5,"да","нет")</f>
        <v>да</v>
      </c>
    </row>
    <row r="2754" spans="1:14" x14ac:dyDescent="0.35">
      <c r="A2754">
        <v>48459</v>
      </c>
      <c r="B2754" t="s">
        <v>1051</v>
      </c>
      <c r="C2754" t="s">
        <v>1680</v>
      </c>
      <c r="D2754" s="2">
        <v>40096</v>
      </c>
      <c r="E2754" s="2">
        <v>22692</v>
      </c>
      <c r="F2754" s="3">
        <v>4.0999999999999996</v>
      </c>
      <c r="G2754" s="3">
        <v>16849</v>
      </c>
      <c r="H2754" s="3">
        <v>78.5</v>
      </c>
      <c r="I2754" s="3">
        <v>13</v>
      </c>
      <c r="J2754" s="3">
        <v>8.3000000000000007</v>
      </c>
      <c r="K2754" s="3">
        <v>0.2</v>
      </c>
      <c r="L2754" s="3">
        <v>7.9</v>
      </c>
      <c r="M2754" t="str">
        <f>IF(acs2015_county_data[[#This Row],[PublicWork]]&gt;='Описательные характеристики'!$F$5,"да","нет")</f>
        <v>нет</v>
      </c>
      <c r="N2754" t="str">
        <f>IF(acs2015_county_data[[#This Row],[Unemployment]]&gt;='Описательные характеристики'!$I$5,"да","нет")</f>
        <v>да</v>
      </c>
    </row>
    <row r="2755" spans="1:14" x14ac:dyDescent="0.35">
      <c r="A2755">
        <v>48461</v>
      </c>
      <c r="B2755" t="s">
        <v>1051</v>
      </c>
      <c r="C2755" t="s">
        <v>1681</v>
      </c>
      <c r="D2755" s="2">
        <v>3405</v>
      </c>
      <c r="E2755" s="2">
        <v>22751</v>
      </c>
      <c r="F2755" s="3">
        <v>3.1</v>
      </c>
      <c r="G2755" s="3">
        <v>1326</v>
      </c>
      <c r="H2755" s="3">
        <v>71.599999999999994</v>
      </c>
      <c r="I2755" s="3">
        <v>20.7</v>
      </c>
      <c r="J2755" s="3">
        <v>7.7</v>
      </c>
      <c r="K2755" s="3">
        <v>0</v>
      </c>
      <c r="L2755" s="3">
        <v>4.3</v>
      </c>
      <c r="M2755" t="str">
        <f>IF(acs2015_county_data[[#This Row],[PublicWork]]&gt;='Описательные характеристики'!$F$5,"да","нет")</f>
        <v>да</v>
      </c>
      <c r="N2755" t="str">
        <f>IF(acs2015_county_data[[#This Row],[Unemployment]]&gt;='Описательные характеристики'!$I$5,"да","нет")</f>
        <v>нет</v>
      </c>
    </row>
    <row r="2756" spans="1:14" x14ac:dyDescent="0.35">
      <c r="A2756">
        <v>48463</v>
      </c>
      <c r="B2756" t="s">
        <v>1051</v>
      </c>
      <c r="C2756" t="s">
        <v>1682</v>
      </c>
      <c r="D2756" s="2">
        <v>26952</v>
      </c>
      <c r="E2756" s="2">
        <v>18135</v>
      </c>
      <c r="F2756" s="3">
        <v>3.6</v>
      </c>
      <c r="G2756" s="3">
        <v>10801</v>
      </c>
      <c r="H2756" s="3">
        <v>66.8</v>
      </c>
      <c r="I2756" s="3">
        <v>23.8</v>
      </c>
      <c r="J2756" s="3">
        <v>9.4</v>
      </c>
      <c r="K2756" s="3">
        <v>0</v>
      </c>
      <c r="L2756" s="3">
        <v>8.1</v>
      </c>
      <c r="M2756" t="str">
        <f>IF(acs2015_county_data[[#This Row],[PublicWork]]&gt;='Описательные характеристики'!$F$5,"да","нет")</f>
        <v>да</v>
      </c>
      <c r="N2756" t="str">
        <f>IF(acs2015_county_data[[#This Row],[Unemployment]]&gt;='Описательные характеристики'!$I$5,"да","нет")</f>
        <v>да</v>
      </c>
    </row>
    <row r="2757" spans="1:14" x14ac:dyDescent="0.35">
      <c r="A2757">
        <v>48465</v>
      </c>
      <c r="B2757" t="s">
        <v>1051</v>
      </c>
      <c r="C2757" t="s">
        <v>1683</v>
      </c>
      <c r="D2757" s="2">
        <v>48980</v>
      </c>
      <c r="E2757" s="2">
        <v>18632</v>
      </c>
      <c r="F2757" s="3">
        <v>4.4000000000000004</v>
      </c>
      <c r="G2757" s="3">
        <v>18261</v>
      </c>
      <c r="H2757" s="3">
        <v>65.900000000000006</v>
      </c>
      <c r="I2757" s="3">
        <v>28.9</v>
      </c>
      <c r="J2757" s="3">
        <v>5.0999999999999996</v>
      </c>
      <c r="K2757" s="3">
        <v>0.1</v>
      </c>
      <c r="L2757" s="3">
        <v>9.3000000000000007</v>
      </c>
      <c r="M2757" t="str">
        <f>IF(acs2015_county_data[[#This Row],[PublicWork]]&gt;='Описательные характеристики'!$F$5,"да","нет")</f>
        <v>да</v>
      </c>
      <c r="N2757" t="str">
        <f>IF(acs2015_county_data[[#This Row],[Unemployment]]&gt;='Описательные характеристики'!$I$5,"да","нет")</f>
        <v>да</v>
      </c>
    </row>
    <row r="2758" spans="1:14" x14ac:dyDescent="0.35">
      <c r="A2758">
        <v>48467</v>
      </c>
      <c r="B2758" t="s">
        <v>1051</v>
      </c>
      <c r="C2758" t="s">
        <v>1684</v>
      </c>
      <c r="D2758" s="2">
        <v>52736</v>
      </c>
      <c r="E2758" s="2">
        <v>23257</v>
      </c>
      <c r="F2758" s="3">
        <v>4.4000000000000004</v>
      </c>
      <c r="G2758" s="3">
        <v>21856</v>
      </c>
      <c r="H2758" s="3">
        <v>71.599999999999994</v>
      </c>
      <c r="I2758" s="3">
        <v>16.8</v>
      </c>
      <c r="J2758" s="3">
        <v>11.1</v>
      </c>
      <c r="K2758" s="3">
        <v>0.4</v>
      </c>
      <c r="L2758" s="3">
        <v>6.1</v>
      </c>
      <c r="M2758" t="str">
        <f>IF(acs2015_county_data[[#This Row],[PublicWork]]&gt;='Описательные характеристики'!$F$5,"да","нет")</f>
        <v>да</v>
      </c>
      <c r="N2758" t="str">
        <f>IF(acs2015_county_data[[#This Row],[Unemployment]]&gt;='Описательные характеристики'!$I$5,"да","нет")</f>
        <v>нет</v>
      </c>
    </row>
    <row r="2759" spans="1:14" x14ac:dyDescent="0.35">
      <c r="A2759">
        <v>48469</v>
      </c>
      <c r="B2759" t="s">
        <v>1051</v>
      </c>
      <c r="C2759" t="s">
        <v>1685</v>
      </c>
      <c r="D2759" s="2">
        <v>90099</v>
      </c>
      <c r="E2759" s="2">
        <v>25987</v>
      </c>
      <c r="F2759" s="3">
        <v>3.2</v>
      </c>
      <c r="G2759" s="3">
        <v>41513</v>
      </c>
      <c r="H2759" s="3">
        <v>80.099999999999994</v>
      </c>
      <c r="I2759" s="3">
        <v>12.5</v>
      </c>
      <c r="J2759" s="3">
        <v>7.1</v>
      </c>
      <c r="K2759" s="3">
        <v>0.3</v>
      </c>
      <c r="L2759" s="3">
        <v>6.5</v>
      </c>
      <c r="M2759" t="str">
        <f>IF(acs2015_county_data[[#This Row],[PublicWork]]&gt;='Описательные характеристики'!$F$5,"да","нет")</f>
        <v>нет</v>
      </c>
      <c r="N2759" t="str">
        <f>IF(acs2015_county_data[[#This Row],[Unemployment]]&gt;='Описательные характеристики'!$I$5,"да","нет")</f>
        <v>нет</v>
      </c>
    </row>
    <row r="2760" spans="1:14" x14ac:dyDescent="0.35">
      <c r="A2760">
        <v>48471</v>
      </c>
      <c r="B2760" t="s">
        <v>1051</v>
      </c>
      <c r="C2760" t="s">
        <v>454</v>
      </c>
      <c r="D2760" s="2">
        <v>69330</v>
      </c>
      <c r="E2760" s="2">
        <v>16135</v>
      </c>
      <c r="F2760" s="3">
        <v>3.2</v>
      </c>
      <c r="G2760" s="3">
        <v>22612</v>
      </c>
      <c r="H2760" s="3">
        <v>59.5</v>
      </c>
      <c r="I2760" s="3">
        <v>36.200000000000003</v>
      </c>
      <c r="J2760" s="3">
        <v>4.2</v>
      </c>
      <c r="K2760" s="3">
        <v>0.2</v>
      </c>
      <c r="L2760" s="3">
        <v>4.4000000000000004</v>
      </c>
      <c r="M2760" t="str">
        <f>IF(acs2015_county_data[[#This Row],[PublicWork]]&gt;='Описательные характеристики'!$F$5,"да","нет")</f>
        <v>да</v>
      </c>
      <c r="N2760" t="str">
        <f>IF(acs2015_county_data[[#This Row],[Unemployment]]&gt;='Описательные характеристики'!$I$5,"да","нет")</f>
        <v>нет</v>
      </c>
    </row>
    <row r="2761" spans="1:14" x14ac:dyDescent="0.35">
      <c r="A2761">
        <v>48473</v>
      </c>
      <c r="B2761" t="s">
        <v>1051</v>
      </c>
      <c r="C2761" t="s">
        <v>1686</v>
      </c>
      <c r="D2761" s="2">
        <v>45847</v>
      </c>
      <c r="E2761" s="2">
        <v>22849</v>
      </c>
      <c r="F2761" s="3">
        <v>4.5999999999999996</v>
      </c>
      <c r="G2761" s="3">
        <v>20127</v>
      </c>
      <c r="H2761" s="3">
        <v>78.099999999999994</v>
      </c>
      <c r="I2761" s="3">
        <v>16.3</v>
      </c>
      <c r="J2761" s="3">
        <v>5.6</v>
      </c>
      <c r="K2761" s="3">
        <v>0</v>
      </c>
      <c r="L2761" s="3">
        <v>8.3000000000000007</v>
      </c>
      <c r="M2761" t="str">
        <f>IF(acs2015_county_data[[#This Row],[PublicWork]]&gt;='Описательные характеристики'!$F$5,"да","нет")</f>
        <v>да</v>
      </c>
      <c r="N2761" t="str">
        <f>IF(acs2015_county_data[[#This Row],[Unemployment]]&gt;='Описательные характеристики'!$I$5,"да","нет")</f>
        <v>да</v>
      </c>
    </row>
    <row r="2762" spans="1:14" x14ac:dyDescent="0.35">
      <c r="A2762">
        <v>48475</v>
      </c>
      <c r="B2762" t="s">
        <v>1051</v>
      </c>
      <c r="C2762" t="s">
        <v>1313</v>
      </c>
      <c r="D2762" s="2">
        <v>11225</v>
      </c>
      <c r="E2762" s="2">
        <v>24234</v>
      </c>
      <c r="F2762" s="3">
        <v>3.4</v>
      </c>
      <c r="G2762" s="3">
        <v>4661</v>
      </c>
      <c r="H2762" s="3">
        <v>79.3</v>
      </c>
      <c r="I2762" s="3">
        <v>15</v>
      </c>
      <c r="J2762" s="3">
        <v>5.3</v>
      </c>
      <c r="K2762" s="3">
        <v>0.4</v>
      </c>
      <c r="L2762" s="3">
        <v>4.4000000000000004</v>
      </c>
      <c r="M2762" t="str">
        <f>IF(acs2015_county_data[[#This Row],[PublicWork]]&gt;='Описательные характеристики'!$F$5,"да","нет")</f>
        <v>нет</v>
      </c>
      <c r="N2762" t="str">
        <f>IF(acs2015_county_data[[#This Row],[Unemployment]]&gt;='Описательные характеристики'!$I$5,"да","нет")</f>
        <v>нет</v>
      </c>
    </row>
    <row r="2763" spans="1:14" x14ac:dyDescent="0.35">
      <c r="A2763">
        <v>48477</v>
      </c>
      <c r="B2763" t="s">
        <v>1051</v>
      </c>
      <c r="C2763" t="s">
        <v>75</v>
      </c>
      <c r="D2763" s="2">
        <v>34236</v>
      </c>
      <c r="E2763" s="2">
        <v>25057</v>
      </c>
      <c r="F2763" s="3">
        <v>3</v>
      </c>
      <c r="G2763" s="3">
        <v>14380</v>
      </c>
      <c r="H2763" s="3">
        <v>73.599999999999994</v>
      </c>
      <c r="I2763" s="3">
        <v>18.100000000000001</v>
      </c>
      <c r="J2763" s="3">
        <v>8.3000000000000007</v>
      </c>
      <c r="K2763" s="3">
        <v>0.1</v>
      </c>
      <c r="L2763" s="3">
        <v>5.0999999999999996</v>
      </c>
      <c r="M2763" t="str">
        <f>IF(acs2015_county_data[[#This Row],[PublicWork]]&gt;='Описательные характеристики'!$F$5,"да","нет")</f>
        <v>да</v>
      </c>
      <c r="N2763" t="str">
        <f>IF(acs2015_county_data[[#This Row],[Unemployment]]&gt;='Описательные характеристики'!$I$5,"да","нет")</f>
        <v>нет</v>
      </c>
    </row>
    <row r="2764" spans="1:14" x14ac:dyDescent="0.35">
      <c r="A2764">
        <v>48479</v>
      </c>
      <c r="B2764" t="s">
        <v>1051</v>
      </c>
      <c r="C2764" t="s">
        <v>1687</v>
      </c>
      <c r="D2764" s="2">
        <v>263251</v>
      </c>
      <c r="E2764" s="2">
        <v>15096</v>
      </c>
      <c r="F2764" s="3">
        <v>3.1</v>
      </c>
      <c r="G2764" s="3">
        <v>98996</v>
      </c>
      <c r="H2764" s="3">
        <v>74.599999999999994</v>
      </c>
      <c r="I2764" s="3">
        <v>19.399999999999999</v>
      </c>
      <c r="J2764" s="3">
        <v>5.8</v>
      </c>
      <c r="K2764" s="3">
        <v>0.2</v>
      </c>
      <c r="L2764" s="3">
        <v>6</v>
      </c>
      <c r="M2764" t="str">
        <f>IF(acs2015_county_data[[#This Row],[PublicWork]]&gt;='Описательные характеристики'!$F$5,"да","нет")</f>
        <v>да</v>
      </c>
      <c r="N2764" t="str">
        <f>IF(acs2015_county_data[[#This Row],[Unemployment]]&gt;='Описательные характеристики'!$I$5,"да","нет")</f>
        <v>нет</v>
      </c>
    </row>
    <row r="2765" spans="1:14" x14ac:dyDescent="0.35">
      <c r="A2765">
        <v>48481</v>
      </c>
      <c r="B2765" t="s">
        <v>1051</v>
      </c>
      <c r="C2765" t="s">
        <v>1688</v>
      </c>
      <c r="D2765" s="2">
        <v>41264</v>
      </c>
      <c r="E2765" s="2">
        <v>21581</v>
      </c>
      <c r="F2765" s="3">
        <v>3.9</v>
      </c>
      <c r="G2765" s="3">
        <v>18584</v>
      </c>
      <c r="H2765" s="3">
        <v>78.900000000000006</v>
      </c>
      <c r="I2765" s="3">
        <v>12.3</v>
      </c>
      <c r="J2765" s="3">
        <v>8.6</v>
      </c>
      <c r="K2765" s="3">
        <v>0.2</v>
      </c>
      <c r="L2765" s="3">
        <v>6.6</v>
      </c>
      <c r="M2765" t="str">
        <f>IF(acs2015_county_data[[#This Row],[PublicWork]]&gt;='Описательные характеристики'!$F$5,"да","нет")</f>
        <v>нет</v>
      </c>
      <c r="N2765" t="str">
        <f>IF(acs2015_county_data[[#This Row],[Unemployment]]&gt;='Описательные характеристики'!$I$5,"да","нет")</f>
        <v>нет</v>
      </c>
    </row>
    <row r="2766" spans="1:14" x14ac:dyDescent="0.35">
      <c r="A2766">
        <v>48483</v>
      </c>
      <c r="B2766" t="s">
        <v>1051</v>
      </c>
      <c r="C2766" t="s">
        <v>459</v>
      </c>
      <c r="D2766" s="2">
        <v>5618</v>
      </c>
      <c r="E2766" s="2">
        <v>26184</v>
      </c>
      <c r="F2766" s="3">
        <v>2.2999999999999998</v>
      </c>
      <c r="G2766" s="3">
        <v>2688</v>
      </c>
      <c r="H2766" s="3">
        <v>69.3</v>
      </c>
      <c r="I2766" s="3">
        <v>18.399999999999999</v>
      </c>
      <c r="J2766" s="3">
        <v>12.1</v>
      </c>
      <c r="K2766" s="3">
        <v>0.2</v>
      </c>
      <c r="L2766" s="3">
        <v>3.9</v>
      </c>
      <c r="M2766" t="str">
        <f>IF(acs2015_county_data[[#This Row],[PublicWork]]&gt;='Описательные характеристики'!$F$5,"да","нет")</f>
        <v>да</v>
      </c>
      <c r="N2766" t="str">
        <f>IF(acs2015_county_data[[#This Row],[Unemployment]]&gt;='Описательные характеристики'!$I$5,"да","нет")</f>
        <v>нет</v>
      </c>
    </row>
    <row r="2767" spans="1:14" x14ac:dyDescent="0.35">
      <c r="A2767">
        <v>48485</v>
      </c>
      <c r="B2767" t="s">
        <v>1051</v>
      </c>
      <c r="C2767" t="s">
        <v>706</v>
      </c>
      <c r="D2767" s="2">
        <v>131957</v>
      </c>
      <c r="E2767" s="2">
        <v>22861</v>
      </c>
      <c r="F2767" s="3">
        <v>4</v>
      </c>
      <c r="G2767" s="3">
        <v>55053</v>
      </c>
      <c r="H2767" s="3">
        <v>74.599999999999994</v>
      </c>
      <c r="I2767" s="3">
        <v>19.2</v>
      </c>
      <c r="J2767" s="3">
        <v>6</v>
      </c>
      <c r="K2767" s="3">
        <v>0.2</v>
      </c>
      <c r="L2767" s="3">
        <v>6.1</v>
      </c>
      <c r="M2767" t="str">
        <f>IF(acs2015_county_data[[#This Row],[PublicWork]]&gt;='Описательные характеристики'!$F$5,"да","нет")</f>
        <v>да</v>
      </c>
      <c r="N2767" t="str">
        <f>IF(acs2015_county_data[[#This Row],[Unemployment]]&gt;='Описательные характеристики'!$I$5,"да","нет")</f>
        <v>нет</v>
      </c>
    </row>
    <row r="2768" spans="1:14" x14ac:dyDescent="0.35">
      <c r="A2768">
        <v>48487</v>
      </c>
      <c r="B2768" t="s">
        <v>1051</v>
      </c>
      <c r="C2768" t="s">
        <v>1689</v>
      </c>
      <c r="D2768" s="2">
        <v>13158</v>
      </c>
      <c r="E2768" s="2">
        <v>20752</v>
      </c>
      <c r="F2768" s="3">
        <v>3</v>
      </c>
      <c r="G2768" s="3">
        <v>5977</v>
      </c>
      <c r="H2768" s="3">
        <v>66</v>
      </c>
      <c r="I2768" s="3">
        <v>29.6</v>
      </c>
      <c r="J2768" s="3">
        <v>4.4000000000000004</v>
      </c>
      <c r="K2768" s="3">
        <v>0.1</v>
      </c>
      <c r="L2768" s="3">
        <v>7.5</v>
      </c>
      <c r="M2768" t="str">
        <f>IF(acs2015_county_data[[#This Row],[PublicWork]]&gt;='Описательные характеристики'!$F$5,"да","нет")</f>
        <v>да</v>
      </c>
      <c r="N2768" t="str">
        <f>IF(acs2015_county_data[[#This Row],[Unemployment]]&gt;='Описательные характеристики'!$I$5,"да","нет")</f>
        <v>нет</v>
      </c>
    </row>
    <row r="2769" spans="1:14" x14ac:dyDescent="0.35">
      <c r="A2769">
        <v>48489</v>
      </c>
      <c r="B2769" t="s">
        <v>1051</v>
      </c>
      <c r="C2769" t="s">
        <v>1690</v>
      </c>
      <c r="D2769" s="2">
        <v>22002</v>
      </c>
      <c r="E2769" s="2">
        <v>11413</v>
      </c>
      <c r="F2769" s="3">
        <v>2.7</v>
      </c>
      <c r="G2769" s="3">
        <v>5365</v>
      </c>
      <c r="H2769" s="3">
        <v>66.900000000000006</v>
      </c>
      <c r="I2769" s="3">
        <v>23.9</v>
      </c>
      <c r="J2769" s="3">
        <v>9.1</v>
      </c>
      <c r="K2769" s="3">
        <v>0.1</v>
      </c>
      <c r="L2769" s="3">
        <v>11.5</v>
      </c>
      <c r="M2769" t="str">
        <f>IF(acs2015_county_data[[#This Row],[PublicWork]]&gt;='Описательные характеристики'!$F$5,"да","нет")</f>
        <v>да</v>
      </c>
      <c r="N2769" t="str">
        <f>IF(acs2015_county_data[[#This Row],[Unemployment]]&gt;='Описательные характеристики'!$I$5,"да","нет")</f>
        <v>да</v>
      </c>
    </row>
    <row r="2770" spans="1:14" x14ac:dyDescent="0.35">
      <c r="A2770">
        <v>48491</v>
      </c>
      <c r="B2770" t="s">
        <v>1051</v>
      </c>
      <c r="C2770" t="s">
        <v>555</v>
      </c>
      <c r="D2770" s="2">
        <v>473592</v>
      </c>
      <c r="E2770" s="2">
        <v>31876</v>
      </c>
      <c r="F2770" s="3">
        <v>6.9</v>
      </c>
      <c r="G2770" s="3">
        <v>233418</v>
      </c>
      <c r="H2770" s="3">
        <v>78.900000000000006</v>
      </c>
      <c r="I2770" s="3">
        <v>14.9</v>
      </c>
      <c r="J2770" s="3">
        <v>6</v>
      </c>
      <c r="K2770" s="3">
        <v>0.1</v>
      </c>
      <c r="L2770" s="3">
        <v>6</v>
      </c>
      <c r="M2770" t="str">
        <f>IF(acs2015_county_data[[#This Row],[PublicWork]]&gt;='Описательные характеристики'!$F$5,"да","нет")</f>
        <v>нет</v>
      </c>
      <c r="N2770" t="str">
        <f>IF(acs2015_county_data[[#This Row],[Unemployment]]&gt;='Описательные характеристики'!$I$5,"да","нет")</f>
        <v>нет</v>
      </c>
    </row>
    <row r="2771" spans="1:14" x14ac:dyDescent="0.35">
      <c r="A2771">
        <v>48493</v>
      </c>
      <c r="B2771" t="s">
        <v>1051</v>
      </c>
      <c r="C2771" t="s">
        <v>707</v>
      </c>
      <c r="D2771" s="2">
        <v>45509</v>
      </c>
      <c r="E2771" s="2">
        <v>28887</v>
      </c>
      <c r="F2771" s="3">
        <v>5.6</v>
      </c>
      <c r="G2771" s="3">
        <v>20521</v>
      </c>
      <c r="H2771" s="3">
        <v>71.8</v>
      </c>
      <c r="I2771" s="3">
        <v>20.6</v>
      </c>
      <c r="J2771" s="3">
        <v>7.6</v>
      </c>
      <c r="K2771" s="3">
        <v>0.1</v>
      </c>
      <c r="L2771" s="3">
        <v>5.8</v>
      </c>
      <c r="M2771" t="str">
        <f>IF(acs2015_county_data[[#This Row],[PublicWork]]&gt;='Описательные характеристики'!$F$5,"да","нет")</f>
        <v>да</v>
      </c>
      <c r="N2771" t="str">
        <f>IF(acs2015_county_data[[#This Row],[Unemployment]]&gt;='Описательные характеристики'!$I$5,"да","нет")</f>
        <v>нет</v>
      </c>
    </row>
    <row r="2772" spans="1:14" x14ac:dyDescent="0.35">
      <c r="A2772">
        <v>48495</v>
      </c>
      <c r="B2772" t="s">
        <v>1051</v>
      </c>
      <c r="C2772" t="s">
        <v>1691</v>
      </c>
      <c r="D2772" s="2">
        <v>7576</v>
      </c>
      <c r="E2772" s="2">
        <v>22656</v>
      </c>
      <c r="F2772" s="3">
        <v>2.4</v>
      </c>
      <c r="G2772" s="3">
        <v>3271</v>
      </c>
      <c r="H2772" s="3">
        <v>77.599999999999994</v>
      </c>
      <c r="I2772" s="3">
        <v>16.8</v>
      </c>
      <c r="J2772" s="3">
        <v>5.5</v>
      </c>
      <c r="K2772" s="3">
        <v>0.1</v>
      </c>
      <c r="L2772" s="3">
        <v>2.5</v>
      </c>
      <c r="M2772" t="str">
        <f>IF(acs2015_county_data[[#This Row],[PublicWork]]&gt;='Описательные характеристики'!$F$5,"да","нет")</f>
        <v>да</v>
      </c>
      <c r="N2772" t="str">
        <f>IF(acs2015_county_data[[#This Row],[Unemployment]]&gt;='Описательные характеристики'!$I$5,"да","нет")</f>
        <v>нет</v>
      </c>
    </row>
    <row r="2773" spans="1:14" x14ac:dyDescent="0.35">
      <c r="A2773">
        <v>48497</v>
      </c>
      <c r="B2773" t="s">
        <v>1051</v>
      </c>
      <c r="C2773" t="s">
        <v>1692</v>
      </c>
      <c r="D2773" s="2">
        <v>61243</v>
      </c>
      <c r="E2773" s="2">
        <v>27208</v>
      </c>
      <c r="F2773" s="3">
        <v>5.5</v>
      </c>
      <c r="G2773" s="3">
        <v>27154</v>
      </c>
      <c r="H2773" s="3">
        <v>76.900000000000006</v>
      </c>
      <c r="I2773" s="3">
        <v>14.9</v>
      </c>
      <c r="J2773" s="3">
        <v>8.1</v>
      </c>
      <c r="K2773" s="3">
        <v>0.1</v>
      </c>
      <c r="L2773" s="3">
        <v>7.5</v>
      </c>
      <c r="M2773" t="str">
        <f>IF(acs2015_county_data[[#This Row],[PublicWork]]&gt;='Описательные характеристики'!$F$5,"да","нет")</f>
        <v>нет</v>
      </c>
      <c r="N2773" t="str">
        <f>IF(acs2015_county_data[[#This Row],[Unemployment]]&gt;='Описательные характеристики'!$I$5,"да","нет")</f>
        <v>нет</v>
      </c>
    </row>
    <row r="2774" spans="1:14" x14ac:dyDescent="0.35">
      <c r="A2774">
        <v>48499</v>
      </c>
      <c r="B2774" t="s">
        <v>1051</v>
      </c>
      <c r="C2774" t="s">
        <v>1349</v>
      </c>
      <c r="D2774" s="2">
        <v>42712</v>
      </c>
      <c r="E2774" s="2">
        <v>24561</v>
      </c>
      <c r="F2774" s="3">
        <v>6.1</v>
      </c>
      <c r="G2774" s="3">
        <v>15868</v>
      </c>
      <c r="H2774" s="3">
        <v>75</v>
      </c>
      <c r="I2774" s="3">
        <v>15.6</v>
      </c>
      <c r="J2774" s="3">
        <v>9</v>
      </c>
      <c r="K2774" s="3">
        <v>0.4</v>
      </c>
      <c r="L2774" s="3">
        <v>8.9</v>
      </c>
      <c r="M2774" t="str">
        <f>IF(acs2015_county_data[[#This Row],[PublicWork]]&gt;='Описательные характеристики'!$F$5,"да","нет")</f>
        <v>нет</v>
      </c>
      <c r="N2774" t="str">
        <f>IF(acs2015_county_data[[#This Row],[Unemployment]]&gt;='Описательные характеристики'!$I$5,"да","нет")</f>
        <v>да</v>
      </c>
    </row>
    <row r="2775" spans="1:14" x14ac:dyDescent="0.35">
      <c r="A2775">
        <v>48501</v>
      </c>
      <c r="B2775" t="s">
        <v>1051</v>
      </c>
      <c r="C2775" t="s">
        <v>1693</v>
      </c>
      <c r="D2775" s="2">
        <v>8213</v>
      </c>
      <c r="E2775" s="2">
        <v>23125</v>
      </c>
      <c r="F2775" s="3">
        <v>1.9</v>
      </c>
      <c r="G2775" s="3">
        <v>3546</v>
      </c>
      <c r="H2775" s="3">
        <v>73.400000000000006</v>
      </c>
      <c r="I2775" s="3">
        <v>17</v>
      </c>
      <c r="J2775" s="3">
        <v>9.3000000000000007</v>
      </c>
      <c r="K2775" s="3">
        <v>0.2</v>
      </c>
      <c r="L2775" s="3">
        <v>8.1</v>
      </c>
      <c r="M2775" t="str">
        <f>IF(acs2015_county_data[[#This Row],[PublicWork]]&gt;='Описательные характеристики'!$F$5,"да","нет")</f>
        <v>да</v>
      </c>
      <c r="N2775" t="str">
        <f>IF(acs2015_county_data[[#This Row],[Unemployment]]&gt;='Описательные характеристики'!$I$5,"да","нет")</f>
        <v>да</v>
      </c>
    </row>
    <row r="2776" spans="1:14" x14ac:dyDescent="0.35">
      <c r="A2776">
        <v>48503</v>
      </c>
      <c r="B2776" t="s">
        <v>1051</v>
      </c>
      <c r="C2776" t="s">
        <v>1694</v>
      </c>
      <c r="D2776" s="2">
        <v>18329</v>
      </c>
      <c r="E2776" s="2">
        <v>25524</v>
      </c>
      <c r="F2776" s="3">
        <v>5.2</v>
      </c>
      <c r="G2776" s="3">
        <v>8288</v>
      </c>
      <c r="H2776" s="3">
        <v>73.099999999999994</v>
      </c>
      <c r="I2776" s="3">
        <v>15.7</v>
      </c>
      <c r="J2776" s="3">
        <v>10.8</v>
      </c>
      <c r="K2776" s="3">
        <v>0.4</v>
      </c>
      <c r="L2776" s="3">
        <v>5.6</v>
      </c>
      <c r="M2776" t="str">
        <f>IF(acs2015_county_data[[#This Row],[PublicWork]]&gt;='Описательные характеристики'!$F$5,"да","нет")</f>
        <v>нет</v>
      </c>
      <c r="N2776" t="str">
        <f>IF(acs2015_county_data[[#This Row],[Unemployment]]&gt;='Описательные характеристики'!$I$5,"да","нет")</f>
        <v>нет</v>
      </c>
    </row>
    <row r="2777" spans="1:14" x14ac:dyDescent="0.35">
      <c r="A2777">
        <v>48505</v>
      </c>
      <c r="B2777" t="s">
        <v>1051</v>
      </c>
      <c r="C2777" t="s">
        <v>1695</v>
      </c>
      <c r="D2777" s="2">
        <v>14308</v>
      </c>
      <c r="E2777" s="2">
        <v>16619</v>
      </c>
      <c r="F2777" s="3">
        <v>2.2999999999999998</v>
      </c>
      <c r="G2777" s="3">
        <v>5184</v>
      </c>
      <c r="H2777" s="3">
        <v>73.3</v>
      </c>
      <c r="I2777" s="3">
        <v>18.100000000000001</v>
      </c>
      <c r="J2777" s="3">
        <v>8.6999999999999993</v>
      </c>
      <c r="K2777" s="3">
        <v>0</v>
      </c>
      <c r="L2777" s="3">
        <v>12.2</v>
      </c>
      <c r="M2777" t="str">
        <f>IF(acs2015_county_data[[#This Row],[PublicWork]]&gt;='Описательные характеристики'!$F$5,"да","нет")</f>
        <v>да</v>
      </c>
      <c r="N2777" t="str">
        <f>IF(acs2015_county_data[[#This Row],[Unemployment]]&gt;='Описательные характеристики'!$I$5,"да","нет")</f>
        <v>да</v>
      </c>
    </row>
    <row r="2778" spans="1:14" x14ac:dyDescent="0.35">
      <c r="A2778">
        <v>48507</v>
      </c>
      <c r="B2778" t="s">
        <v>1051</v>
      </c>
      <c r="C2778" t="s">
        <v>1696</v>
      </c>
      <c r="D2778" s="2">
        <v>12060</v>
      </c>
      <c r="E2778" s="2">
        <v>13813</v>
      </c>
      <c r="F2778" s="3">
        <v>4.5999999999999996</v>
      </c>
      <c r="G2778" s="3">
        <v>4276</v>
      </c>
      <c r="H2778" s="3">
        <v>70.400000000000006</v>
      </c>
      <c r="I2778" s="3">
        <v>23.8</v>
      </c>
      <c r="J2778" s="3">
        <v>5.6</v>
      </c>
      <c r="K2778" s="3">
        <v>0.1</v>
      </c>
      <c r="L2778" s="3">
        <v>12.2</v>
      </c>
      <c r="M2778" t="str">
        <f>IF(acs2015_county_data[[#This Row],[PublicWork]]&gt;='Описательные характеристики'!$F$5,"да","нет")</f>
        <v>да</v>
      </c>
      <c r="N2778" t="str">
        <f>IF(acs2015_county_data[[#This Row],[Unemployment]]&gt;='Описательные характеристики'!$I$5,"да","нет")</f>
        <v>да</v>
      </c>
    </row>
    <row r="2779" spans="1:14" x14ac:dyDescent="0.35">
      <c r="A2779">
        <v>49001</v>
      </c>
      <c r="B2779" t="s">
        <v>1697</v>
      </c>
      <c r="C2779" t="s">
        <v>1354</v>
      </c>
      <c r="D2779" s="2">
        <v>6461</v>
      </c>
      <c r="E2779" s="2">
        <v>21405</v>
      </c>
      <c r="F2779" s="3">
        <v>1.4</v>
      </c>
      <c r="G2779" s="3">
        <v>2881</v>
      </c>
      <c r="H2779" s="3">
        <v>76</v>
      </c>
      <c r="I2779" s="3">
        <v>20.100000000000001</v>
      </c>
      <c r="J2779" s="3">
        <v>3.4</v>
      </c>
      <c r="K2779" s="3">
        <v>0.5</v>
      </c>
      <c r="L2779" s="3">
        <v>3.8</v>
      </c>
      <c r="M2779" t="str">
        <f>IF(acs2015_county_data[[#This Row],[PublicWork]]&gt;='Описательные характеристики'!$F$5,"да","нет")</f>
        <v>да</v>
      </c>
      <c r="N2779" t="str">
        <f>IF(acs2015_county_data[[#This Row],[Unemployment]]&gt;='Описательные характеристики'!$I$5,"да","нет")</f>
        <v>нет</v>
      </c>
    </row>
    <row r="2780" spans="1:14" x14ac:dyDescent="0.35">
      <c r="A2780">
        <v>49003</v>
      </c>
      <c r="B2780" t="s">
        <v>1697</v>
      </c>
      <c r="C2780" t="s">
        <v>1698</v>
      </c>
      <c r="D2780" s="2">
        <v>50991</v>
      </c>
      <c r="E2780" s="2">
        <v>21748</v>
      </c>
      <c r="F2780" s="3">
        <v>3.4</v>
      </c>
      <c r="G2780" s="3">
        <v>21534</v>
      </c>
      <c r="H2780" s="3">
        <v>79.599999999999994</v>
      </c>
      <c r="I2780" s="3">
        <v>15.9</v>
      </c>
      <c r="J2780" s="3">
        <v>4.3</v>
      </c>
      <c r="K2780" s="3">
        <v>0.2</v>
      </c>
      <c r="L2780" s="3">
        <v>6.3</v>
      </c>
      <c r="M2780" t="str">
        <f>IF(acs2015_county_data[[#This Row],[PublicWork]]&gt;='Описательные характеристики'!$F$5,"да","нет")</f>
        <v>нет</v>
      </c>
      <c r="N2780" t="str">
        <f>IF(acs2015_county_data[[#This Row],[Unemployment]]&gt;='Описательные характеристики'!$I$5,"да","нет")</f>
        <v>нет</v>
      </c>
    </row>
    <row r="2781" spans="1:14" x14ac:dyDescent="0.35">
      <c r="A2781">
        <v>49005</v>
      </c>
      <c r="B2781" t="s">
        <v>1697</v>
      </c>
      <c r="C2781" t="s">
        <v>1699</v>
      </c>
      <c r="D2781" s="2">
        <v>117449</v>
      </c>
      <c r="E2781" s="2">
        <v>20223</v>
      </c>
      <c r="F2781" s="3">
        <v>4.5999999999999996</v>
      </c>
      <c r="G2781" s="3">
        <v>54566</v>
      </c>
      <c r="H2781" s="3">
        <v>76.400000000000006</v>
      </c>
      <c r="I2781" s="3">
        <v>18.600000000000001</v>
      </c>
      <c r="J2781" s="3">
        <v>4.9000000000000004</v>
      </c>
      <c r="K2781" s="3">
        <v>0.2</v>
      </c>
      <c r="L2781" s="3">
        <v>5.5</v>
      </c>
      <c r="M2781" t="str">
        <f>IF(acs2015_county_data[[#This Row],[PublicWork]]&gt;='Описательные характеристики'!$F$5,"да","нет")</f>
        <v>да</v>
      </c>
      <c r="N2781" t="str">
        <f>IF(acs2015_county_data[[#This Row],[Unemployment]]&gt;='Описательные характеристики'!$I$5,"да","нет")</f>
        <v>нет</v>
      </c>
    </row>
    <row r="2782" spans="1:14" x14ac:dyDescent="0.35">
      <c r="A2782">
        <v>49007</v>
      </c>
      <c r="B2782" t="s">
        <v>1697</v>
      </c>
      <c r="C2782" t="s">
        <v>1057</v>
      </c>
      <c r="D2782" s="2">
        <v>20927</v>
      </c>
      <c r="E2782" s="2">
        <v>21287</v>
      </c>
      <c r="F2782" s="3">
        <v>2.6</v>
      </c>
      <c r="G2782" s="3">
        <v>9197</v>
      </c>
      <c r="H2782" s="3">
        <v>74.5</v>
      </c>
      <c r="I2782" s="3">
        <v>20.9</v>
      </c>
      <c r="J2782" s="3">
        <v>4.2</v>
      </c>
      <c r="K2782" s="3">
        <v>0.4</v>
      </c>
      <c r="L2782" s="3">
        <v>7.4</v>
      </c>
      <c r="M2782" t="str">
        <f>IF(acs2015_county_data[[#This Row],[PublicWork]]&gt;='Описательные характеристики'!$F$5,"да","нет")</f>
        <v>да</v>
      </c>
      <c r="N2782" t="str">
        <f>IF(acs2015_county_data[[#This Row],[Unemployment]]&gt;='Описательные характеристики'!$I$5,"да","нет")</f>
        <v>нет</v>
      </c>
    </row>
    <row r="2783" spans="1:14" x14ac:dyDescent="0.35">
      <c r="A2783">
        <v>49009</v>
      </c>
      <c r="B2783" t="s">
        <v>1697</v>
      </c>
      <c r="C2783" t="s">
        <v>1700</v>
      </c>
      <c r="D2783" s="2">
        <v>776</v>
      </c>
      <c r="E2783" s="2">
        <v>22149</v>
      </c>
      <c r="F2783" s="3">
        <v>5.6</v>
      </c>
      <c r="G2783" s="3">
        <v>222</v>
      </c>
      <c r="H2783" s="3">
        <v>47.7</v>
      </c>
      <c r="I2783" s="3">
        <v>44.1</v>
      </c>
      <c r="J2783" s="3">
        <v>8.1</v>
      </c>
      <c r="K2783" s="3">
        <v>0</v>
      </c>
      <c r="L2783" s="3">
        <v>4.3</v>
      </c>
      <c r="M2783" t="str">
        <f>IF(acs2015_county_data[[#This Row],[PublicWork]]&gt;='Описательные характеристики'!$F$5,"да","нет")</f>
        <v>да</v>
      </c>
      <c r="N2783" t="str">
        <f>IF(acs2015_county_data[[#This Row],[Unemployment]]&gt;='Описательные характеристики'!$I$5,"да","нет")</f>
        <v>нет</v>
      </c>
    </row>
    <row r="2784" spans="1:14" x14ac:dyDescent="0.35">
      <c r="A2784">
        <v>49011</v>
      </c>
      <c r="B2784" t="s">
        <v>1697</v>
      </c>
      <c r="C2784" t="s">
        <v>610</v>
      </c>
      <c r="D2784" s="2">
        <v>323374</v>
      </c>
      <c r="E2784" s="2">
        <v>26411</v>
      </c>
      <c r="F2784" s="3">
        <v>5.2</v>
      </c>
      <c r="G2784" s="3">
        <v>147875</v>
      </c>
      <c r="H2784" s="3">
        <v>76.5</v>
      </c>
      <c r="I2784" s="3">
        <v>19.2</v>
      </c>
      <c r="J2784" s="3">
        <v>4.0999999999999996</v>
      </c>
      <c r="K2784" s="3">
        <v>0.1</v>
      </c>
      <c r="L2784" s="3">
        <v>4.2</v>
      </c>
      <c r="M2784" t="str">
        <f>IF(acs2015_county_data[[#This Row],[PublicWork]]&gt;='Описательные характеристики'!$F$5,"да","нет")</f>
        <v>да</v>
      </c>
      <c r="N2784" t="str">
        <f>IF(acs2015_county_data[[#This Row],[Unemployment]]&gt;='Описательные характеристики'!$I$5,"да","нет")</f>
        <v>нет</v>
      </c>
    </row>
    <row r="2785" spans="1:14" x14ac:dyDescent="0.35">
      <c r="A2785">
        <v>49013</v>
      </c>
      <c r="B2785" t="s">
        <v>1697</v>
      </c>
      <c r="C2785" t="s">
        <v>1701</v>
      </c>
      <c r="D2785" s="2">
        <v>19817</v>
      </c>
      <c r="E2785" s="2">
        <v>23576</v>
      </c>
      <c r="F2785" s="3">
        <v>3.1</v>
      </c>
      <c r="G2785" s="3">
        <v>7875</v>
      </c>
      <c r="H2785" s="3">
        <v>75.099999999999994</v>
      </c>
      <c r="I2785" s="3">
        <v>20.399999999999999</v>
      </c>
      <c r="J2785" s="3">
        <v>4.3</v>
      </c>
      <c r="K2785" s="3">
        <v>0.2</v>
      </c>
      <c r="L2785" s="3">
        <v>5.2</v>
      </c>
      <c r="M2785" t="str">
        <f>IF(acs2015_county_data[[#This Row],[PublicWork]]&gt;='Описательные характеристики'!$F$5,"да","нет")</f>
        <v>да</v>
      </c>
      <c r="N2785" t="str">
        <f>IF(acs2015_county_data[[#This Row],[Unemployment]]&gt;='Описательные характеристики'!$I$5,"да","нет")</f>
        <v>нет</v>
      </c>
    </row>
    <row r="2786" spans="1:14" x14ac:dyDescent="0.35">
      <c r="A2786">
        <v>49015</v>
      </c>
      <c r="B2786" t="s">
        <v>1697</v>
      </c>
      <c r="C2786" t="s">
        <v>1702</v>
      </c>
      <c r="D2786" s="2">
        <v>10728</v>
      </c>
      <c r="E2786" s="2">
        <v>19717</v>
      </c>
      <c r="F2786" s="3">
        <v>5.8</v>
      </c>
      <c r="G2786" s="3">
        <v>4188</v>
      </c>
      <c r="H2786" s="3">
        <v>71.5</v>
      </c>
      <c r="I2786" s="3">
        <v>22.5</v>
      </c>
      <c r="J2786" s="3">
        <v>5.7</v>
      </c>
      <c r="K2786" s="3">
        <v>0.2</v>
      </c>
      <c r="L2786" s="3">
        <v>5.7</v>
      </c>
      <c r="M2786" t="str">
        <f>IF(acs2015_county_data[[#This Row],[PublicWork]]&gt;='Описательные характеристики'!$F$5,"да","нет")</f>
        <v>да</v>
      </c>
      <c r="N2786" t="str">
        <f>IF(acs2015_county_data[[#This Row],[Unemployment]]&gt;='Описательные характеристики'!$I$5,"да","нет")</f>
        <v>нет</v>
      </c>
    </row>
    <row r="2787" spans="1:14" x14ac:dyDescent="0.35">
      <c r="A2787">
        <v>49017</v>
      </c>
      <c r="B2787" t="s">
        <v>1697</v>
      </c>
      <c r="C2787" t="s">
        <v>259</v>
      </c>
      <c r="D2787" s="2">
        <v>5069</v>
      </c>
      <c r="E2787" s="2">
        <v>19971</v>
      </c>
      <c r="F2787" s="3">
        <v>4.5</v>
      </c>
      <c r="G2787" s="3">
        <v>2000</v>
      </c>
      <c r="H2787" s="3">
        <v>70.8</v>
      </c>
      <c r="I2787" s="3">
        <v>20.100000000000001</v>
      </c>
      <c r="J2787" s="3">
        <v>8.9</v>
      </c>
      <c r="K2787" s="3">
        <v>0.3</v>
      </c>
      <c r="L2787" s="3">
        <v>8.6</v>
      </c>
      <c r="M2787" t="str">
        <f>IF(acs2015_county_data[[#This Row],[PublicWork]]&gt;='Описательные характеристики'!$F$5,"да","нет")</f>
        <v>да</v>
      </c>
      <c r="N2787" t="str">
        <f>IF(acs2015_county_data[[#This Row],[Unemployment]]&gt;='Описательные характеристики'!$I$5,"да","нет")</f>
        <v>да</v>
      </c>
    </row>
    <row r="2788" spans="1:14" x14ac:dyDescent="0.35">
      <c r="A2788">
        <v>49019</v>
      </c>
      <c r="B2788" t="s">
        <v>1697</v>
      </c>
      <c r="C2788" t="s">
        <v>261</v>
      </c>
      <c r="D2788" s="2">
        <v>9388</v>
      </c>
      <c r="E2788" s="2">
        <v>22635</v>
      </c>
      <c r="F2788" s="3">
        <v>7</v>
      </c>
      <c r="G2788" s="3">
        <v>4741</v>
      </c>
      <c r="H2788" s="3">
        <v>76.2</v>
      </c>
      <c r="I2788" s="3">
        <v>14.7</v>
      </c>
      <c r="J2788" s="3">
        <v>9</v>
      </c>
      <c r="K2788" s="3">
        <v>0</v>
      </c>
      <c r="L2788" s="3">
        <v>7.1</v>
      </c>
      <c r="M2788" t="str">
        <f>IF(acs2015_county_data[[#This Row],[PublicWork]]&gt;='Описательные характеристики'!$F$5,"да","нет")</f>
        <v>нет</v>
      </c>
      <c r="N2788" t="str">
        <f>IF(acs2015_county_data[[#This Row],[Unemployment]]&gt;='Описательные характеристики'!$I$5,"да","нет")</f>
        <v>нет</v>
      </c>
    </row>
    <row r="2789" spans="1:14" x14ac:dyDescent="0.35">
      <c r="A2789">
        <v>49021</v>
      </c>
      <c r="B2789" t="s">
        <v>1697</v>
      </c>
      <c r="C2789" t="s">
        <v>881</v>
      </c>
      <c r="D2789" s="2">
        <v>47139</v>
      </c>
      <c r="E2789" s="2">
        <v>18995</v>
      </c>
      <c r="F2789" s="3">
        <v>2.8</v>
      </c>
      <c r="G2789" s="3">
        <v>19636</v>
      </c>
      <c r="H2789" s="3">
        <v>74.599999999999994</v>
      </c>
      <c r="I2789" s="3">
        <v>20.9</v>
      </c>
      <c r="J2789" s="3">
        <v>4.5</v>
      </c>
      <c r="K2789" s="3">
        <v>0</v>
      </c>
      <c r="L2789" s="3">
        <v>10.5</v>
      </c>
      <c r="M2789" t="str">
        <f>IF(acs2015_county_data[[#This Row],[PublicWork]]&gt;='Описательные характеристики'!$F$5,"да","нет")</f>
        <v>да</v>
      </c>
      <c r="N2789" t="str">
        <f>IF(acs2015_county_data[[#This Row],[Unemployment]]&gt;='Описательные характеристики'!$I$5,"да","нет")</f>
        <v>да</v>
      </c>
    </row>
    <row r="2790" spans="1:14" x14ac:dyDescent="0.35">
      <c r="A2790">
        <v>49023</v>
      </c>
      <c r="B2790" t="s">
        <v>1697</v>
      </c>
      <c r="C2790" t="s">
        <v>1703</v>
      </c>
      <c r="D2790" s="2">
        <v>10400</v>
      </c>
      <c r="E2790" s="2">
        <v>18447</v>
      </c>
      <c r="F2790" s="3">
        <v>4.9000000000000004</v>
      </c>
      <c r="G2790" s="3">
        <v>4422</v>
      </c>
      <c r="H2790" s="3">
        <v>76.400000000000006</v>
      </c>
      <c r="I2790" s="3">
        <v>19.2</v>
      </c>
      <c r="J2790" s="3">
        <v>4.4000000000000004</v>
      </c>
      <c r="K2790" s="3">
        <v>0</v>
      </c>
      <c r="L2790" s="3">
        <v>3.8</v>
      </c>
      <c r="M2790" t="str">
        <f>IF(acs2015_county_data[[#This Row],[PublicWork]]&gt;='Описательные характеристики'!$F$5,"да","нет")</f>
        <v>да</v>
      </c>
      <c r="N2790" t="str">
        <f>IF(acs2015_county_data[[#This Row],[Unemployment]]&gt;='Описательные характеристики'!$I$5,"да","нет")</f>
        <v>нет</v>
      </c>
    </row>
    <row r="2791" spans="1:14" x14ac:dyDescent="0.35">
      <c r="A2791">
        <v>49025</v>
      </c>
      <c r="B2791" t="s">
        <v>1697</v>
      </c>
      <c r="C2791" t="s">
        <v>526</v>
      </c>
      <c r="D2791" s="2">
        <v>7202</v>
      </c>
      <c r="E2791" s="2">
        <v>24729</v>
      </c>
      <c r="F2791" s="3">
        <v>6.8</v>
      </c>
      <c r="G2791" s="3">
        <v>3201</v>
      </c>
      <c r="H2791" s="3">
        <v>70.599999999999994</v>
      </c>
      <c r="I2791" s="3">
        <v>23.4</v>
      </c>
      <c r="J2791" s="3">
        <v>4.0999999999999996</v>
      </c>
      <c r="K2791" s="3">
        <v>1.9</v>
      </c>
      <c r="L2791" s="3">
        <v>7</v>
      </c>
      <c r="M2791" t="str">
        <f>IF(acs2015_county_data[[#This Row],[PublicWork]]&gt;='Описательные характеристики'!$F$5,"да","нет")</f>
        <v>да</v>
      </c>
      <c r="N2791" t="str">
        <f>IF(acs2015_county_data[[#This Row],[Unemployment]]&gt;='Описательные характеристики'!$I$5,"да","нет")</f>
        <v>нет</v>
      </c>
    </row>
    <row r="2792" spans="1:14" x14ac:dyDescent="0.35">
      <c r="A2792">
        <v>49027</v>
      </c>
      <c r="B2792" t="s">
        <v>1697</v>
      </c>
      <c r="C2792" t="s">
        <v>1704</v>
      </c>
      <c r="D2792" s="2">
        <v>12582</v>
      </c>
      <c r="E2792" s="2">
        <v>20602</v>
      </c>
      <c r="F2792" s="3">
        <v>4.0999999999999996</v>
      </c>
      <c r="G2792" s="3">
        <v>5499</v>
      </c>
      <c r="H2792" s="3">
        <v>73.2</v>
      </c>
      <c r="I2792" s="3">
        <v>17.399999999999999</v>
      </c>
      <c r="J2792" s="3">
        <v>9.1999999999999993</v>
      </c>
      <c r="K2792" s="3">
        <v>0.2</v>
      </c>
      <c r="L2792" s="3">
        <v>4.3</v>
      </c>
      <c r="M2792" t="str">
        <f>IF(acs2015_county_data[[#This Row],[PublicWork]]&gt;='Описательные характеристики'!$F$5,"да","нет")</f>
        <v>да</v>
      </c>
      <c r="N2792" t="str">
        <f>IF(acs2015_county_data[[#This Row],[Unemployment]]&gt;='Описательные характеристики'!$I$5,"да","нет")</f>
        <v>нет</v>
      </c>
    </row>
    <row r="2793" spans="1:14" x14ac:dyDescent="0.35">
      <c r="A2793">
        <v>49029</v>
      </c>
      <c r="B2793" t="s">
        <v>1697</v>
      </c>
      <c r="C2793" t="s">
        <v>63</v>
      </c>
      <c r="D2793" s="2">
        <v>10276</v>
      </c>
      <c r="E2793" s="2">
        <v>27312</v>
      </c>
      <c r="F2793" s="3">
        <v>4.4000000000000004</v>
      </c>
      <c r="G2793" s="3">
        <v>4234</v>
      </c>
      <c r="H2793" s="3">
        <v>80.099999999999994</v>
      </c>
      <c r="I2793" s="3">
        <v>14.2</v>
      </c>
      <c r="J2793" s="3">
        <v>5.7</v>
      </c>
      <c r="K2793" s="3">
        <v>0</v>
      </c>
      <c r="L2793" s="3">
        <v>6</v>
      </c>
      <c r="M2793" t="str">
        <f>IF(acs2015_county_data[[#This Row],[PublicWork]]&gt;='Описательные характеристики'!$F$5,"да","нет")</f>
        <v>нет</v>
      </c>
      <c r="N2793" t="str">
        <f>IF(acs2015_county_data[[#This Row],[Unemployment]]&gt;='Описательные характеристики'!$I$5,"да","нет")</f>
        <v>нет</v>
      </c>
    </row>
    <row r="2794" spans="1:14" x14ac:dyDescent="0.35">
      <c r="A2794">
        <v>49031</v>
      </c>
      <c r="B2794" t="s">
        <v>1697</v>
      </c>
      <c r="C2794" t="s">
        <v>1705</v>
      </c>
      <c r="D2794" s="2">
        <v>1865</v>
      </c>
      <c r="E2794" s="2">
        <v>17493</v>
      </c>
      <c r="F2794" s="3">
        <v>6.5</v>
      </c>
      <c r="G2794" s="3">
        <v>653</v>
      </c>
      <c r="H2794" s="3">
        <v>61.3</v>
      </c>
      <c r="I2794" s="3">
        <v>31.9</v>
      </c>
      <c r="J2794" s="3">
        <v>6</v>
      </c>
      <c r="K2794" s="3">
        <v>0.9</v>
      </c>
      <c r="L2794" s="3">
        <v>6.8</v>
      </c>
      <c r="M2794" t="str">
        <f>IF(acs2015_county_data[[#This Row],[PublicWork]]&gt;='Описательные характеристики'!$F$5,"да","нет")</f>
        <v>да</v>
      </c>
      <c r="N2794" t="str">
        <f>IF(acs2015_county_data[[#This Row],[Unemployment]]&gt;='Описательные характеристики'!$I$5,"да","нет")</f>
        <v>нет</v>
      </c>
    </row>
    <row r="2795" spans="1:14" x14ac:dyDescent="0.35">
      <c r="A2795">
        <v>49033</v>
      </c>
      <c r="B2795" t="s">
        <v>1697</v>
      </c>
      <c r="C2795" t="s">
        <v>1706</v>
      </c>
      <c r="D2795" s="2">
        <v>2292</v>
      </c>
      <c r="E2795" s="2">
        <v>19168</v>
      </c>
      <c r="F2795" s="3">
        <v>5.5</v>
      </c>
      <c r="G2795" s="3">
        <v>731</v>
      </c>
      <c r="H2795" s="3">
        <v>74.400000000000006</v>
      </c>
      <c r="I2795" s="3">
        <v>18.600000000000001</v>
      </c>
      <c r="J2795" s="3">
        <v>7</v>
      </c>
      <c r="K2795" s="3">
        <v>0</v>
      </c>
      <c r="L2795" s="3">
        <v>6.2</v>
      </c>
      <c r="M2795" t="str">
        <f>IF(acs2015_county_data[[#This Row],[PublicWork]]&gt;='Описательные характеристики'!$F$5,"да","нет")</f>
        <v>да</v>
      </c>
      <c r="N2795" t="str">
        <f>IF(acs2015_county_data[[#This Row],[Unemployment]]&gt;='Описательные характеристики'!$I$5,"да","нет")</f>
        <v>нет</v>
      </c>
    </row>
    <row r="2796" spans="1:14" x14ac:dyDescent="0.35">
      <c r="A2796">
        <v>49035</v>
      </c>
      <c r="B2796" t="s">
        <v>1697</v>
      </c>
      <c r="C2796" t="s">
        <v>1707</v>
      </c>
      <c r="D2796" s="2">
        <v>1078958</v>
      </c>
      <c r="E2796" s="2">
        <v>27314</v>
      </c>
      <c r="F2796" s="3">
        <v>4.9000000000000004</v>
      </c>
      <c r="G2796" s="3">
        <v>536170</v>
      </c>
      <c r="H2796" s="3">
        <v>82.1</v>
      </c>
      <c r="I2796" s="3">
        <v>13.3</v>
      </c>
      <c r="J2796" s="3">
        <v>4.5</v>
      </c>
      <c r="K2796" s="3">
        <v>0.1</v>
      </c>
      <c r="L2796" s="3">
        <v>5.8</v>
      </c>
      <c r="M2796" t="str">
        <f>IF(acs2015_county_data[[#This Row],[PublicWork]]&gt;='Описательные характеристики'!$F$5,"да","нет")</f>
        <v>нет</v>
      </c>
      <c r="N2796" t="str">
        <f>IF(acs2015_county_data[[#This Row],[Unemployment]]&gt;='Описательные характеристики'!$I$5,"да","нет")</f>
        <v>нет</v>
      </c>
    </row>
    <row r="2797" spans="1:14" x14ac:dyDescent="0.35">
      <c r="A2797">
        <v>49037</v>
      </c>
      <c r="B2797" t="s">
        <v>1697</v>
      </c>
      <c r="C2797" t="s">
        <v>285</v>
      </c>
      <c r="D2797" s="2">
        <v>15152</v>
      </c>
      <c r="E2797" s="2">
        <v>15654</v>
      </c>
      <c r="F2797" s="3">
        <v>7.1</v>
      </c>
      <c r="G2797" s="3">
        <v>5026</v>
      </c>
      <c r="H2797" s="3">
        <v>60.1</v>
      </c>
      <c r="I2797" s="3">
        <v>33.700000000000003</v>
      </c>
      <c r="J2797" s="3">
        <v>5.8</v>
      </c>
      <c r="K2797" s="3">
        <v>0.3</v>
      </c>
      <c r="L2797" s="3">
        <v>8.4</v>
      </c>
      <c r="M2797" t="str">
        <f>IF(acs2015_county_data[[#This Row],[PublicWork]]&gt;='Описательные характеристики'!$F$5,"да","нет")</f>
        <v>да</v>
      </c>
      <c r="N2797" t="str">
        <f>IF(acs2015_county_data[[#This Row],[Unemployment]]&gt;='Описательные характеристики'!$I$5,"да","нет")</f>
        <v>да</v>
      </c>
    </row>
    <row r="2798" spans="1:14" x14ac:dyDescent="0.35">
      <c r="A2798">
        <v>49039</v>
      </c>
      <c r="B2798" t="s">
        <v>1697</v>
      </c>
      <c r="C2798" t="s">
        <v>1708</v>
      </c>
      <c r="D2798" s="2">
        <v>28261</v>
      </c>
      <c r="E2798" s="2">
        <v>16965</v>
      </c>
      <c r="F2798" s="3">
        <v>5.8</v>
      </c>
      <c r="G2798" s="3">
        <v>10060</v>
      </c>
      <c r="H2798" s="3">
        <v>74.8</v>
      </c>
      <c r="I2798" s="3">
        <v>18.7</v>
      </c>
      <c r="J2798" s="3">
        <v>6.5</v>
      </c>
      <c r="K2798" s="3">
        <v>0.1</v>
      </c>
      <c r="L2798" s="3">
        <v>8.3000000000000007</v>
      </c>
      <c r="M2798" t="str">
        <f>IF(acs2015_county_data[[#This Row],[PublicWork]]&gt;='Описательные характеристики'!$F$5,"да","нет")</f>
        <v>да</v>
      </c>
      <c r="N2798" t="str">
        <f>IF(acs2015_county_data[[#This Row],[Unemployment]]&gt;='Описательные характеристики'!$I$5,"да","нет")</f>
        <v>да</v>
      </c>
    </row>
    <row r="2799" spans="1:14" x14ac:dyDescent="0.35">
      <c r="A2799">
        <v>49041</v>
      </c>
      <c r="B2799" t="s">
        <v>1697</v>
      </c>
      <c r="C2799" t="s">
        <v>172</v>
      </c>
      <c r="D2799" s="2">
        <v>20871</v>
      </c>
      <c r="E2799" s="2">
        <v>19261</v>
      </c>
      <c r="F2799" s="3">
        <v>4.4000000000000004</v>
      </c>
      <c r="G2799" s="3">
        <v>8449</v>
      </c>
      <c r="H2799" s="3">
        <v>71.900000000000006</v>
      </c>
      <c r="I2799" s="3">
        <v>21</v>
      </c>
      <c r="J2799" s="3">
        <v>5.6</v>
      </c>
      <c r="K2799" s="3">
        <v>1.5</v>
      </c>
      <c r="L2799" s="3">
        <v>5.9</v>
      </c>
      <c r="M2799" t="str">
        <f>IF(acs2015_county_data[[#This Row],[PublicWork]]&gt;='Описательные характеристики'!$F$5,"да","нет")</f>
        <v>да</v>
      </c>
      <c r="N2799" t="str">
        <f>IF(acs2015_county_data[[#This Row],[Unemployment]]&gt;='Описательные характеристики'!$I$5,"да","нет")</f>
        <v>нет</v>
      </c>
    </row>
    <row r="2800" spans="1:14" x14ac:dyDescent="0.35">
      <c r="A2800">
        <v>49043</v>
      </c>
      <c r="B2800" t="s">
        <v>1697</v>
      </c>
      <c r="C2800" t="s">
        <v>288</v>
      </c>
      <c r="D2800" s="2">
        <v>38521</v>
      </c>
      <c r="E2800" s="2">
        <v>47733</v>
      </c>
      <c r="F2800" s="3">
        <v>12.1</v>
      </c>
      <c r="G2800" s="3">
        <v>20741</v>
      </c>
      <c r="H2800" s="3">
        <v>80.599999999999994</v>
      </c>
      <c r="I2800" s="3">
        <v>12.7</v>
      </c>
      <c r="J2800" s="3">
        <v>6.6</v>
      </c>
      <c r="K2800" s="3">
        <v>0.1</v>
      </c>
      <c r="L2800" s="3">
        <v>3.2</v>
      </c>
      <c r="M2800" t="str">
        <f>IF(acs2015_county_data[[#This Row],[PublicWork]]&gt;='Описательные характеристики'!$F$5,"да","нет")</f>
        <v>нет</v>
      </c>
      <c r="N2800" t="str">
        <f>IF(acs2015_county_data[[#This Row],[Unemployment]]&gt;='Описательные характеристики'!$I$5,"да","нет")</f>
        <v>нет</v>
      </c>
    </row>
    <row r="2801" spans="1:14" x14ac:dyDescent="0.35">
      <c r="A2801">
        <v>49045</v>
      </c>
      <c r="B2801" t="s">
        <v>1697</v>
      </c>
      <c r="C2801" t="s">
        <v>1709</v>
      </c>
      <c r="D2801" s="2">
        <v>60893</v>
      </c>
      <c r="E2801" s="2">
        <v>22643</v>
      </c>
      <c r="F2801" s="3">
        <v>3.9</v>
      </c>
      <c r="G2801" s="3">
        <v>26337</v>
      </c>
      <c r="H2801" s="3">
        <v>74.8</v>
      </c>
      <c r="I2801" s="3">
        <v>21.2</v>
      </c>
      <c r="J2801" s="3">
        <v>3.9</v>
      </c>
      <c r="K2801" s="3">
        <v>0.1</v>
      </c>
      <c r="L2801" s="3">
        <v>7.1</v>
      </c>
      <c r="M2801" t="str">
        <f>IF(acs2015_county_data[[#This Row],[PublicWork]]&gt;='Описательные характеристики'!$F$5,"да","нет")</f>
        <v>да</v>
      </c>
      <c r="N2801" t="str">
        <f>IF(acs2015_county_data[[#This Row],[Unemployment]]&gt;='Описательные характеристики'!$I$5,"да","нет")</f>
        <v>нет</v>
      </c>
    </row>
    <row r="2802" spans="1:14" x14ac:dyDescent="0.35">
      <c r="A2802">
        <v>49047</v>
      </c>
      <c r="B2802" t="s">
        <v>1697</v>
      </c>
      <c r="C2802" t="s">
        <v>1710</v>
      </c>
      <c r="D2802" s="2">
        <v>35721</v>
      </c>
      <c r="E2802" s="2">
        <v>24720</v>
      </c>
      <c r="F2802" s="3">
        <v>3.5</v>
      </c>
      <c r="G2802" s="3">
        <v>15359</v>
      </c>
      <c r="H2802" s="3">
        <v>78.599999999999994</v>
      </c>
      <c r="I2802" s="3">
        <v>16.3</v>
      </c>
      <c r="J2802" s="3">
        <v>4.7</v>
      </c>
      <c r="K2802" s="3">
        <v>0.4</v>
      </c>
      <c r="L2802" s="3">
        <v>5.0999999999999996</v>
      </c>
      <c r="M2802" t="str">
        <f>IF(acs2015_county_data[[#This Row],[PublicWork]]&gt;='Описательные характеристики'!$F$5,"да","нет")</f>
        <v>да</v>
      </c>
      <c r="N2802" t="str">
        <f>IF(acs2015_county_data[[#This Row],[Unemployment]]&gt;='Описательные характеристики'!$I$5,"да","нет")</f>
        <v>нет</v>
      </c>
    </row>
    <row r="2803" spans="1:14" x14ac:dyDescent="0.35">
      <c r="A2803">
        <v>49049</v>
      </c>
      <c r="B2803" t="s">
        <v>1697</v>
      </c>
      <c r="C2803" t="s">
        <v>1697</v>
      </c>
      <c r="D2803" s="2">
        <v>551957</v>
      </c>
      <c r="E2803" s="2">
        <v>21335</v>
      </c>
      <c r="F2803" s="3">
        <v>6.1</v>
      </c>
      <c r="G2803" s="3">
        <v>241085</v>
      </c>
      <c r="H2803" s="3">
        <v>83.1</v>
      </c>
      <c r="I2803" s="3">
        <v>12.3</v>
      </c>
      <c r="J2803" s="3">
        <v>4.4000000000000004</v>
      </c>
      <c r="K2803" s="3">
        <v>0.2</v>
      </c>
      <c r="L2803" s="3">
        <v>5.5</v>
      </c>
      <c r="M2803" t="str">
        <f>IF(acs2015_county_data[[#This Row],[PublicWork]]&gt;='Описательные характеристики'!$F$5,"да","нет")</f>
        <v>нет</v>
      </c>
      <c r="N2803" t="str">
        <f>IF(acs2015_county_data[[#This Row],[Unemployment]]&gt;='Описательные характеристики'!$I$5,"да","нет")</f>
        <v>нет</v>
      </c>
    </row>
    <row r="2804" spans="1:14" x14ac:dyDescent="0.35">
      <c r="A2804">
        <v>49051</v>
      </c>
      <c r="B2804" t="s">
        <v>1697</v>
      </c>
      <c r="C2804" t="s">
        <v>1711</v>
      </c>
      <c r="D2804" s="2">
        <v>26661</v>
      </c>
      <c r="E2804" s="2">
        <v>26397</v>
      </c>
      <c r="F2804" s="3">
        <v>6.3</v>
      </c>
      <c r="G2804" s="3">
        <v>12451</v>
      </c>
      <c r="H2804" s="3">
        <v>79</v>
      </c>
      <c r="I2804" s="3">
        <v>15.3</v>
      </c>
      <c r="J2804" s="3">
        <v>5.4</v>
      </c>
      <c r="K2804" s="3">
        <v>0.2</v>
      </c>
      <c r="L2804" s="3">
        <v>4.7</v>
      </c>
      <c r="M2804" t="str">
        <f>IF(acs2015_county_data[[#This Row],[PublicWork]]&gt;='Описательные характеристики'!$F$5,"да","нет")</f>
        <v>нет</v>
      </c>
      <c r="N2804" t="str">
        <f>IF(acs2015_county_data[[#This Row],[Unemployment]]&gt;='Описательные характеристики'!$I$5,"да","нет")</f>
        <v>нет</v>
      </c>
    </row>
    <row r="2805" spans="1:14" x14ac:dyDescent="0.35">
      <c r="A2805">
        <v>49053</v>
      </c>
      <c r="B2805" t="s">
        <v>1697</v>
      </c>
      <c r="C2805" t="s">
        <v>75</v>
      </c>
      <c r="D2805" s="2">
        <v>148244</v>
      </c>
      <c r="E2805" s="2">
        <v>22459</v>
      </c>
      <c r="F2805" s="3">
        <v>5.2</v>
      </c>
      <c r="G2805" s="3">
        <v>57785</v>
      </c>
      <c r="H2805" s="3">
        <v>80.900000000000006</v>
      </c>
      <c r="I2805" s="3">
        <v>13.7</v>
      </c>
      <c r="J2805" s="3">
        <v>5.3</v>
      </c>
      <c r="K2805" s="3">
        <v>0.2</v>
      </c>
      <c r="L2805" s="3">
        <v>7.7</v>
      </c>
      <c r="M2805" t="str">
        <f>IF(acs2015_county_data[[#This Row],[PublicWork]]&gt;='Описательные характеристики'!$F$5,"да","нет")</f>
        <v>нет</v>
      </c>
      <c r="N2805" t="str">
        <f>IF(acs2015_county_data[[#This Row],[Unemployment]]&gt;='Описательные характеристики'!$I$5,"да","нет")</f>
        <v>да</v>
      </c>
    </row>
    <row r="2806" spans="1:14" x14ac:dyDescent="0.35">
      <c r="A2806">
        <v>49055</v>
      </c>
      <c r="B2806" t="s">
        <v>1697</v>
      </c>
      <c r="C2806" t="s">
        <v>457</v>
      </c>
      <c r="D2806" s="2">
        <v>2722</v>
      </c>
      <c r="E2806" s="2">
        <v>20121</v>
      </c>
      <c r="F2806" s="3">
        <v>7.1</v>
      </c>
      <c r="G2806" s="3">
        <v>1254</v>
      </c>
      <c r="H2806" s="3">
        <v>68</v>
      </c>
      <c r="I2806" s="3">
        <v>21.1</v>
      </c>
      <c r="J2806" s="3">
        <v>10.9</v>
      </c>
      <c r="K2806" s="3">
        <v>0</v>
      </c>
      <c r="L2806" s="3">
        <v>2.1</v>
      </c>
      <c r="M2806" t="str">
        <f>IF(acs2015_county_data[[#This Row],[PublicWork]]&gt;='Описательные характеристики'!$F$5,"да","нет")</f>
        <v>да</v>
      </c>
      <c r="N2806" t="str">
        <f>IF(acs2015_county_data[[#This Row],[Unemployment]]&gt;='Описательные характеристики'!$I$5,"да","нет")</f>
        <v>нет</v>
      </c>
    </row>
    <row r="2807" spans="1:14" x14ac:dyDescent="0.35">
      <c r="A2807">
        <v>49057</v>
      </c>
      <c r="B2807" t="s">
        <v>1697</v>
      </c>
      <c r="C2807" t="s">
        <v>1712</v>
      </c>
      <c r="D2807" s="2">
        <v>238682</v>
      </c>
      <c r="E2807" s="2">
        <v>23545</v>
      </c>
      <c r="F2807" s="3">
        <v>4.0999999999999996</v>
      </c>
      <c r="G2807" s="3">
        <v>109474</v>
      </c>
      <c r="H2807" s="3">
        <v>76.400000000000006</v>
      </c>
      <c r="I2807" s="3">
        <v>19.5</v>
      </c>
      <c r="J2807" s="3">
        <v>3.9</v>
      </c>
      <c r="K2807" s="3">
        <v>0.1</v>
      </c>
      <c r="L2807" s="3">
        <v>6.3</v>
      </c>
      <c r="M2807" t="str">
        <f>IF(acs2015_county_data[[#This Row],[PublicWork]]&gt;='Описательные характеристики'!$F$5,"да","нет")</f>
        <v>да</v>
      </c>
      <c r="N2807" t="str">
        <f>IF(acs2015_county_data[[#This Row],[Unemployment]]&gt;='Описательные характеристики'!$I$5,"да","нет")</f>
        <v>нет</v>
      </c>
    </row>
    <row r="2808" spans="1:14" x14ac:dyDescent="0.35">
      <c r="A2808">
        <v>50001</v>
      </c>
      <c r="B2808" t="s">
        <v>1713</v>
      </c>
      <c r="C2808" t="s">
        <v>1714</v>
      </c>
      <c r="D2808" s="2">
        <v>36943</v>
      </c>
      <c r="E2808" s="2">
        <v>29561</v>
      </c>
      <c r="F2808" s="3">
        <v>8.1999999999999993</v>
      </c>
      <c r="G2808" s="3">
        <v>19530</v>
      </c>
      <c r="H2808" s="3">
        <v>76.099999999999994</v>
      </c>
      <c r="I2808" s="3">
        <v>11.5</v>
      </c>
      <c r="J2808" s="3">
        <v>12.2</v>
      </c>
      <c r="K2808" s="3">
        <v>0.2</v>
      </c>
      <c r="L2808" s="3">
        <v>5.8</v>
      </c>
      <c r="M2808" t="str">
        <f>IF(acs2015_county_data[[#This Row],[PublicWork]]&gt;='Описательные характеристики'!$F$5,"да","нет")</f>
        <v>нет</v>
      </c>
      <c r="N2808" t="str">
        <f>IF(acs2015_county_data[[#This Row],[Unemployment]]&gt;='Описательные характеристики'!$I$5,"да","нет")</f>
        <v>нет</v>
      </c>
    </row>
    <row r="2809" spans="1:14" x14ac:dyDescent="0.35">
      <c r="A2809">
        <v>50003</v>
      </c>
      <c r="B2809" t="s">
        <v>1713</v>
      </c>
      <c r="C2809" t="s">
        <v>1715</v>
      </c>
      <c r="D2809" s="2">
        <v>36589</v>
      </c>
      <c r="E2809" s="2">
        <v>29296</v>
      </c>
      <c r="F2809" s="3">
        <v>6.7</v>
      </c>
      <c r="G2809" s="3">
        <v>18014</v>
      </c>
      <c r="H2809" s="3">
        <v>77.400000000000006</v>
      </c>
      <c r="I2809" s="3">
        <v>10.1</v>
      </c>
      <c r="J2809" s="3">
        <v>12.4</v>
      </c>
      <c r="K2809" s="3">
        <v>0.1</v>
      </c>
      <c r="L2809" s="3">
        <v>5.7</v>
      </c>
      <c r="M2809" t="str">
        <f>IF(acs2015_county_data[[#This Row],[PublicWork]]&gt;='Описательные характеристики'!$F$5,"да","нет")</f>
        <v>нет</v>
      </c>
      <c r="N2809" t="str">
        <f>IF(acs2015_county_data[[#This Row],[Unemployment]]&gt;='Описательные характеристики'!$I$5,"да","нет")</f>
        <v>нет</v>
      </c>
    </row>
    <row r="2810" spans="1:14" x14ac:dyDescent="0.35">
      <c r="A2810">
        <v>50005</v>
      </c>
      <c r="B2810" t="s">
        <v>1713</v>
      </c>
      <c r="C2810" t="s">
        <v>1716</v>
      </c>
      <c r="D2810" s="2">
        <v>31012</v>
      </c>
      <c r="E2810" s="2">
        <v>23919</v>
      </c>
      <c r="F2810" s="3">
        <v>7.2</v>
      </c>
      <c r="G2810" s="3">
        <v>14773</v>
      </c>
      <c r="H2810" s="3">
        <v>72.900000000000006</v>
      </c>
      <c r="I2810" s="3">
        <v>15.5</v>
      </c>
      <c r="J2810" s="3">
        <v>10.8</v>
      </c>
      <c r="K2810" s="3">
        <v>0.8</v>
      </c>
      <c r="L2810" s="3">
        <v>7.2</v>
      </c>
      <c r="M2810" t="str">
        <f>IF(acs2015_county_data[[#This Row],[PublicWork]]&gt;='Описательные характеристики'!$F$5,"да","нет")</f>
        <v>нет</v>
      </c>
      <c r="N2810" t="str">
        <f>IF(acs2015_county_data[[#This Row],[Unemployment]]&gt;='Описательные характеристики'!$I$5,"да","нет")</f>
        <v>нет</v>
      </c>
    </row>
    <row r="2811" spans="1:14" x14ac:dyDescent="0.35">
      <c r="A2811">
        <v>50007</v>
      </c>
      <c r="B2811" t="s">
        <v>1713</v>
      </c>
      <c r="C2811" t="s">
        <v>1717</v>
      </c>
      <c r="D2811" s="2">
        <v>159711</v>
      </c>
      <c r="E2811" s="2">
        <v>33977</v>
      </c>
      <c r="F2811" s="3">
        <v>5.9</v>
      </c>
      <c r="G2811" s="3">
        <v>89268</v>
      </c>
      <c r="H2811" s="3">
        <v>79.400000000000006</v>
      </c>
      <c r="I2811" s="3">
        <v>14.4</v>
      </c>
      <c r="J2811" s="3">
        <v>6</v>
      </c>
      <c r="K2811" s="3">
        <v>0.1</v>
      </c>
      <c r="L2811" s="3">
        <v>5</v>
      </c>
      <c r="M2811" t="str">
        <f>IF(acs2015_county_data[[#This Row],[PublicWork]]&gt;='Описательные характеристики'!$F$5,"да","нет")</f>
        <v>нет</v>
      </c>
      <c r="N2811" t="str">
        <f>IF(acs2015_county_data[[#This Row],[Unemployment]]&gt;='Описательные характеристики'!$I$5,"да","нет")</f>
        <v>нет</v>
      </c>
    </row>
    <row r="2812" spans="1:14" x14ac:dyDescent="0.35">
      <c r="A2812">
        <v>50009</v>
      </c>
      <c r="B2812" t="s">
        <v>1713</v>
      </c>
      <c r="C2812" t="s">
        <v>848</v>
      </c>
      <c r="D2812" s="2">
        <v>6207</v>
      </c>
      <c r="E2812" s="2">
        <v>21338</v>
      </c>
      <c r="F2812" s="3">
        <v>7.3</v>
      </c>
      <c r="G2812" s="3">
        <v>2683</v>
      </c>
      <c r="H2812" s="3">
        <v>70.599999999999994</v>
      </c>
      <c r="I2812" s="3">
        <v>17.8</v>
      </c>
      <c r="J2812" s="3">
        <v>11.1</v>
      </c>
      <c r="K2812" s="3">
        <v>0.5</v>
      </c>
      <c r="L2812" s="3">
        <v>9.4</v>
      </c>
      <c r="M2812" t="str">
        <f>IF(acs2015_county_data[[#This Row],[PublicWork]]&gt;='Описательные характеристики'!$F$5,"да","нет")</f>
        <v>да</v>
      </c>
      <c r="N2812" t="str">
        <f>IF(acs2015_county_data[[#This Row],[Unemployment]]&gt;='Описательные характеристики'!$I$5,"да","нет")</f>
        <v>да</v>
      </c>
    </row>
    <row r="2813" spans="1:14" x14ac:dyDescent="0.35">
      <c r="A2813">
        <v>50011</v>
      </c>
      <c r="B2813" t="s">
        <v>1713</v>
      </c>
      <c r="C2813" t="s">
        <v>43</v>
      </c>
      <c r="D2813" s="2">
        <v>48418</v>
      </c>
      <c r="E2813" s="2">
        <v>28394</v>
      </c>
      <c r="F2813" s="3">
        <v>4.4000000000000004</v>
      </c>
      <c r="G2813" s="3">
        <v>25416</v>
      </c>
      <c r="H2813" s="3">
        <v>73.5</v>
      </c>
      <c r="I2813" s="3">
        <v>18.7</v>
      </c>
      <c r="J2813" s="3">
        <v>7.8</v>
      </c>
      <c r="K2813" s="3">
        <v>0.1</v>
      </c>
      <c r="L2813" s="3">
        <v>4.9000000000000004</v>
      </c>
      <c r="M2813" t="str">
        <f>IF(acs2015_county_data[[#This Row],[PublicWork]]&gt;='Описательные характеристики'!$F$5,"да","нет")</f>
        <v>да</v>
      </c>
      <c r="N2813" t="str">
        <f>IF(acs2015_county_data[[#This Row],[Unemployment]]&gt;='Описательные характеристики'!$I$5,"да","нет")</f>
        <v>нет</v>
      </c>
    </row>
    <row r="2814" spans="1:14" x14ac:dyDescent="0.35">
      <c r="A2814">
        <v>50013</v>
      </c>
      <c r="B2814" t="s">
        <v>1713</v>
      </c>
      <c r="C2814" t="s">
        <v>1718</v>
      </c>
      <c r="D2814" s="2">
        <v>6952</v>
      </c>
      <c r="E2814" s="2">
        <v>35214</v>
      </c>
      <c r="F2814" s="3">
        <v>7.5</v>
      </c>
      <c r="G2814" s="3">
        <v>3697</v>
      </c>
      <c r="H2814" s="3">
        <v>78.2</v>
      </c>
      <c r="I2814" s="3">
        <v>11.7</v>
      </c>
      <c r="J2814" s="3">
        <v>9.8000000000000007</v>
      </c>
      <c r="K2814" s="3">
        <v>0.3</v>
      </c>
      <c r="L2814" s="3">
        <v>7.4</v>
      </c>
      <c r="M2814" t="str">
        <f>IF(acs2015_county_data[[#This Row],[PublicWork]]&gt;='Описательные характеристики'!$F$5,"да","нет")</f>
        <v>нет</v>
      </c>
      <c r="N2814" t="str">
        <f>IF(acs2015_county_data[[#This Row],[Unemployment]]&gt;='Описательные характеристики'!$I$5,"да","нет")</f>
        <v>нет</v>
      </c>
    </row>
    <row r="2815" spans="1:14" x14ac:dyDescent="0.35">
      <c r="A2815">
        <v>50015</v>
      </c>
      <c r="B2815" t="s">
        <v>1713</v>
      </c>
      <c r="C2815" t="s">
        <v>1719</v>
      </c>
      <c r="D2815" s="2">
        <v>25027</v>
      </c>
      <c r="E2815" s="2">
        <v>27390</v>
      </c>
      <c r="F2815" s="3">
        <v>5.8</v>
      </c>
      <c r="G2815" s="3">
        <v>13147</v>
      </c>
      <c r="H2815" s="3">
        <v>77</v>
      </c>
      <c r="I2815" s="3">
        <v>12.2</v>
      </c>
      <c r="J2815" s="3">
        <v>10.5</v>
      </c>
      <c r="K2815" s="3">
        <v>0.3</v>
      </c>
      <c r="L2815" s="3">
        <v>4.3</v>
      </c>
      <c r="M2815" t="str">
        <f>IF(acs2015_county_data[[#This Row],[PublicWork]]&gt;='Описательные характеристики'!$F$5,"да","нет")</f>
        <v>нет</v>
      </c>
      <c r="N2815" t="str">
        <f>IF(acs2015_county_data[[#This Row],[Unemployment]]&gt;='Описательные характеристики'!$I$5,"да","нет")</f>
        <v>нет</v>
      </c>
    </row>
    <row r="2816" spans="1:14" x14ac:dyDescent="0.35">
      <c r="A2816">
        <v>50017</v>
      </c>
      <c r="B2816" t="s">
        <v>1713</v>
      </c>
      <c r="C2816" t="s">
        <v>208</v>
      </c>
      <c r="D2816" s="2">
        <v>28929</v>
      </c>
      <c r="E2816" s="2">
        <v>27755</v>
      </c>
      <c r="F2816" s="3">
        <v>7.2</v>
      </c>
      <c r="G2816" s="3">
        <v>15314</v>
      </c>
      <c r="H2816" s="3">
        <v>71.7</v>
      </c>
      <c r="I2816" s="3">
        <v>15.8</v>
      </c>
      <c r="J2816" s="3">
        <v>12.3</v>
      </c>
      <c r="K2816" s="3">
        <v>0.2</v>
      </c>
      <c r="L2816" s="3">
        <v>4.5</v>
      </c>
      <c r="M2816" t="str">
        <f>IF(acs2015_county_data[[#This Row],[PublicWork]]&gt;='Описательные характеристики'!$F$5,"да","нет")</f>
        <v>нет</v>
      </c>
      <c r="N2816" t="str">
        <f>IF(acs2015_county_data[[#This Row],[Unemployment]]&gt;='Описательные характеристики'!$I$5,"да","нет")</f>
        <v>нет</v>
      </c>
    </row>
    <row r="2817" spans="1:14" x14ac:dyDescent="0.35">
      <c r="A2817">
        <v>50019</v>
      </c>
      <c r="B2817" t="s">
        <v>1713</v>
      </c>
      <c r="C2817" t="s">
        <v>791</v>
      </c>
      <c r="D2817" s="2">
        <v>27146</v>
      </c>
      <c r="E2817" s="2">
        <v>23213</v>
      </c>
      <c r="F2817" s="3">
        <v>7.2</v>
      </c>
      <c r="G2817" s="3">
        <v>12168</v>
      </c>
      <c r="H2817" s="3">
        <v>70.400000000000006</v>
      </c>
      <c r="I2817" s="3">
        <v>17</v>
      </c>
      <c r="J2817" s="3">
        <v>12</v>
      </c>
      <c r="K2817" s="3">
        <v>0.6</v>
      </c>
      <c r="L2817" s="3">
        <v>5.6</v>
      </c>
      <c r="M2817" t="str">
        <f>IF(acs2015_county_data[[#This Row],[PublicWork]]&gt;='Описательные характеристики'!$F$5,"да","нет")</f>
        <v>да</v>
      </c>
      <c r="N2817" t="str">
        <f>IF(acs2015_county_data[[#This Row],[Unemployment]]&gt;='Описательные характеристики'!$I$5,"да","нет")</f>
        <v>нет</v>
      </c>
    </row>
    <row r="2818" spans="1:14" x14ac:dyDescent="0.35">
      <c r="A2818">
        <v>50021</v>
      </c>
      <c r="B2818" t="s">
        <v>1713</v>
      </c>
      <c r="C2818" t="s">
        <v>1720</v>
      </c>
      <c r="D2818" s="2">
        <v>60530</v>
      </c>
      <c r="E2818" s="2">
        <v>27219</v>
      </c>
      <c r="F2818" s="3">
        <v>5.6</v>
      </c>
      <c r="G2818" s="3">
        <v>30125</v>
      </c>
      <c r="H2818" s="3">
        <v>76.7</v>
      </c>
      <c r="I2818" s="3">
        <v>14.4</v>
      </c>
      <c r="J2818" s="3">
        <v>8.6999999999999993</v>
      </c>
      <c r="K2818" s="3">
        <v>0.3</v>
      </c>
      <c r="L2818" s="3">
        <v>6.6</v>
      </c>
      <c r="M2818" t="str">
        <f>IF(acs2015_county_data[[#This Row],[PublicWork]]&gt;='Описательные характеристики'!$F$5,"да","нет")</f>
        <v>нет</v>
      </c>
      <c r="N2818" t="str">
        <f>IF(acs2015_county_data[[#This Row],[Unemployment]]&gt;='Описательные характеристики'!$I$5,"да","нет")</f>
        <v>нет</v>
      </c>
    </row>
    <row r="2819" spans="1:14" x14ac:dyDescent="0.35">
      <c r="A2819">
        <v>50023</v>
      </c>
      <c r="B2819" t="s">
        <v>1713</v>
      </c>
      <c r="C2819" t="s">
        <v>75</v>
      </c>
      <c r="D2819" s="2">
        <v>59132</v>
      </c>
      <c r="E2819" s="2">
        <v>30598</v>
      </c>
      <c r="F2819" s="3">
        <v>6.7</v>
      </c>
      <c r="G2819" s="3">
        <v>31774</v>
      </c>
      <c r="H2819" s="3">
        <v>72.2</v>
      </c>
      <c r="I2819" s="3">
        <v>18.399999999999999</v>
      </c>
      <c r="J2819" s="3">
        <v>9.1</v>
      </c>
      <c r="K2819" s="3">
        <v>0.3</v>
      </c>
      <c r="L2819" s="3">
        <v>4.8</v>
      </c>
      <c r="M2819" t="str">
        <f>IF(acs2015_county_data[[#This Row],[PublicWork]]&gt;='Описательные характеристики'!$F$5,"да","нет")</f>
        <v>да</v>
      </c>
      <c r="N2819" t="str">
        <f>IF(acs2015_county_data[[#This Row],[Unemployment]]&gt;='Описательные характеристики'!$I$5,"да","нет")</f>
        <v>нет</v>
      </c>
    </row>
    <row r="2820" spans="1:14" x14ac:dyDescent="0.35">
      <c r="A2820">
        <v>50025</v>
      </c>
      <c r="B2820" t="s">
        <v>1713</v>
      </c>
      <c r="C2820" t="s">
        <v>299</v>
      </c>
      <c r="D2820" s="2">
        <v>43858</v>
      </c>
      <c r="E2820" s="2">
        <v>28473</v>
      </c>
      <c r="F2820" s="3">
        <v>11.2</v>
      </c>
      <c r="G2820" s="3">
        <v>22336</v>
      </c>
      <c r="H2820" s="3">
        <v>74.3</v>
      </c>
      <c r="I2820" s="3">
        <v>12.4</v>
      </c>
      <c r="J2820" s="3">
        <v>13.2</v>
      </c>
      <c r="K2820" s="3">
        <v>0.1</v>
      </c>
      <c r="L2820" s="3">
        <v>6.8</v>
      </c>
      <c r="M2820" t="str">
        <f>IF(acs2015_county_data[[#This Row],[PublicWork]]&gt;='Описательные характеристики'!$F$5,"да","нет")</f>
        <v>нет</v>
      </c>
      <c r="N2820" t="str">
        <f>IF(acs2015_county_data[[#This Row],[Unemployment]]&gt;='Описательные характеристики'!$I$5,"да","нет")</f>
        <v>нет</v>
      </c>
    </row>
    <row r="2821" spans="1:14" x14ac:dyDescent="0.35">
      <c r="A2821">
        <v>50027</v>
      </c>
      <c r="B2821" t="s">
        <v>1713</v>
      </c>
      <c r="C2821" t="s">
        <v>1721</v>
      </c>
      <c r="D2821" s="2">
        <v>56150</v>
      </c>
      <c r="E2821" s="2">
        <v>32474</v>
      </c>
      <c r="F2821" s="3">
        <v>7</v>
      </c>
      <c r="G2821" s="3">
        <v>28487</v>
      </c>
      <c r="H2821" s="3">
        <v>76.7</v>
      </c>
      <c r="I2821" s="3">
        <v>13.2</v>
      </c>
      <c r="J2821" s="3">
        <v>10</v>
      </c>
      <c r="K2821" s="3">
        <v>0.2</v>
      </c>
      <c r="L2821" s="3">
        <v>5.0999999999999996</v>
      </c>
      <c r="M2821" t="str">
        <f>IF(acs2015_county_data[[#This Row],[PublicWork]]&gt;='Описательные характеристики'!$F$5,"да","нет")</f>
        <v>нет</v>
      </c>
      <c r="N2821" t="str">
        <f>IF(acs2015_county_data[[#This Row],[Unemployment]]&gt;='Описательные характеристики'!$I$5,"да","нет")</f>
        <v>нет</v>
      </c>
    </row>
    <row r="2822" spans="1:14" x14ac:dyDescent="0.35">
      <c r="A2822">
        <v>51001</v>
      </c>
      <c r="B2822" t="s">
        <v>1722</v>
      </c>
      <c r="C2822" t="s">
        <v>1723</v>
      </c>
      <c r="D2822" s="2">
        <v>33115</v>
      </c>
      <c r="E2822" s="2">
        <v>23231</v>
      </c>
      <c r="F2822" s="3">
        <v>2.7</v>
      </c>
      <c r="G2822" s="3">
        <v>14296</v>
      </c>
      <c r="H2822" s="3">
        <v>73.2</v>
      </c>
      <c r="I2822" s="3">
        <v>18.600000000000001</v>
      </c>
      <c r="J2822" s="3">
        <v>7.7</v>
      </c>
      <c r="K2822" s="3">
        <v>0.5</v>
      </c>
      <c r="L2822" s="3">
        <v>6.8</v>
      </c>
      <c r="M2822" t="str">
        <f>IF(acs2015_county_data[[#This Row],[PublicWork]]&gt;='Описательные характеристики'!$F$5,"да","нет")</f>
        <v>да</v>
      </c>
      <c r="N2822" t="str">
        <f>IF(acs2015_county_data[[#This Row],[Unemployment]]&gt;='Описательные характеристики'!$I$5,"да","нет")</f>
        <v>нет</v>
      </c>
    </row>
    <row r="2823" spans="1:14" x14ac:dyDescent="0.35">
      <c r="A2823">
        <v>51003</v>
      </c>
      <c r="B2823" t="s">
        <v>1722</v>
      </c>
      <c r="C2823" t="s">
        <v>1724</v>
      </c>
      <c r="D2823" s="2">
        <v>103108</v>
      </c>
      <c r="E2823" s="2">
        <v>37474</v>
      </c>
      <c r="F2823" s="3">
        <v>7.2</v>
      </c>
      <c r="G2823" s="3">
        <v>48206</v>
      </c>
      <c r="H2823" s="3">
        <v>67.099999999999994</v>
      </c>
      <c r="I2823" s="3">
        <v>24.7</v>
      </c>
      <c r="J2823" s="3">
        <v>8</v>
      </c>
      <c r="K2823" s="3">
        <v>0.1</v>
      </c>
      <c r="L2823" s="3">
        <v>3.8</v>
      </c>
      <c r="M2823" t="str">
        <f>IF(acs2015_county_data[[#This Row],[PublicWork]]&gt;='Описательные характеристики'!$F$5,"да","нет")</f>
        <v>да</v>
      </c>
      <c r="N2823" t="str">
        <f>IF(acs2015_county_data[[#This Row],[Unemployment]]&gt;='Описательные характеристики'!$I$5,"да","нет")</f>
        <v>нет</v>
      </c>
    </row>
    <row r="2824" spans="1:14" x14ac:dyDescent="0.35">
      <c r="A2824">
        <v>51005</v>
      </c>
      <c r="B2824" t="s">
        <v>1722</v>
      </c>
      <c r="C2824" t="s">
        <v>1220</v>
      </c>
      <c r="D2824" s="2">
        <v>16066</v>
      </c>
      <c r="E2824" s="2">
        <v>24118</v>
      </c>
      <c r="F2824" s="3">
        <v>1.6</v>
      </c>
      <c r="G2824" s="3">
        <v>6539</v>
      </c>
      <c r="H2824" s="3">
        <v>77.3</v>
      </c>
      <c r="I2824" s="3">
        <v>16.3</v>
      </c>
      <c r="J2824" s="3">
        <v>6.3</v>
      </c>
      <c r="K2824" s="3">
        <v>0.1</v>
      </c>
      <c r="L2824" s="3">
        <v>5.0999999999999996</v>
      </c>
      <c r="M2824" t="str">
        <f>IF(acs2015_county_data[[#This Row],[PublicWork]]&gt;='Описательные характеристики'!$F$5,"да","нет")</f>
        <v>да</v>
      </c>
      <c r="N2824" t="str">
        <f>IF(acs2015_county_data[[#This Row],[Unemployment]]&gt;='Описательные характеристики'!$I$5,"да","нет")</f>
        <v>нет</v>
      </c>
    </row>
    <row r="2825" spans="1:14" x14ac:dyDescent="0.35">
      <c r="A2825">
        <v>51007</v>
      </c>
      <c r="B2825" t="s">
        <v>1722</v>
      </c>
      <c r="C2825" t="s">
        <v>1725</v>
      </c>
      <c r="D2825" s="2">
        <v>12777</v>
      </c>
      <c r="E2825" s="2">
        <v>24868</v>
      </c>
      <c r="F2825" s="3">
        <v>2.8</v>
      </c>
      <c r="G2825" s="3">
        <v>5686</v>
      </c>
      <c r="H2825" s="3">
        <v>77.2</v>
      </c>
      <c r="I2825" s="3">
        <v>14.9</v>
      </c>
      <c r="J2825" s="3">
        <v>7.9</v>
      </c>
      <c r="K2825" s="3">
        <v>0</v>
      </c>
      <c r="L2825" s="3">
        <v>5</v>
      </c>
      <c r="M2825" t="str">
        <f>IF(acs2015_county_data[[#This Row],[PublicWork]]&gt;='Описательные характеристики'!$F$5,"да","нет")</f>
        <v>нет</v>
      </c>
      <c r="N2825" t="str">
        <f>IF(acs2015_county_data[[#This Row],[Unemployment]]&gt;='Описательные характеристики'!$I$5,"да","нет")</f>
        <v>нет</v>
      </c>
    </row>
    <row r="2826" spans="1:14" x14ac:dyDescent="0.35">
      <c r="A2826">
        <v>51009</v>
      </c>
      <c r="B2826" t="s">
        <v>1722</v>
      </c>
      <c r="C2826" t="s">
        <v>1726</v>
      </c>
      <c r="D2826" s="2">
        <v>32148</v>
      </c>
      <c r="E2826" s="2">
        <v>23469</v>
      </c>
      <c r="F2826" s="3">
        <v>2.7</v>
      </c>
      <c r="G2826" s="3">
        <v>14663</v>
      </c>
      <c r="H2826" s="3">
        <v>78.8</v>
      </c>
      <c r="I2826" s="3">
        <v>15.1</v>
      </c>
      <c r="J2826" s="3">
        <v>5.9</v>
      </c>
      <c r="K2826" s="3">
        <v>0.2</v>
      </c>
      <c r="L2826" s="3">
        <v>6.6</v>
      </c>
      <c r="M2826" t="str">
        <f>IF(acs2015_county_data[[#This Row],[PublicWork]]&gt;='Описательные характеристики'!$F$5,"да","нет")</f>
        <v>нет</v>
      </c>
      <c r="N2826" t="str">
        <f>IF(acs2015_county_data[[#This Row],[Unemployment]]&gt;='Описательные характеристики'!$I$5,"да","нет")</f>
        <v>нет</v>
      </c>
    </row>
    <row r="2827" spans="1:14" x14ac:dyDescent="0.35">
      <c r="A2827">
        <v>51011</v>
      </c>
      <c r="B2827" t="s">
        <v>1722</v>
      </c>
      <c r="C2827" t="s">
        <v>1727</v>
      </c>
      <c r="D2827" s="2">
        <v>15208</v>
      </c>
      <c r="E2827" s="2">
        <v>23941</v>
      </c>
      <c r="F2827" s="3">
        <v>5.0999999999999996</v>
      </c>
      <c r="G2827" s="3">
        <v>6532</v>
      </c>
      <c r="H2827" s="3">
        <v>76.3</v>
      </c>
      <c r="I2827" s="3">
        <v>20.3</v>
      </c>
      <c r="J2827" s="3">
        <v>3.2</v>
      </c>
      <c r="K2827" s="3">
        <v>0.2</v>
      </c>
      <c r="L2827" s="3">
        <v>6.6</v>
      </c>
      <c r="M2827" t="str">
        <f>IF(acs2015_county_data[[#This Row],[PublicWork]]&gt;='Описательные характеристики'!$F$5,"да","нет")</f>
        <v>да</v>
      </c>
      <c r="N2827" t="str">
        <f>IF(acs2015_county_data[[#This Row],[Unemployment]]&gt;='Описательные характеристики'!$I$5,"да","нет")</f>
        <v>нет</v>
      </c>
    </row>
    <row r="2828" spans="1:14" x14ac:dyDescent="0.35">
      <c r="A2828">
        <v>51013</v>
      </c>
      <c r="B2828" t="s">
        <v>1722</v>
      </c>
      <c r="C2828" t="s">
        <v>1728</v>
      </c>
      <c r="D2828" s="2">
        <v>223945</v>
      </c>
      <c r="E2828" s="2">
        <v>63579</v>
      </c>
      <c r="F2828" s="3">
        <v>5.8</v>
      </c>
      <c r="G2828" s="3">
        <v>141305</v>
      </c>
      <c r="H2828" s="3">
        <v>70.2</v>
      </c>
      <c r="I2828" s="3">
        <v>25.4</v>
      </c>
      <c r="J2828" s="3">
        <v>4.3</v>
      </c>
      <c r="K2828" s="3">
        <v>0.1</v>
      </c>
      <c r="L2828" s="3">
        <v>3.7</v>
      </c>
      <c r="M2828" t="str">
        <f>IF(acs2015_county_data[[#This Row],[PublicWork]]&gt;='Описательные характеристики'!$F$5,"да","нет")</f>
        <v>да</v>
      </c>
      <c r="N2828" t="str">
        <f>IF(acs2015_county_data[[#This Row],[Unemployment]]&gt;='Описательные характеристики'!$I$5,"да","нет")</f>
        <v>нет</v>
      </c>
    </row>
    <row r="2829" spans="1:14" x14ac:dyDescent="0.35">
      <c r="A2829">
        <v>51015</v>
      </c>
      <c r="B2829" t="s">
        <v>1722</v>
      </c>
      <c r="C2829" t="s">
        <v>1729</v>
      </c>
      <c r="D2829" s="2">
        <v>74053</v>
      </c>
      <c r="E2829" s="2">
        <v>27000</v>
      </c>
      <c r="F2829" s="3">
        <v>4.3</v>
      </c>
      <c r="G2829" s="3">
        <v>34285</v>
      </c>
      <c r="H2829" s="3">
        <v>76.400000000000006</v>
      </c>
      <c r="I2829" s="3">
        <v>17.600000000000001</v>
      </c>
      <c r="J2829" s="3">
        <v>5.8</v>
      </c>
      <c r="K2829" s="3">
        <v>0.2</v>
      </c>
      <c r="L2829" s="3">
        <v>4.7</v>
      </c>
      <c r="M2829" t="str">
        <f>IF(acs2015_county_data[[#This Row],[PublicWork]]&gt;='Описательные характеристики'!$F$5,"да","нет")</f>
        <v>да</v>
      </c>
      <c r="N2829" t="str">
        <f>IF(acs2015_county_data[[#This Row],[Unemployment]]&gt;='Описательные характеристики'!$I$5,"да","нет")</f>
        <v>нет</v>
      </c>
    </row>
    <row r="2830" spans="1:14" x14ac:dyDescent="0.35">
      <c r="A2830">
        <v>51017</v>
      </c>
      <c r="B2830" t="s">
        <v>1722</v>
      </c>
      <c r="C2830" t="s">
        <v>713</v>
      </c>
      <c r="D2830" s="2">
        <v>4583</v>
      </c>
      <c r="E2830" s="2">
        <v>32166</v>
      </c>
      <c r="F2830" s="3">
        <v>3.3</v>
      </c>
      <c r="G2830" s="3">
        <v>2310</v>
      </c>
      <c r="H2830" s="3">
        <v>80</v>
      </c>
      <c r="I2830" s="3">
        <v>14.7</v>
      </c>
      <c r="J2830" s="3">
        <v>5.4</v>
      </c>
      <c r="K2830" s="3">
        <v>0</v>
      </c>
      <c r="L2830" s="3">
        <v>6</v>
      </c>
      <c r="M2830" t="str">
        <f>IF(acs2015_county_data[[#This Row],[PublicWork]]&gt;='Описательные характеристики'!$F$5,"да","нет")</f>
        <v>нет</v>
      </c>
      <c r="N2830" t="str">
        <f>IF(acs2015_county_data[[#This Row],[Unemployment]]&gt;='Описательные характеристики'!$I$5,"да","нет")</f>
        <v>нет</v>
      </c>
    </row>
    <row r="2831" spans="1:14" x14ac:dyDescent="0.35">
      <c r="A2831">
        <v>51019</v>
      </c>
      <c r="B2831" t="s">
        <v>1722</v>
      </c>
      <c r="C2831" t="s">
        <v>1411</v>
      </c>
      <c r="D2831" s="2">
        <v>76463</v>
      </c>
      <c r="E2831" s="2">
        <v>28524</v>
      </c>
      <c r="F2831" s="3">
        <v>4</v>
      </c>
      <c r="G2831" s="3">
        <v>35756</v>
      </c>
      <c r="H2831" s="3">
        <v>80.5</v>
      </c>
      <c r="I2831" s="3">
        <v>13.8</v>
      </c>
      <c r="J2831" s="3">
        <v>5.5</v>
      </c>
      <c r="K2831" s="3">
        <v>0.2</v>
      </c>
      <c r="L2831" s="3">
        <v>5.8</v>
      </c>
      <c r="M2831" t="str">
        <f>IF(acs2015_county_data[[#This Row],[PublicWork]]&gt;='Описательные характеристики'!$F$5,"да","нет")</f>
        <v>нет</v>
      </c>
      <c r="N2831" t="str">
        <f>IF(acs2015_county_data[[#This Row],[Unemployment]]&gt;='Описательные характеристики'!$I$5,"да","нет")</f>
        <v>нет</v>
      </c>
    </row>
    <row r="2832" spans="1:14" x14ac:dyDescent="0.35">
      <c r="A2832">
        <v>51021</v>
      </c>
      <c r="B2832" t="s">
        <v>1722</v>
      </c>
      <c r="C2832" t="s">
        <v>1730</v>
      </c>
      <c r="D2832" s="2">
        <v>6662</v>
      </c>
      <c r="E2832" s="2">
        <v>20169</v>
      </c>
      <c r="F2832" s="3">
        <v>2.9</v>
      </c>
      <c r="G2832" s="3">
        <v>2504</v>
      </c>
      <c r="H2832" s="3">
        <v>80.7</v>
      </c>
      <c r="I2832" s="3">
        <v>15</v>
      </c>
      <c r="J2832" s="3">
        <v>4.3</v>
      </c>
      <c r="K2832" s="3">
        <v>0</v>
      </c>
      <c r="L2832" s="3">
        <v>8.6999999999999993</v>
      </c>
      <c r="M2832" t="str">
        <f>IF(acs2015_county_data[[#This Row],[PublicWork]]&gt;='Описательные характеристики'!$F$5,"да","нет")</f>
        <v>нет</v>
      </c>
      <c r="N2832" t="str">
        <f>IF(acs2015_county_data[[#This Row],[Unemployment]]&gt;='Описательные характеристики'!$I$5,"да","нет")</f>
        <v>да</v>
      </c>
    </row>
    <row r="2833" spans="1:14" x14ac:dyDescent="0.35">
      <c r="A2833">
        <v>51023</v>
      </c>
      <c r="B2833" t="s">
        <v>1722</v>
      </c>
      <c r="C2833" t="s">
        <v>1731</v>
      </c>
      <c r="D2833" s="2">
        <v>33155</v>
      </c>
      <c r="E2833" s="2">
        <v>31160</v>
      </c>
      <c r="F2833" s="3">
        <v>2.2999999999999998</v>
      </c>
      <c r="G2833" s="3">
        <v>16257</v>
      </c>
      <c r="H2833" s="3">
        <v>79.099999999999994</v>
      </c>
      <c r="I2833" s="3">
        <v>16.2</v>
      </c>
      <c r="J2833" s="3">
        <v>4.5999999999999996</v>
      </c>
      <c r="K2833" s="3">
        <v>0.1</v>
      </c>
      <c r="L2833" s="3">
        <v>4.5999999999999996</v>
      </c>
      <c r="M2833" t="str">
        <f>IF(acs2015_county_data[[#This Row],[PublicWork]]&gt;='Описательные характеристики'!$F$5,"да","нет")</f>
        <v>да</v>
      </c>
      <c r="N2833" t="str">
        <f>IF(acs2015_county_data[[#This Row],[Unemployment]]&gt;='Описательные характеристики'!$I$5,"да","нет")</f>
        <v>нет</v>
      </c>
    </row>
    <row r="2834" spans="1:14" x14ac:dyDescent="0.35">
      <c r="A2834">
        <v>51025</v>
      </c>
      <c r="B2834" t="s">
        <v>1722</v>
      </c>
      <c r="C2834" t="s">
        <v>1227</v>
      </c>
      <c r="D2834" s="2">
        <v>16930</v>
      </c>
      <c r="E2834" s="2">
        <v>18245</v>
      </c>
      <c r="F2834" s="3">
        <v>2.2999999999999998</v>
      </c>
      <c r="G2834" s="3">
        <v>6601</v>
      </c>
      <c r="H2834" s="3">
        <v>68.900000000000006</v>
      </c>
      <c r="I2834" s="3">
        <v>22.8</v>
      </c>
      <c r="J2834" s="3">
        <v>8.1999999999999993</v>
      </c>
      <c r="K2834" s="3">
        <v>0.1</v>
      </c>
      <c r="L2834" s="3">
        <v>10.5</v>
      </c>
      <c r="M2834" t="str">
        <f>IF(acs2015_county_data[[#This Row],[PublicWork]]&gt;='Описательные характеристики'!$F$5,"да","нет")</f>
        <v>да</v>
      </c>
      <c r="N2834" t="str">
        <f>IF(acs2015_county_data[[#This Row],[Unemployment]]&gt;='Описательные характеристики'!$I$5,"да","нет")</f>
        <v>да</v>
      </c>
    </row>
    <row r="2835" spans="1:14" x14ac:dyDescent="0.35">
      <c r="A2835">
        <v>51027</v>
      </c>
      <c r="B2835" t="s">
        <v>1722</v>
      </c>
      <c r="C2835" t="s">
        <v>605</v>
      </c>
      <c r="D2835" s="2">
        <v>23486</v>
      </c>
      <c r="E2835" s="2">
        <v>17883</v>
      </c>
      <c r="F2835" s="3">
        <v>0.7</v>
      </c>
      <c r="G2835" s="3">
        <v>7120</v>
      </c>
      <c r="H2835" s="3">
        <v>78.7</v>
      </c>
      <c r="I2835" s="3">
        <v>17.8</v>
      </c>
      <c r="J2835" s="3">
        <v>3.5</v>
      </c>
      <c r="K2835" s="3">
        <v>0</v>
      </c>
      <c r="L2835" s="3">
        <v>10.6</v>
      </c>
      <c r="M2835" t="str">
        <f>IF(acs2015_county_data[[#This Row],[PublicWork]]&gt;='Описательные характеристики'!$F$5,"да","нет")</f>
        <v>да</v>
      </c>
      <c r="N2835" t="str">
        <f>IF(acs2015_county_data[[#This Row],[Unemployment]]&gt;='Описательные характеристики'!$I$5,"да","нет")</f>
        <v>да</v>
      </c>
    </row>
    <row r="2836" spans="1:14" x14ac:dyDescent="0.35">
      <c r="A2836">
        <v>51029</v>
      </c>
      <c r="B2836" t="s">
        <v>1722</v>
      </c>
      <c r="C2836" t="s">
        <v>1732</v>
      </c>
      <c r="D2836" s="2">
        <v>17068</v>
      </c>
      <c r="E2836" s="2">
        <v>18204</v>
      </c>
      <c r="F2836" s="3">
        <v>1.9</v>
      </c>
      <c r="G2836" s="3">
        <v>6406</v>
      </c>
      <c r="H2836" s="3">
        <v>71.5</v>
      </c>
      <c r="I2836" s="3">
        <v>19.399999999999999</v>
      </c>
      <c r="J2836" s="3">
        <v>8.9</v>
      </c>
      <c r="K2836" s="3">
        <v>0.2</v>
      </c>
      <c r="L2836" s="3">
        <v>11.2</v>
      </c>
      <c r="M2836" t="str">
        <f>IF(acs2015_county_data[[#This Row],[PublicWork]]&gt;='Описательные характеристики'!$F$5,"да","нет")</f>
        <v>да</v>
      </c>
      <c r="N2836" t="str">
        <f>IF(acs2015_county_data[[#This Row],[Unemployment]]&gt;='Описательные характеристики'!$I$5,"да","нет")</f>
        <v>да</v>
      </c>
    </row>
    <row r="2837" spans="1:14" x14ac:dyDescent="0.35">
      <c r="A2837">
        <v>51031</v>
      </c>
      <c r="B2837" t="s">
        <v>1722</v>
      </c>
      <c r="C2837" t="s">
        <v>723</v>
      </c>
      <c r="D2837" s="2">
        <v>55012</v>
      </c>
      <c r="E2837" s="2">
        <v>24192</v>
      </c>
      <c r="F2837" s="3">
        <v>3.4</v>
      </c>
      <c r="G2837" s="3">
        <v>26131</v>
      </c>
      <c r="H2837" s="3">
        <v>82.4</v>
      </c>
      <c r="I2837" s="3">
        <v>12.2</v>
      </c>
      <c r="J2837" s="3">
        <v>5.3</v>
      </c>
      <c r="K2837" s="3">
        <v>0.1</v>
      </c>
      <c r="L2837" s="3">
        <v>6</v>
      </c>
      <c r="M2837" t="str">
        <f>IF(acs2015_county_data[[#This Row],[PublicWork]]&gt;='Описательные характеристики'!$F$5,"да","нет")</f>
        <v>нет</v>
      </c>
      <c r="N2837" t="str">
        <f>IF(acs2015_county_data[[#This Row],[Unemployment]]&gt;='Описательные характеристики'!$I$5,"да","нет")</f>
        <v>нет</v>
      </c>
    </row>
    <row r="2838" spans="1:14" x14ac:dyDescent="0.35">
      <c r="A2838">
        <v>51033</v>
      </c>
      <c r="B2838" t="s">
        <v>1722</v>
      </c>
      <c r="C2838" t="s">
        <v>830</v>
      </c>
      <c r="D2838" s="2">
        <v>29349</v>
      </c>
      <c r="E2838" s="2">
        <v>26761</v>
      </c>
      <c r="F2838" s="3">
        <v>3.6</v>
      </c>
      <c r="G2838" s="3">
        <v>13539</v>
      </c>
      <c r="H2838" s="3">
        <v>72.2</v>
      </c>
      <c r="I2838" s="3">
        <v>23</v>
      </c>
      <c r="J2838" s="3">
        <v>4.7</v>
      </c>
      <c r="K2838" s="3">
        <v>0.1</v>
      </c>
      <c r="L2838" s="3">
        <v>8.6</v>
      </c>
      <c r="M2838" t="str">
        <f>IF(acs2015_county_data[[#This Row],[PublicWork]]&gt;='Описательные характеристики'!$F$5,"да","нет")</f>
        <v>да</v>
      </c>
      <c r="N2838" t="str">
        <f>IF(acs2015_county_data[[#This Row],[Unemployment]]&gt;='Описательные характеристики'!$I$5,"да","нет")</f>
        <v>да</v>
      </c>
    </row>
    <row r="2839" spans="1:14" x14ac:dyDescent="0.35">
      <c r="A2839">
        <v>51035</v>
      </c>
      <c r="B2839" t="s">
        <v>1722</v>
      </c>
      <c r="C2839" t="s">
        <v>129</v>
      </c>
      <c r="D2839" s="2">
        <v>29856</v>
      </c>
      <c r="E2839" s="2">
        <v>21145</v>
      </c>
      <c r="F2839" s="3">
        <v>3</v>
      </c>
      <c r="G2839" s="3">
        <v>13033</v>
      </c>
      <c r="H2839" s="3">
        <v>74.7</v>
      </c>
      <c r="I2839" s="3">
        <v>16</v>
      </c>
      <c r="J2839" s="3">
        <v>9.1</v>
      </c>
      <c r="K2839" s="3">
        <v>0.2</v>
      </c>
      <c r="L2839" s="3">
        <v>6.7</v>
      </c>
      <c r="M2839" t="str">
        <f>IF(acs2015_county_data[[#This Row],[PublicWork]]&gt;='Описательные характеристики'!$F$5,"да","нет")</f>
        <v>нет</v>
      </c>
      <c r="N2839" t="str">
        <f>IF(acs2015_county_data[[#This Row],[Unemployment]]&gt;='Описательные характеристики'!$I$5,"да","нет")</f>
        <v>нет</v>
      </c>
    </row>
    <row r="2840" spans="1:14" x14ac:dyDescent="0.35">
      <c r="A2840">
        <v>51036</v>
      </c>
      <c r="B2840" t="s">
        <v>1722</v>
      </c>
      <c r="C2840" t="s">
        <v>1733</v>
      </c>
      <c r="D2840" s="2">
        <v>7118</v>
      </c>
      <c r="E2840" s="2">
        <v>29018</v>
      </c>
      <c r="F2840" s="3">
        <v>4</v>
      </c>
      <c r="G2840" s="3">
        <v>3323</v>
      </c>
      <c r="H2840" s="3">
        <v>77.2</v>
      </c>
      <c r="I2840" s="3">
        <v>18.7</v>
      </c>
      <c r="J2840" s="3">
        <v>3.9</v>
      </c>
      <c r="K2840" s="3">
        <v>0.1</v>
      </c>
      <c r="L2840" s="3">
        <v>8.1999999999999993</v>
      </c>
      <c r="M2840" t="str">
        <f>IF(acs2015_county_data[[#This Row],[PublicWork]]&gt;='Описательные характеристики'!$F$5,"да","нет")</f>
        <v>да</v>
      </c>
      <c r="N2840" t="str">
        <f>IF(acs2015_county_data[[#This Row],[Unemployment]]&gt;='Описательные характеристики'!$I$5,"да","нет")</f>
        <v>да</v>
      </c>
    </row>
    <row r="2841" spans="1:14" x14ac:dyDescent="0.35">
      <c r="A2841">
        <v>51037</v>
      </c>
      <c r="B2841" t="s">
        <v>1722</v>
      </c>
      <c r="C2841" t="s">
        <v>312</v>
      </c>
      <c r="D2841" s="2">
        <v>12313</v>
      </c>
      <c r="E2841" s="2">
        <v>18719</v>
      </c>
      <c r="F2841" s="3">
        <v>4</v>
      </c>
      <c r="G2841" s="3">
        <v>5266</v>
      </c>
      <c r="H2841" s="3">
        <v>72.2</v>
      </c>
      <c r="I2841" s="3">
        <v>22.8</v>
      </c>
      <c r="J2841" s="3">
        <v>5</v>
      </c>
      <c r="K2841" s="3">
        <v>0</v>
      </c>
      <c r="L2841" s="3">
        <v>4.9000000000000004</v>
      </c>
      <c r="M2841" t="str">
        <f>IF(acs2015_county_data[[#This Row],[PublicWork]]&gt;='Описательные характеристики'!$F$5,"да","нет")</f>
        <v>да</v>
      </c>
      <c r="N2841" t="str">
        <f>IF(acs2015_county_data[[#This Row],[Unemployment]]&gt;='Описательные характеристики'!$I$5,"да","нет")</f>
        <v>нет</v>
      </c>
    </row>
    <row r="2842" spans="1:14" x14ac:dyDescent="0.35">
      <c r="A2842">
        <v>51041</v>
      </c>
      <c r="B2842" t="s">
        <v>1722</v>
      </c>
      <c r="C2842" t="s">
        <v>1451</v>
      </c>
      <c r="D2842" s="2">
        <v>328176</v>
      </c>
      <c r="E2842" s="2">
        <v>33220</v>
      </c>
      <c r="F2842" s="3">
        <v>4.5999999999999996</v>
      </c>
      <c r="G2842" s="3">
        <v>164842</v>
      </c>
      <c r="H2842" s="3">
        <v>76.8</v>
      </c>
      <c r="I2842" s="3">
        <v>18.3</v>
      </c>
      <c r="J2842" s="3">
        <v>4.8</v>
      </c>
      <c r="K2842" s="3">
        <v>0.1</v>
      </c>
      <c r="L2842" s="3">
        <v>6.8</v>
      </c>
      <c r="M2842" t="str">
        <f>IF(acs2015_county_data[[#This Row],[PublicWork]]&gt;='Описательные характеристики'!$F$5,"да","нет")</f>
        <v>да</v>
      </c>
      <c r="N2842" t="str">
        <f>IF(acs2015_county_data[[#This Row],[Unemployment]]&gt;='Описательные характеристики'!$I$5,"да","нет")</f>
        <v>нет</v>
      </c>
    </row>
    <row r="2843" spans="1:14" x14ac:dyDescent="0.35">
      <c r="A2843">
        <v>51043</v>
      </c>
      <c r="B2843" t="s">
        <v>1722</v>
      </c>
      <c r="C2843" t="s">
        <v>27</v>
      </c>
      <c r="D2843" s="2">
        <v>14299</v>
      </c>
      <c r="E2843" s="2">
        <v>37558</v>
      </c>
      <c r="F2843" s="3">
        <v>5.6</v>
      </c>
      <c r="G2843" s="3">
        <v>6908</v>
      </c>
      <c r="H2843" s="3">
        <v>71.900000000000006</v>
      </c>
      <c r="I2843" s="3">
        <v>19.5</v>
      </c>
      <c r="J2843" s="3">
        <v>8.5</v>
      </c>
      <c r="K2843" s="3">
        <v>0</v>
      </c>
      <c r="L2843" s="3">
        <v>6</v>
      </c>
      <c r="M2843" t="str">
        <f>IF(acs2015_county_data[[#This Row],[PublicWork]]&gt;='Описательные характеристики'!$F$5,"да","нет")</f>
        <v>да</v>
      </c>
      <c r="N2843" t="str">
        <f>IF(acs2015_county_data[[#This Row],[Unemployment]]&gt;='Описательные характеристики'!$I$5,"да","нет")</f>
        <v>нет</v>
      </c>
    </row>
    <row r="2844" spans="1:14" x14ac:dyDescent="0.35">
      <c r="A2844">
        <v>51045</v>
      </c>
      <c r="B2844" t="s">
        <v>1722</v>
      </c>
      <c r="C2844" t="s">
        <v>1360</v>
      </c>
      <c r="D2844" s="2">
        <v>5212</v>
      </c>
      <c r="E2844" s="2">
        <v>22456</v>
      </c>
      <c r="F2844" s="3">
        <v>1.3</v>
      </c>
      <c r="G2844" s="3">
        <v>2101</v>
      </c>
      <c r="H2844" s="3">
        <v>72.599999999999994</v>
      </c>
      <c r="I2844" s="3">
        <v>21.2</v>
      </c>
      <c r="J2844" s="3">
        <v>6.1</v>
      </c>
      <c r="K2844" s="3">
        <v>0</v>
      </c>
      <c r="L2844" s="3">
        <v>4.0999999999999996</v>
      </c>
      <c r="M2844" t="str">
        <f>IF(acs2015_county_data[[#This Row],[PublicWork]]&gt;='Описательные характеристики'!$F$5,"да","нет")</f>
        <v>да</v>
      </c>
      <c r="N2844" t="str">
        <f>IF(acs2015_county_data[[#This Row],[Unemployment]]&gt;='Описательные характеристики'!$I$5,"да","нет")</f>
        <v>нет</v>
      </c>
    </row>
    <row r="2845" spans="1:14" x14ac:dyDescent="0.35">
      <c r="A2845">
        <v>51047</v>
      </c>
      <c r="B2845" t="s">
        <v>1722</v>
      </c>
      <c r="C2845" t="s">
        <v>1734</v>
      </c>
      <c r="D2845" s="2">
        <v>48424</v>
      </c>
      <c r="E2845" s="2">
        <v>28104</v>
      </c>
      <c r="F2845" s="3">
        <v>5.0999999999999996</v>
      </c>
      <c r="G2845" s="3">
        <v>22103</v>
      </c>
      <c r="H2845" s="3">
        <v>75.099999999999994</v>
      </c>
      <c r="I2845" s="3">
        <v>17.399999999999999</v>
      </c>
      <c r="J2845" s="3">
        <v>7.5</v>
      </c>
      <c r="K2845" s="3">
        <v>0.1</v>
      </c>
      <c r="L2845" s="3">
        <v>7.3</v>
      </c>
      <c r="M2845" t="str">
        <f>IF(acs2015_county_data[[#This Row],[PublicWork]]&gt;='Описательные характеристики'!$F$5,"да","нет")</f>
        <v>да</v>
      </c>
      <c r="N2845" t="str">
        <f>IF(acs2015_county_data[[#This Row],[Unemployment]]&gt;='Описательные характеристики'!$I$5,"да","нет")</f>
        <v>нет</v>
      </c>
    </row>
    <row r="2846" spans="1:14" x14ac:dyDescent="0.35">
      <c r="A2846">
        <v>51049</v>
      </c>
      <c r="B2846" t="s">
        <v>1722</v>
      </c>
      <c r="C2846" t="s">
        <v>513</v>
      </c>
      <c r="D2846" s="2">
        <v>9859</v>
      </c>
      <c r="E2846" s="2">
        <v>22860</v>
      </c>
      <c r="F2846" s="3">
        <v>4</v>
      </c>
      <c r="G2846" s="3">
        <v>4567</v>
      </c>
      <c r="H2846" s="3">
        <v>68</v>
      </c>
      <c r="I2846" s="3">
        <v>23.3</v>
      </c>
      <c r="J2846" s="3">
        <v>8.6</v>
      </c>
      <c r="K2846" s="3">
        <v>0</v>
      </c>
      <c r="L2846" s="3">
        <v>10.1</v>
      </c>
      <c r="M2846" t="str">
        <f>IF(acs2015_county_data[[#This Row],[PublicWork]]&gt;='Описательные характеристики'!$F$5,"да","нет")</f>
        <v>да</v>
      </c>
      <c r="N2846" t="str">
        <f>IF(acs2015_county_data[[#This Row],[Unemployment]]&gt;='Описательные характеристики'!$I$5,"да","нет")</f>
        <v>да</v>
      </c>
    </row>
    <row r="2847" spans="1:14" x14ac:dyDescent="0.35">
      <c r="A2847">
        <v>51051</v>
      </c>
      <c r="B2847" t="s">
        <v>1722</v>
      </c>
      <c r="C2847" t="s">
        <v>1735</v>
      </c>
      <c r="D2847" s="2">
        <v>15463</v>
      </c>
      <c r="E2847" s="2">
        <v>20275</v>
      </c>
      <c r="F2847" s="3">
        <v>1.8</v>
      </c>
      <c r="G2847" s="3">
        <v>5017</v>
      </c>
      <c r="H2847" s="3">
        <v>66.5</v>
      </c>
      <c r="I2847" s="3">
        <v>28.8</v>
      </c>
      <c r="J2847" s="3">
        <v>4.3</v>
      </c>
      <c r="K2847" s="3">
        <v>0.3</v>
      </c>
      <c r="L2847" s="3">
        <v>8.4</v>
      </c>
      <c r="M2847" t="str">
        <f>IF(acs2015_county_data[[#This Row],[PublicWork]]&gt;='Описательные характеристики'!$F$5,"да","нет")</f>
        <v>да</v>
      </c>
      <c r="N2847" t="str">
        <f>IF(acs2015_county_data[[#This Row],[Unemployment]]&gt;='Описательные характеристики'!$I$5,"да","нет")</f>
        <v>да</v>
      </c>
    </row>
    <row r="2848" spans="1:14" x14ac:dyDescent="0.35">
      <c r="A2848">
        <v>51053</v>
      </c>
      <c r="B2848" t="s">
        <v>1722</v>
      </c>
      <c r="C2848" t="s">
        <v>1736</v>
      </c>
      <c r="D2848" s="2">
        <v>28110</v>
      </c>
      <c r="E2848" s="2">
        <v>23395</v>
      </c>
      <c r="F2848" s="3">
        <v>3.5</v>
      </c>
      <c r="G2848" s="3">
        <v>12653</v>
      </c>
      <c r="H2848" s="3">
        <v>74.099999999999994</v>
      </c>
      <c r="I2848" s="3">
        <v>19.5</v>
      </c>
      <c r="J2848" s="3">
        <v>6</v>
      </c>
      <c r="K2848" s="3">
        <v>0.4</v>
      </c>
      <c r="L2848" s="3">
        <v>9.6999999999999993</v>
      </c>
      <c r="M2848" t="str">
        <f>IF(acs2015_county_data[[#This Row],[PublicWork]]&gt;='Описательные характеристики'!$F$5,"да","нет")</f>
        <v>да</v>
      </c>
      <c r="N2848" t="str">
        <f>IF(acs2015_county_data[[#This Row],[Unemployment]]&gt;='Описательные характеристики'!$I$5,"да","нет")</f>
        <v>да</v>
      </c>
    </row>
    <row r="2849" spans="1:14" x14ac:dyDescent="0.35">
      <c r="A2849">
        <v>51057</v>
      </c>
      <c r="B2849" t="s">
        <v>1722</v>
      </c>
      <c r="C2849" t="s">
        <v>848</v>
      </c>
      <c r="D2849" s="2">
        <v>11151</v>
      </c>
      <c r="E2849" s="2">
        <v>23448</v>
      </c>
      <c r="F2849" s="3">
        <v>3.7</v>
      </c>
      <c r="G2849" s="3">
        <v>5211</v>
      </c>
      <c r="H2849" s="3">
        <v>77.599999999999994</v>
      </c>
      <c r="I2849" s="3">
        <v>17.7</v>
      </c>
      <c r="J2849" s="3">
        <v>4.4000000000000004</v>
      </c>
      <c r="K2849" s="3">
        <v>0.3</v>
      </c>
      <c r="L2849" s="3">
        <v>8.5</v>
      </c>
      <c r="M2849" t="str">
        <f>IF(acs2015_county_data[[#This Row],[PublicWork]]&gt;='Описательные характеристики'!$F$5,"да","нет")</f>
        <v>да</v>
      </c>
      <c r="N2849" t="str">
        <f>IF(acs2015_county_data[[#This Row],[Unemployment]]&gt;='Описательные характеристики'!$I$5,"да","нет")</f>
        <v>да</v>
      </c>
    </row>
    <row r="2850" spans="1:14" x14ac:dyDescent="0.35">
      <c r="A2850">
        <v>51059</v>
      </c>
      <c r="B2850" t="s">
        <v>1722</v>
      </c>
      <c r="C2850" t="s">
        <v>1737</v>
      </c>
      <c r="D2850" s="2">
        <v>1128722</v>
      </c>
      <c r="E2850" s="2">
        <v>51025</v>
      </c>
      <c r="F2850" s="3">
        <v>5.8</v>
      </c>
      <c r="G2850" s="3">
        <v>603966</v>
      </c>
      <c r="H2850" s="3">
        <v>72.900000000000006</v>
      </c>
      <c r="I2850" s="3">
        <v>21.5</v>
      </c>
      <c r="J2850" s="3">
        <v>5.4</v>
      </c>
      <c r="K2850" s="3">
        <v>0.1</v>
      </c>
      <c r="L2850" s="3">
        <v>4.9000000000000004</v>
      </c>
      <c r="M2850" t="str">
        <f>IF(acs2015_county_data[[#This Row],[PublicWork]]&gt;='Описательные характеристики'!$F$5,"да","нет")</f>
        <v>да</v>
      </c>
      <c r="N2850" t="str">
        <f>IF(acs2015_county_data[[#This Row],[Unemployment]]&gt;='Описательные характеристики'!$I$5,"да","нет")</f>
        <v>нет</v>
      </c>
    </row>
    <row r="2851" spans="1:14" x14ac:dyDescent="0.35">
      <c r="A2851">
        <v>51061</v>
      </c>
      <c r="B2851" t="s">
        <v>1722</v>
      </c>
      <c r="C2851" t="s">
        <v>1738</v>
      </c>
      <c r="D2851" s="2">
        <v>67463</v>
      </c>
      <c r="E2851" s="2">
        <v>41255</v>
      </c>
      <c r="F2851" s="3">
        <v>7.2</v>
      </c>
      <c r="G2851" s="3">
        <v>34515</v>
      </c>
      <c r="H2851" s="3">
        <v>73</v>
      </c>
      <c r="I2851" s="3">
        <v>20</v>
      </c>
      <c r="J2851" s="3">
        <v>6.7</v>
      </c>
      <c r="K2851" s="3">
        <v>0.3</v>
      </c>
      <c r="L2851" s="3">
        <v>5</v>
      </c>
      <c r="M2851" t="str">
        <f>IF(acs2015_county_data[[#This Row],[PublicWork]]&gt;='Описательные характеристики'!$F$5,"да","нет")</f>
        <v>да</v>
      </c>
      <c r="N2851" t="str">
        <f>IF(acs2015_county_data[[#This Row],[Unemployment]]&gt;='Описательные характеристики'!$I$5,"да","нет")</f>
        <v>нет</v>
      </c>
    </row>
    <row r="2852" spans="1:14" x14ac:dyDescent="0.35">
      <c r="A2852">
        <v>51063</v>
      </c>
      <c r="B2852" t="s">
        <v>1722</v>
      </c>
      <c r="C2852" t="s">
        <v>396</v>
      </c>
      <c r="D2852" s="2">
        <v>15523</v>
      </c>
      <c r="E2852" s="2">
        <v>23885</v>
      </c>
      <c r="F2852" s="3">
        <v>7.2</v>
      </c>
      <c r="G2852" s="3">
        <v>7494</v>
      </c>
      <c r="H2852" s="3">
        <v>72.599999999999994</v>
      </c>
      <c r="I2852" s="3">
        <v>17</v>
      </c>
      <c r="J2852" s="3">
        <v>10.4</v>
      </c>
      <c r="K2852" s="3">
        <v>0</v>
      </c>
      <c r="L2852" s="3">
        <v>5.7</v>
      </c>
      <c r="M2852" t="str">
        <f>IF(acs2015_county_data[[#This Row],[PublicWork]]&gt;='Описательные характеристики'!$F$5,"да","нет")</f>
        <v>да</v>
      </c>
      <c r="N2852" t="str">
        <f>IF(acs2015_county_data[[#This Row],[Unemployment]]&gt;='Описательные характеристики'!$I$5,"да","нет")</f>
        <v>нет</v>
      </c>
    </row>
    <row r="2853" spans="1:14" x14ac:dyDescent="0.35">
      <c r="A2853">
        <v>51065</v>
      </c>
      <c r="B2853" t="s">
        <v>1722</v>
      </c>
      <c r="C2853" t="s">
        <v>1739</v>
      </c>
      <c r="D2853" s="2">
        <v>26014</v>
      </c>
      <c r="E2853" s="2">
        <v>28669</v>
      </c>
      <c r="F2853" s="3">
        <v>6.4</v>
      </c>
      <c r="G2853" s="3">
        <v>12076</v>
      </c>
      <c r="H2853" s="3">
        <v>71.2</v>
      </c>
      <c r="I2853" s="3">
        <v>20.6</v>
      </c>
      <c r="J2853" s="3">
        <v>8.1</v>
      </c>
      <c r="K2853" s="3">
        <v>0.1</v>
      </c>
      <c r="L2853" s="3">
        <v>5.2</v>
      </c>
      <c r="M2853" t="str">
        <f>IF(acs2015_county_data[[#This Row],[PublicWork]]&gt;='Описательные характеристики'!$F$5,"да","нет")</f>
        <v>да</v>
      </c>
      <c r="N2853" t="str">
        <f>IF(acs2015_county_data[[#This Row],[Unemployment]]&gt;='Описательные характеристики'!$I$5,"да","нет")</f>
        <v>нет</v>
      </c>
    </row>
    <row r="2854" spans="1:14" x14ac:dyDescent="0.35">
      <c r="A2854">
        <v>51067</v>
      </c>
      <c r="B2854" t="s">
        <v>1722</v>
      </c>
      <c r="C2854" t="s">
        <v>43</v>
      </c>
      <c r="D2854" s="2">
        <v>56315</v>
      </c>
      <c r="E2854" s="2">
        <v>25219</v>
      </c>
      <c r="F2854" s="3">
        <v>5.2</v>
      </c>
      <c r="G2854" s="3">
        <v>25149</v>
      </c>
      <c r="H2854" s="3">
        <v>80.099999999999994</v>
      </c>
      <c r="I2854" s="3">
        <v>13.5</v>
      </c>
      <c r="J2854" s="3">
        <v>6.3</v>
      </c>
      <c r="K2854" s="3">
        <v>0.2</v>
      </c>
      <c r="L2854" s="3">
        <v>6.2</v>
      </c>
      <c r="M2854" t="str">
        <f>IF(acs2015_county_data[[#This Row],[PublicWork]]&gt;='Описательные характеристики'!$F$5,"да","нет")</f>
        <v>нет</v>
      </c>
      <c r="N2854" t="str">
        <f>IF(acs2015_county_data[[#This Row],[Unemployment]]&gt;='Описательные характеристики'!$I$5,"да","нет")</f>
        <v>нет</v>
      </c>
    </row>
    <row r="2855" spans="1:14" x14ac:dyDescent="0.35">
      <c r="A2855">
        <v>51069</v>
      </c>
      <c r="B2855" t="s">
        <v>1722</v>
      </c>
      <c r="C2855" t="s">
        <v>834</v>
      </c>
      <c r="D2855" s="2">
        <v>81340</v>
      </c>
      <c r="E2855" s="2">
        <v>30769</v>
      </c>
      <c r="F2855" s="3">
        <v>4.5999999999999996</v>
      </c>
      <c r="G2855" s="3">
        <v>40973</v>
      </c>
      <c r="H2855" s="3">
        <v>77.2</v>
      </c>
      <c r="I2855" s="3">
        <v>17.8</v>
      </c>
      <c r="J2855" s="3">
        <v>5</v>
      </c>
      <c r="K2855" s="3">
        <v>0.1</v>
      </c>
      <c r="L2855" s="3">
        <v>5.2</v>
      </c>
      <c r="M2855" t="str">
        <f>IF(acs2015_county_data[[#This Row],[PublicWork]]&gt;='Описательные характеристики'!$F$5,"да","нет")</f>
        <v>да</v>
      </c>
      <c r="N2855" t="str">
        <f>IF(acs2015_county_data[[#This Row],[Unemployment]]&gt;='Описательные характеристики'!$I$5,"да","нет")</f>
        <v>нет</v>
      </c>
    </row>
    <row r="2856" spans="1:14" x14ac:dyDescent="0.35">
      <c r="A2856">
        <v>51071</v>
      </c>
      <c r="B2856" t="s">
        <v>1722</v>
      </c>
      <c r="C2856" t="s">
        <v>1520</v>
      </c>
      <c r="D2856" s="2">
        <v>16907</v>
      </c>
      <c r="E2856" s="2">
        <v>25241</v>
      </c>
      <c r="F2856" s="3">
        <v>4.9000000000000004</v>
      </c>
      <c r="G2856" s="3">
        <v>7510</v>
      </c>
      <c r="H2856" s="3">
        <v>74.400000000000006</v>
      </c>
      <c r="I2856" s="3">
        <v>19.600000000000001</v>
      </c>
      <c r="J2856" s="3">
        <v>6</v>
      </c>
      <c r="K2856" s="3">
        <v>0.1</v>
      </c>
      <c r="L2856" s="3">
        <v>4.8</v>
      </c>
      <c r="M2856" t="str">
        <f>IF(acs2015_county_data[[#This Row],[PublicWork]]&gt;='Описательные характеристики'!$F$5,"да","нет")</f>
        <v>да</v>
      </c>
      <c r="N2856" t="str">
        <f>IF(acs2015_county_data[[#This Row],[Unemployment]]&gt;='Описательные характеристики'!$I$5,"да","нет")</f>
        <v>нет</v>
      </c>
    </row>
    <row r="2857" spans="1:14" x14ac:dyDescent="0.35">
      <c r="A2857">
        <v>51073</v>
      </c>
      <c r="B2857" t="s">
        <v>1722</v>
      </c>
      <c r="C2857" t="s">
        <v>1156</v>
      </c>
      <c r="D2857" s="2">
        <v>37001</v>
      </c>
      <c r="E2857" s="2">
        <v>29867</v>
      </c>
      <c r="F2857" s="3">
        <v>3.7</v>
      </c>
      <c r="G2857" s="3">
        <v>17612</v>
      </c>
      <c r="H2857" s="3">
        <v>75.400000000000006</v>
      </c>
      <c r="I2857" s="3">
        <v>18.2</v>
      </c>
      <c r="J2857" s="3">
        <v>6.1</v>
      </c>
      <c r="K2857" s="3">
        <v>0.3</v>
      </c>
      <c r="L2857" s="3">
        <v>4.7</v>
      </c>
      <c r="M2857" t="str">
        <f>IF(acs2015_county_data[[#This Row],[PublicWork]]&gt;='Описательные характеристики'!$F$5,"да","нет")</f>
        <v>да</v>
      </c>
      <c r="N2857" t="str">
        <f>IF(acs2015_county_data[[#This Row],[Unemployment]]&gt;='Описательные характеристики'!$I$5,"да","нет")</f>
        <v>нет</v>
      </c>
    </row>
    <row r="2858" spans="1:14" x14ac:dyDescent="0.35">
      <c r="A2858">
        <v>51075</v>
      </c>
      <c r="B2858" t="s">
        <v>1722</v>
      </c>
      <c r="C2858" t="s">
        <v>1740</v>
      </c>
      <c r="D2858" s="2">
        <v>21721</v>
      </c>
      <c r="E2858" s="2">
        <v>46366</v>
      </c>
      <c r="F2858" s="3">
        <v>5.7</v>
      </c>
      <c r="G2858" s="3">
        <v>10325</v>
      </c>
      <c r="H2858" s="3">
        <v>77.5</v>
      </c>
      <c r="I2858" s="3">
        <v>15.4</v>
      </c>
      <c r="J2858" s="3">
        <v>6.9</v>
      </c>
      <c r="K2858" s="3">
        <v>0.3</v>
      </c>
      <c r="L2858" s="3">
        <v>5</v>
      </c>
      <c r="M2858" t="str">
        <f>IF(acs2015_county_data[[#This Row],[PublicWork]]&gt;='Описательные характеристики'!$F$5,"да","нет")</f>
        <v>нет</v>
      </c>
      <c r="N2858" t="str">
        <f>IF(acs2015_county_data[[#This Row],[Unemployment]]&gt;='Описательные характеристики'!$I$5,"да","нет")</f>
        <v>нет</v>
      </c>
    </row>
    <row r="2859" spans="1:14" x14ac:dyDescent="0.35">
      <c r="A2859">
        <v>51077</v>
      </c>
      <c r="B2859" t="s">
        <v>1722</v>
      </c>
      <c r="C2859" t="s">
        <v>733</v>
      </c>
      <c r="D2859" s="2">
        <v>15573</v>
      </c>
      <c r="E2859" s="2">
        <v>19742</v>
      </c>
      <c r="F2859" s="3">
        <v>1.9</v>
      </c>
      <c r="G2859" s="3">
        <v>6262</v>
      </c>
      <c r="H2859" s="3">
        <v>77.599999999999994</v>
      </c>
      <c r="I2859" s="3">
        <v>16.399999999999999</v>
      </c>
      <c r="J2859" s="3">
        <v>5.8</v>
      </c>
      <c r="K2859" s="3">
        <v>0.2</v>
      </c>
      <c r="L2859" s="3">
        <v>9</v>
      </c>
      <c r="M2859" t="str">
        <f>IF(acs2015_county_data[[#This Row],[PublicWork]]&gt;='Описательные характеристики'!$F$5,"да","нет")</f>
        <v>да</v>
      </c>
      <c r="N2859" t="str">
        <f>IF(acs2015_county_data[[#This Row],[Unemployment]]&gt;='Описательные характеристики'!$I$5,"да","нет")</f>
        <v>да</v>
      </c>
    </row>
    <row r="2860" spans="1:14" x14ac:dyDescent="0.35">
      <c r="A2860">
        <v>51079</v>
      </c>
      <c r="B2860" t="s">
        <v>1722</v>
      </c>
      <c r="C2860" t="s">
        <v>45</v>
      </c>
      <c r="D2860" s="2">
        <v>18938</v>
      </c>
      <c r="E2860" s="2">
        <v>28209</v>
      </c>
      <c r="F2860" s="3">
        <v>2.9</v>
      </c>
      <c r="G2860" s="3">
        <v>8932</v>
      </c>
      <c r="H2860" s="3">
        <v>71.2</v>
      </c>
      <c r="I2860" s="3">
        <v>21.5</v>
      </c>
      <c r="J2860" s="3">
        <v>7.2</v>
      </c>
      <c r="K2860" s="3">
        <v>0.1</v>
      </c>
      <c r="L2860" s="3">
        <v>7.4</v>
      </c>
      <c r="M2860" t="str">
        <f>IF(acs2015_county_data[[#This Row],[PublicWork]]&gt;='Описательные характеристики'!$F$5,"да","нет")</f>
        <v>да</v>
      </c>
      <c r="N2860" t="str">
        <f>IF(acs2015_county_data[[#This Row],[Unemployment]]&gt;='Описательные характеристики'!$I$5,"да","нет")</f>
        <v>нет</v>
      </c>
    </row>
    <row r="2861" spans="1:14" x14ac:dyDescent="0.35">
      <c r="A2861">
        <v>51081</v>
      </c>
      <c r="B2861" t="s">
        <v>1722</v>
      </c>
      <c r="C2861" t="s">
        <v>1741</v>
      </c>
      <c r="D2861" s="2">
        <v>11760</v>
      </c>
      <c r="E2861" s="2">
        <v>14450</v>
      </c>
      <c r="F2861" s="3">
        <v>1.4</v>
      </c>
      <c r="G2861" s="3">
        <v>3365</v>
      </c>
      <c r="H2861" s="3">
        <v>74.7</v>
      </c>
      <c r="I2861" s="3">
        <v>21.5</v>
      </c>
      <c r="J2861" s="3">
        <v>3.9</v>
      </c>
      <c r="K2861" s="3">
        <v>0</v>
      </c>
      <c r="L2861" s="3">
        <v>6.4</v>
      </c>
      <c r="M2861" t="str">
        <f>IF(acs2015_county_data[[#This Row],[PublicWork]]&gt;='Описательные характеристики'!$F$5,"да","нет")</f>
        <v>да</v>
      </c>
      <c r="N2861" t="str">
        <f>IF(acs2015_county_data[[#This Row],[Unemployment]]&gt;='Описательные характеристики'!$I$5,"да","нет")</f>
        <v>нет</v>
      </c>
    </row>
    <row r="2862" spans="1:14" x14ac:dyDescent="0.35">
      <c r="A2862">
        <v>51083</v>
      </c>
      <c r="B2862" t="s">
        <v>1722</v>
      </c>
      <c r="C2862" t="s">
        <v>1247</v>
      </c>
      <c r="D2862" s="2">
        <v>35506</v>
      </c>
      <c r="E2862" s="2">
        <v>19782</v>
      </c>
      <c r="F2862" s="3">
        <v>2.9</v>
      </c>
      <c r="G2862" s="3">
        <v>14234</v>
      </c>
      <c r="H2862" s="3">
        <v>73.5</v>
      </c>
      <c r="I2862" s="3">
        <v>18.899999999999999</v>
      </c>
      <c r="J2862" s="3">
        <v>7.3</v>
      </c>
      <c r="K2862" s="3">
        <v>0.3</v>
      </c>
      <c r="L2862" s="3">
        <v>7.5</v>
      </c>
      <c r="M2862" t="str">
        <f>IF(acs2015_county_data[[#This Row],[PublicWork]]&gt;='Описательные характеристики'!$F$5,"да","нет")</f>
        <v>да</v>
      </c>
      <c r="N2862" t="str">
        <f>IF(acs2015_county_data[[#This Row],[Unemployment]]&gt;='Описательные характеристики'!$I$5,"да","нет")</f>
        <v>нет</v>
      </c>
    </row>
    <row r="2863" spans="1:14" x14ac:dyDescent="0.35">
      <c r="A2863">
        <v>51085</v>
      </c>
      <c r="B2863" t="s">
        <v>1722</v>
      </c>
      <c r="C2863" t="s">
        <v>1742</v>
      </c>
      <c r="D2863" s="2">
        <v>101340</v>
      </c>
      <c r="E2863" s="2">
        <v>34701</v>
      </c>
      <c r="F2863" s="3">
        <v>6.2</v>
      </c>
      <c r="G2863" s="3">
        <v>52677</v>
      </c>
      <c r="H2863" s="3">
        <v>78.599999999999994</v>
      </c>
      <c r="I2863" s="3">
        <v>16.899999999999999</v>
      </c>
      <c r="J2863" s="3">
        <v>4.5</v>
      </c>
      <c r="K2863" s="3">
        <v>0</v>
      </c>
      <c r="L2863" s="3">
        <v>4.4000000000000004</v>
      </c>
      <c r="M2863" t="str">
        <f>IF(acs2015_county_data[[#This Row],[PublicWork]]&gt;='Описательные характеристики'!$F$5,"да","нет")</f>
        <v>да</v>
      </c>
      <c r="N2863" t="str">
        <f>IF(acs2015_county_data[[#This Row],[Unemployment]]&gt;='Описательные характеристики'!$I$5,"да","нет")</f>
        <v>нет</v>
      </c>
    </row>
    <row r="2864" spans="1:14" x14ac:dyDescent="0.35">
      <c r="A2864">
        <v>51087</v>
      </c>
      <c r="B2864" t="s">
        <v>1722</v>
      </c>
      <c r="C2864" t="s">
        <v>1743</v>
      </c>
      <c r="D2864" s="2">
        <v>318864</v>
      </c>
      <c r="E2864" s="2">
        <v>33634</v>
      </c>
      <c r="F2864" s="3">
        <v>4.5</v>
      </c>
      <c r="G2864" s="3">
        <v>164877</v>
      </c>
      <c r="H2864" s="3">
        <v>80.2</v>
      </c>
      <c r="I2864" s="3">
        <v>15.8</v>
      </c>
      <c r="J2864" s="3">
        <v>3.9</v>
      </c>
      <c r="K2864" s="3">
        <v>0.1</v>
      </c>
      <c r="L2864" s="3">
        <v>6.7</v>
      </c>
      <c r="M2864" t="str">
        <f>IF(acs2015_county_data[[#This Row],[PublicWork]]&gt;='Описательные характеристики'!$F$5,"да","нет")</f>
        <v>нет</v>
      </c>
      <c r="N2864" t="str">
        <f>IF(acs2015_county_data[[#This Row],[Unemployment]]&gt;='Описательные характеристики'!$I$5,"да","нет")</f>
        <v>нет</v>
      </c>
    </row>
    <row r="2865" spans="1:14" x14ac:dyDescent="0.35">
      <c r="A2865">
        <v>51089</v>
      </c>
      <c r="B2865" t="s">
        <v>1722</v>
      </c>
      <c r="C2865" t="s">
        <v>47</v>
      </c>
      <c r="D2865" s="2">
        <v>52580</v>
      </c>
      <c r="E2865" s="2">
        <v>20159</v>
      </c>
      <c r="F2865" s="3">
        <v>2.2000000000000002</v>
      </c>
      <c r="G2865" s="3">
        <v>21466</v>
      </c>
      <c r="H2865" s="3">
        <v>81.7</v>
      </c>
      <c r="I2865" s="3">
        <v>13.8</v>
      </c>
      <c r="J2865" s="3">
        <v>4.3</v>
      </c>
      <c r="K2865" s="3">
        <v>0.1</v>
      </c>
      <c r="L2865" s="3">
        <v>10</v>
      </c>
      <c r="M2865" t="str">
        <f>IF(acs2015_county_data[[#This Row],[PublicWork]]&gt;='Описательные характеристики'!$F$5,"да","нет")</f>
        <v>нет</v>
      </c>
      <c r="N2865" t="str">
        <f>IF(acs2015_county_data[[#This Row],[Unemployment]]&gt;='Описательные характеристики'!$I$5,"да","нет")</f>
        <v>да</v>
      </c>
    </row>
    <row r="2866" spans="1:14" x14ac:dyDescent="0.35">
      <c r="A2866">
        <v>51091</v>
      </c>
      <c r="B2866" t="s">
        <v>1722</v>
      </c>
      <c r="C2866" t="s">
        <v>1330</v>
      </c>
      <c r="D2866" s="2">
        <v>2244</v>
      </c>
      <c r="E2866" s="2">
        <v>26809</v>
      </c>
      <c r="F2866" s="3">
        <v>5</v>
      </c>
      <c r="G2866" s="3">
        <v>1006</v>
      </c>
      <c r="H2866" s="3">
        <v>61.8</v>
      </c>
      <c r="I2866" s="3">
        <v>21.3</v>
      </c>
      <c r="J2866" s="3">
        <v>16.899999999999999</v>
      </c>
      <c r="K2866" s="3">
        <v>0</v>
      </c>
      <c r="L2866" s="3">
        <v>1.1000000000000001</v>
      </c>
      <c r="M2866" t="str">
        <f>IF(acs2015_county_data[[#This Row],[PublicWork]]&gt;='Описательные характеристики'!$F$5,"да","нет")</f>
        <v>да</v>
      </c>
      <c r="N2866" t="str">
        <f>IF(acs2015_county_data[[#This Row],[Unemployment]]&gt;='Описательные характеристики'!$I$5,"да","нет")</f>
        <v>нет</v>
      </c>
    </row>
    <row r="2867" spans="1:14" x14ac:dyDescent="0.35">
      <c r="A2867">
        <v>51093</v>
      </c>
      <c r="B2867" t="s">
        <v>1722</v>
      </c>
      <c r="C2867" t="s">
        <v>1744</v>
      </c>
      <c r="D2867" s="2">
        <v>35740</v>
      </c>
      <c r="E2867" s="2">
        <v>31460</v>
      </c>
      <c r="F2867" s="3">
        <v>2.8</v>
      </c>
      <c r="G2867" s="3">
        <v>17246</v>
      </c>
      <c r="H2867" s="3">
        <v>74.400000000000006</v>
      </c>
      <c r="I2867" s="3">
        <v>19.899999999999999</v>
      </c>
      <c r="J2867" s="3">
        <v>5.5</v>
      </c>
      <c r="K2867" s="3">
        <v>0.2</v>
      </c>
      <c r="L2867" s="3">
        <v>8.3000000000000007</v>
      </c>
      <c r="M2867" t="str">
        <f>IF(acs2015_county_data[[#This Row],[PublicWork]]&gt;='Описательные характеристики'!$F$5,"да","нет")</f>
        <v>да</v>
      </c>
      <c r="N2867" t="str">
        <f>IF(acs2015_county_data[[#This Row],[Unemployment]]&gt;='Описательные характеристики'!$I$5,"да","нет")</f>
        <v>да</v>
      </c>
    </row>
    <row r="2868" spans="1:14" x14ac:dyDescent="0.35">
      <c r="A2868">
        <v>51095</v>
      </c>
      <c r="B2868" t="s">
        <v>1722</v>
      </c>
      <c r="C2868" t="s">
        <v>1745</v>
      </c>
      <c r="D2868" s="2">
        <v>70673</v>
      </c>
      <c r="E2868" s="2">
        <v>39802</v>
      </c>
      <c r="F2868" s="3">
        <v>5.7</v>
      </c>
      <c r="G2868" s="3">
        <v>31685</v>
      </c>
      <c r="H2868" s="3">
        <v>72</v>
      </c>
      <c r="I2868" s="3">
        <v>22.8</v>
      </c>
      <c r="J2868" s="3">
        <v>5</v>
      </c>
      <c r="K2868" s="3">
        <v>0.2</v>
      </c>
      <c r="L2868" s="3">
        <v>5.0999999999999996</v>
      </c>
      <c r="M2868" t="str">
        <f>IF(acs2015_county_data[[#This Row],[PublicWork]]&gt;='Описательные характеристики'!$F$5,"да","нет")</f>
        <v>да</v>
      </c>
      <c r="N2868" t="str">
        <f>IF(acs2015_county_data[[#This Row],[Unemployment]]&gt;='Описательные характеристики'!$I$5,"да","нет")</f>
        <v>нет</v>
      </c>
    </row>
    <row r="2869" spans="1:14" x14ac:dyDescent="0.35">
      <c r="A2869">
        <v>51097</v>
      </c>
      <c r="B2869" t="s">
        <v>1722</v>
      </c>
      <c r="C2869" t="s">
        <v>1746</v>
      </c>
      <c r="D2869" s="2">
        <v>7106</v>
      </c>
      <c r="E2869" s="2">
        <v>25498</v>
      </c>
      <c r="F2869" s="3">
        <v>7.9</v>
      </c>
      <c r="G2869" s="3">
        <v>3335</v>
      </c>
      <c r="H2869" s="3">
        <v>76.599999999999994</v>
      </c>
      <c r="I2869" s="3">
        <v>16.2</v>
      </c>
      <c r="J2869" s="3">
        <v>7.3</v>
      </c>
      <c r="K2869" s="3">
        <v>0</v>
      </c>
      <c r="L2869" s="3">
        <v>5.5</v>
      </c>
      <c r="M2869" t="str">
        <f>IF(acs2015_county_data[[#This Row],[PublicWork]]&gt;='Описательные характеристики'!$F$5,"да","нет")</f>
        <v>да</v>
      </c>
      <c r="N2869" t="str">
        <f>IF(acs2015_county_data[[#This Row],[Unemployment]]&gt;='Описательные характеристики'!$I$5,"да","нет")</f>
        <v>нет</v>
      </c>
    </row>
    <row r="2870" spans="1:14" x14ac:dyDescent="0.35">
      <c r="A2870">
        <v>51099</v>
      </c>
      <c r="B2870" t="s">
        <v>1722</v>
      </c>
      <c r="C2870" t="s">
        <v>1747</v>
      </c>
      <c r="D2870" s="2">
        <v>24933</v>
      </c>
      <c r="E2870" s="2">
        <v>34529</v>
      </c>
      <c r="F2870" s="3">
        <v>3.2</v>
      </c>
      <c r="G2870" s="3">
        <v>12096</v>
      </c>
      <c r="H2870" s="3">
        <v>62.3</v>
      </c>
      <c r="I2870" s="3">
        <v>33.9</v>
      </c>
      <c r="J2870" s="3">
        <v>3.7</v>
      </c>
      <c r="K2870" s="3">
        <v>0.1</v>
      </c>
      <c r="L2870" s="3">
        <v>7.4</v>
      </c>
      <c r="M2870" t="str">
        <f>IF(acs2015_county_data[[#This Row],[PublicWork]]&gt;='Описательные характеристики'!$F$5,"да","нет")</f>
        <v>да</v>
      </c>
      <c r="N2870" t="str">
        <f>IF(acs2015_county_data[[#This Row],[Unemployment]]&gt;='Описательные характеристики'!$I$5,"да","нет")</f>
        <v>нет</v>
      </c>
    </row>
    <row r="2871" spans="1:14" x14ac:dyDescent="0.35">
      <c r="A2871">
        <v>51101</v>
      </c>
      <c r="B2871" t="s">
        <v>1722</v>
      </c>
      <c r="C2871" t="s">
        <v>1748</v>
      </c>
      <c r="D2871" s="2">
        <v>16097</v>
      </c>
      <c r="E2871" s="2">
        <v>28300</v>
      </c>
      <c r="F2871" s="3">
        <v>5.5</v>
      </c>
      <c r="G2871" s="3">
        <v>7972</v>
      </c>
      <c r="H2871" s="3">
        <v>78.599999999999994</v>
      </c>
      <c r="I2871" s="3">
        <v>15.2</v>
      </c>
      <c r="J2871" s="3">
        <v>6</v>
      </c>
      <c r="K2871" s="3">
        <v>0.2</v>
      </c>
      <c r="L2871" s="3">
        <v>5.4</v>
      </c>
      <c r="M2871" t="str">
        <f>IF(acs2015_county_data[[#This Row],[PublicWork]]&gt;='Описательные характеристики'!$F$5,"да","нет")</f>
        <v>нет</v>
      </c>
      <c r="N2871" t="str">
        <f>IF(acs2015_county_data[[#This Row],[Unemployment]]&gt;='Описательные характеристики'!$I$5,"да","нет")</f>
        <v>нет</v>
      </c>
    </row>
    <row r="2872" spans="1:14" x14ac:dyDescent="0.35">
      <c r="A2872">
        <v>51103</v>
      </c>
      <c r="B2872" t="s">
        <v>1722</v>
      </c>
      <c r="C2872" t="s">
        <v>1117</v>
      </c>
      <c r="D2872" s="2">
        <v>11129</v>
      </c>
      <c r="E2872" s="2">
        <v>31062</v>
      </c>
      <c r="F2872" s="3">
        <v>5.8</v>
      </c>
      <c r="G2872" s="3">
        <v>4690</v>
      </c>
      <c r="H2872" s="3">
        <v>74.2</v>
      </c>
      <c r="I2872" s="3">
        <v>15.9</v>
      </c>
      <c r="J2872" s="3">
        <v>9.6999999999999993</v>
      </c>
      <c r="K2872" s="3">
        <v>0.2</v>
      </c>
      <c r="L2872" s="3">
        <v>7.9</v>
      </c>
      <c r="M2872" t="str">
        <f>IF(acs2015_county_data[[#This Row],[PublicWork]]&gt;='Описательные характеристики'!$F$5,"да","нет")</f>
        <v>нет</v>
      </c>
      <c r="N2872" t="str">
        <f>IF(acs2015_county_data[[#This Row],[Unemployment]]&gt;='Описательные характеристики'!$I$5,"да","нет")</f>
        <v>да</v>
      </c>
    </row>
    <row r="2873" spans="1:14" x14ac:dyDescent="0.35">
      <c r="A2873">
        <v>51105</v>
      </c>
      <c r="B2873" t="s">
        <v>1722</v>
      </c>
      <c r="C2873" t="s">
        <v>53</v>
      </c>
      <c r="D2873" s="2">
        <v>25206</v>
      </c>
      <c r="E2873" s="2">
        <v>17899</v>
      </c>
      <c r="F2873" s="3">
        <v>2</v>
      </c>
      <c r="G2873" s="3">
        <v>7942</v>
      </c>
      <c r="H2873" s="3">
        <v>71.099999999999994</v>
      </c>
      <c r="I2873" s="3">
        <v>23.1</v>
      </c>
      <c r="J2873" s="3">
        <v>5.3</v>
      </c>
      <c r="K2873" s="3">
        <v>0.5</v>
      </c>
      <c r="L2873" s="3">
        <v>12</v>
      </c>
      <c r="M2873" t="str">
        <f>IF(acs2015_county_data[[#This Row],[PublicWork]]&gt;='Описательные характеристики'!$F$5,"да","нет")</f>
        <v>да</v>
      </c>
      <c r="N2873" t="str">
        <f>IF(acs2015_county_data[[#This Row],[Unemployment]]&gt;='Описательные характеристики'!$I$5,"да","нет")</f>
        <v>да</v>
      </c>
    </row>
    <row r="2874" spans="1:14" x14ac:dyDescent="0.35">
      <c r="A2874">
        <v>51107</v>
      </c>
      <c r="B2874" t="s">
        <v>1722</v>
      </c>
      <c r="C2874" t="s">
        <v>1749</v>
      </c>
      <c r="D2874" s="2">
        <v>351129</v>
      </c>
      <c r="E2874" s="2">
        <v>47495</v>
      </c>
      <c r="F2874" s="3">
        <v>6.8</v>
      </c>
      <c r="G2874" s="3">
        <v>186474</v>
      </c>
      <c r="H2874" s="3">
        <v>78.5</v>
      </c>
      <c r="I2874" s="3">
        <v>16.899999999999999</v>
      </c>
      <c r="J2874" s="3">
        <v>4.5</v>
      </c>
      <c r="K2874" s="3">
        <v>0.1</v>
      </c>
      <c r="L2874" s="3">
        <v>4</v>
      </c>
      <c r="M2874" t="str">
        <f>IF(acs2015_county_data[[#This Row],[PublicWork]]&gt;='Описательные характеристики'!$F$5,"да","нет")</f>
        <v>да</v>
      </c>
      <c r="N2874" t="str">
        <f>IF(acs2015_county_data[[#This Row],[Unemployment]]&gt;='Описательные характеристики'!$I$5,"да","нет")</f>
        <v>нет</v>
      </c>
    </row>
    <row r="2875" spans="1:14" x14ac:dyDescent="0.35">
      <c r="A2875">
        <v>51109</v>
      </c>
      <c r="B2875" t="s">
        <v>1722</v>
      </c>
      <c r="C2875" t="s">
        <v>620</v>
      </c>
      <c r="D2875" s="2">
        <v>33986</v>
      </c>
      <c r="E2875" s="2">
        <v>28323</v>
      </c>
      <c r="F2875" s="3">
        <v>5.5</v>
      </c>
      <c r="G2875" s="3">
        <v>16077</v>
      </c>
      <c r="H2875" s="3">
        <v>75.2</v>
      </c>
      <c r="I2875" s="3">
        <v>16.399999999999999</v>
      </c>
      <c r="J2875" s="3">
        <v>8.1</v>
      </c>
      <c r="K2875" s="3">
        <v>0.3</v>
      </c>
      <c r="L2875" s="3">
        <v>8.1</v>
      </c>
      <c r="M2875" t="str">
        <f>IF(acs2015_county_data[[#This Row],[PublicWork]]&gt;='Описательные характеристики'!$F$5,"да","нет")</f>
        <v>да</v>
      </c>
      <c r="N2875" t="str">
        <f>IF(acs2015_county_data[[#This Row],[Unemployment]]&gt;='Описательные характеристики'!$I$5,"да","нет")</f>
        <v>да</v>
      </c>
    </row>
    <row r="2876" spans="1:14" x14ac:dyDescent="0.35">
      <c r="A2876">
        <v>51111</v>
      </c>
      <c r="B2876" t="s">
        <v>1722</v>
      </c>
      <c r="C2876" t="s">
        <v>1750</v>
      </c>
      <c r="D2876" s="2">
        <v>12558</v>
      </c>
      <c r="E2876" s="2">
        <v>18428</v>
      </c>
      <c r="F2876" s="3">
        <v>3.7</v>
      </c>
      <c r="G2876" s="3">
        <v>4523</v>
      </c>
      <c r="H2876" s="3">
        <v>64.7</v>
      </c>
      <c r="I2876" s="3">
        <v>28.6</v>
      </c>
      <c r="J2876" s="3">
        <v>6.4</v>
      </c>
      <c r="K2876" s="3">
        <v>0.3</v>
      </c>
      <c r="L2876" s="3">
        <v>7.3</v>
      </c>
      <c r="M2876" t="str">
        <f>IF(acs2015_county_data[[#This Row],[PublicWork]]&gt;='Описательные характеристики'!$F$5,"да","нет")</f>
        <v>да</v>
      </c>
      <c r="N2876" t="str">
        <f>IF(acs2015_county_data[[#This Row],[Unemployment]]&gt;='Описательные характеристики'!$I$5,"да","нет")</f>
        <v>нет</v>
      </c>
    </row>
    <row r="2877" spans="1:14" x14ac:dyDescent="0.35">
      <c r="A2877">
        <v>51113</v>
      </c>
      <c r="B2877" t="s">
        <v>1722</v>
      </c>
      <c r="C2877" t="s">
        <v>57</v>
      </c>
      <c r="D2877" s="2">
        <v>13147</v>
      </c>
      <c r="E2877" s="2">
        <v>25349</v>
      </c>
      <c r="F2877" s="3">
        <v>6.1</v>
      </c>
      <c r="G2877" s="3">
        <v>5965</v>
      </c>
      <c r="H2877" s="3">
        <v>68.8</v>
      </c>
      <c r="I2877" s="3">
        <v>17.600000000000001</v>
      </c>
      <c r="J2877" s="3">
        <v>13.7</v>
      </c>
      <c r="K2877" s="3">
        <v>0</v>
      </c>
      <c r="L2877" s="3">
        <v>6.6</v>
      </c>
      <c r="M2877" t="str">
        <f>IF(acs2015_county_data[[#This Row],[PublicWork]]&gt;='Описательные характеристики'!$F$5,"да","нет")</f>
        <v>да</v>
      </c>
      <c r="N2877" t="str">
        <f>IF(acs2015_county_data[[#This Row],[Unemployment]]&gt;='Описательные характеристики'!$I$5,"да","нет")</f>
        <v>нет</v>
      </c>
    </row>
    <row r="2878" spans="1:14" x14ac:dyDescent="0.35">
      <c r="A2878">
        <v>51115</v>
      </c>
      <c r="B2878" t="s">
        <v>1722</v>
      </c>
      <c r="C2878" t="s">
        <v>1751</v>
      </c>
      <c r="D2878" s="2">
        <v>8880</v>
      </c>
      <c r="E2878" s="2">
        <v>32397</v>
      </c>
      <c r="F2878" s="3">
        <v>6.8</v>
      </c>
      <c r="G2878" s="3">
        <v>3901</v>
      </c>
      <c r="H2878" s="3">
        <v>71.599999999999994</v>
      </c>
      <c r="I2878" s="3">
        <v>20.2</v>
      </c>
      <c r="J2878" s="3">
        <v>8.1999999999999993</v>
      </c>
      <c r="K2878" s="3">
        <v>0</v>
      </c>
      <c r="L2878" s="3">
        <v>3.3</v>
      </c>
      <c r="M2878" t="str">
        <f>IF(acs2015_county_data[[#This Row],[PublicWork]]&gt;='Описательные характеристики'!$F$5,"да","нет")</f>
        <v>да</v>
      </c>
      <c r="N2878" t="str">
        <f>IF(acs2015_county_data[[#This Row],[Unemployment]]&gt;='Описательные характеристики'!$I$5,"да","нет")</f>
        <v>нет</v>
      </c>
    </row>
    <row r="2879" spans="1:14" x14ac:dyDescent="0.35">
      <c r="A2879">
        <v>51117</v>
      </c>
      <c r="B2879" t="s">
        <v>1722</v>
      </c>
      <c r="C2879" t="s">
        <v>1257</v>
      </c>
      <c r="D2879" s="2">
        <v>31555</v>
      </c>
      <c r="E2879" s="2">
        <v>20618</v>
      </c>
      <c r="F2879" s="3">
        <v>3.7</v>
      </c>
      <c r="G2879" s="3">
        <v>12460</v>
      </c>
      <c r="H2879" s="3">
        <v>70.3</v>
      </c>
      <c r="I2879" s="3">
        <v>21.6</v>
      </c>
      <c r="J2879" s="3">
        <v>7.9</v>
      </c>
      <c r="K2879" s="3">
        <v>0.2</v>
      </c>
      <c r="L2879" s="3">
        <v>6.9</v>
      </c>
      <c r="M2879" t="str">
        <f>IF(acs2015_county_data[[#This Row],[PublicWork]]&gt;='Описательные характеристики'!$F$5,"да","нет")</f>
        <v>да</v>
      </c>
      <c r="N2879" t="str">
        <f>IF(acs2015_county_data[[#This Row],[Unemployment]]&gt;='Описательные характеристики'!$I$5,"да","нет")</f>
        <v>нет</v>
      </c>
    </row>
    <row r="2880" spans="1:14" x14ac:dyDescent="0.35">
      <c r="A2880">
        <v>51119</v>
      </c>
      <c r="B2880" t="s">
        <v>1722</v>
      </c>
      <c r="C2880" t="s">
        <v>295</v>
      </c>
      <c r="D2880" s="2">
        <v>10717</v>
      </c>
      <c r="E2880" s="2">
        <v>30297</v>
      </c>
      <c r="F2880" s="3">
        <v>7.7</v>
      </c>
      <c r="G2880" s="3">
        <v>4404</v>
      </c>
      <c r="H2880" s="3">
        <v>75.099999999999994</v>
      </c>
      <c r="I2880" s="3">
        <v>16.100000000000001</v>
      </c>
      <c r="J2880" s="3">
        <v>8.8000000000000007</v>
      </c>
      <c r="K2880" s="3">
        <v>0</v>
      </c>
      <c r="L2880" s="3">
        <v>6.3</v>
      </c>
      <c r="M2880" t="str">
        <f>IF(acs2015_county_data[[#This Row],[PublicWork]]&gt;='Описательные характеристики'!$F$5,"да","нет")</f>
        <v>нет</v>
      </c>
      <c r="N2880" t="str">
        <f>IF(acs2015_county_data[[#This Row],[Unemployment]]&gt;='Описательные характеристики'!$I$5,"да","нет")</f>
        <v>нет</v>
      </c>
    </row>
    <row r="2881" spans="1:14" x14ac:dyDescent="0.35">
      <c r="A2881">
        <v>51121</v>
      </c>
      <c r="B2881" t="s">
        <v>1722</v>
      </c>
      <c r="C2881" t="s">
        <v>158</v>
      </c>
      <c r="D2881" s="2">
        <v>96467</v>
      </c>
      <c r="E2881" s="2">
        <v>25368</v>
      </c>
      <c r="F2881" s="3">
        <v>4.3</v>
      </c>
      <c r="G2881" s="3">
        <v>45648</v>
      </c>
      <c r="H2881" s="3">
        <v>65.5</v>
      </c>
      <c r="I2881" s="3">
        <v>30.6</v>
      </c>
      <c r="J2881" s="3">
        <v>3.8</v>
      </c>
      <c r="K2881" s="3">
        <v>0</v>
      </c>
      <c r="L2881" s="3">
        <v>5.6</v>
      </c>
      <c r="M2881" t="str">
        <f>IF(acs2015_county_data[[#This Row],[PublicWork]]&gt;='Описательные характеристики'!$F$5,"да","нет")</f>
        <v>да</v>
      </c>
      <c r="N2881" t="str">
        <f>IF(acs2015_county_data[[#This Row],[Unemployment]]&gt;='Описательные характеристики'!$I$5,"да","нет")</f>
        <v>нет</v>
      </c>
    </row>
    <row r="2882" spans="1:14" x14ac:dyDescent="0.35">
      <c r="A2882">
        <v>51125</v>
      </c>
      <c r="B2882" t="s">
        <v>1722</v>
      </c>
      <c r="C2882" t="s">
        <v>752</v>
      </c>
      <c r="D2882" s="2">
        <v>14858</v>
      </c>
      <c r="E2882" s="2">
        <v>27528</v>
      </c>
      <c r="F2882" s="3">
        <v>8.1999999999999993</v>
      </c>
      <c r="G2882" s="3">
        <v>6694</v>
      </c>
      <c r="H2882" s="3">
        <v>69.099999999999994</v>
      </c>
      <c r="I2882" s="3">
        <v>16.100000000000001</v>
      </c>
      <c r="J2882" s="3">
        <v>14.2</v>
      </c>
      <c r="K2882" s="3">
        <v>0.6</v>
      </c>
      <c r="L2882" s="3">
        <v>5.7</v>
      </c>
      <c r="M2882" t="str">
        <f>IF(acs2015_county_data[[#This Row],[PublicWork]]&gt;='Описательные характеристики'!$F$5,"да","нет")</f>
        <v>нет</v>
      </c>
      <c r="N2882" t="str">
        <f>IF(acs2015_county_data[[#This Row],[Unemployment]]&gt;='Описательные характеристики'!$I$5,"да","нет")</f>
        <v>нет</v>
      </c>
    </row>
    <row r="2883" spans="1:14" x14ac:dyDescent="0.35">
      <c r="A2883">
        <v>51127</v>
      </c>
      <c r="B2883" t="s">
        <v>1722</v>
      </c>
      <c r="C2883" t="s">
        <v>1752</v>
      </c>
      <c r="D2883" s="2">
        <v>19560</v>
      </c>
      <c r="E2883" s="2">
        <v>33689</v>
      </c>
      <c r="F2883" s="3">
        <v>6.6</v>
      </c>
      <c r="G2883" s="3">
        <v>9896</v>
      </c>
      <c r="H2883" s="3">
        <v>74.400000000000006</v>
      </c>
      <c r="I2883" s="3">
        <v>18.2</v>
      </c>
      <c r="J2883" s="3">
        <v>6.7</v>
      </c>
      <c r="K2883" s="3">
        <v>0.7</v>
      </c>
      <c r="L2883" s="3">
        <v>6.1</v>
      </c>
      <c r="M2883" t="str">
        <f>IF(acs2015_county_data[[#This Row],[PublicWork]]&gt;='Описательные характеристики'!$F$5,"да","нет")</f>
        <v>да</v>
      </c>
      <c r="N2883" t="str">
        <f>IF(acs2015_county_data[[#This Row],[Unemployment]]&gt;='Описательные характеристики'!$I$5,"да","нет")</f>
        <v>нет</v>
      </c>
    </row>
    <row r="2884" spans="1:14" x14ac:dyDescent="0.35">
      <c r="A2884">
        <v>51131</v>
      </c>
      <c r="B2884" t="s">
        <v>1722</v>
      </c>
      <c r="C2884" t="s">
        <v>1261</v>
      </c>
      <c r="D2884" s="2">
        <v>12184</v>
      </c>
      <c r="E2884" s="2">
        <v>22490</v>
      </c>
      <c r="F2884" s="3">
        <v>5.6</v>
      </c>
      <c r="G2884" s="3">
        <v>4830</v>
      </c>
      <c r="H2884" s="3">
        <v>72.3</v>
      </c>
      <c r="I2884" s="3">
        <v>17.399999999999999</v>
      </c>
      <c r="J2884" s="3">
        <v>10.199999999999999</v>
      </c>
      <c r="K2884" s="3">
        <v>0.1</v>
      </c>
      <c r="L2884" s="3">
        <v>9.5</v>
      </c>
      <c r="M2884" t="str">
        <f>IF(acs2015_county_data[[#This Row],[PublicWork]]&gt;='Описательные характеристики'!$F$5,"да","нет")</f>
        <v>да</v>
      </c>
      <c r="N2884" t="str">
        <f>IF(acs2015_county_data[[#This Row],[Unemployment]]&gt;='Описательные характеристики'!$I$5,"да","нет")</f>
        <v>да</v>
      </c>
    </row>
    <row r="2885" spans="1:14" x14ac:dyDescent="0.35">
      <c r="A2885">
        <v>51133</v>
      </c>
      <c r="B2885" t="s">
        <v>1722</v>
      </c>
      <c r="C2885" t="s">
        <v>1432</v>
      </c>
      <c r="D2885" s="2">
        <v>12304</v>
      </c>
      <c r="E2885" s="2">
        <v>31280</v>
      </c>
      <c r="F2885" s="3">
        <v>8.1</v>
      </c>
      <c r="G2885" s="3">
        <v>5021</v>
      </c>
      <c r="H2885" s="3">
        <v>72.2</v>
      </c>
      <c r="I2885" s="3">
        <v>16.100000000000001</v>
      </c>
      <c r="J2885" s="3">
        <v>11.7</v>
      </c>
      <c r="K2885" s="3">
        <v>0</v>
      </c>
      <c r="L2885" s="3">
        <v>8.6999999999999993</v>
      </c>
      <c r="M2885" t="str">
        <f>IF(acs2015_county_data[[#This Row],[PublicWork]]&gt;='Описательные характеристики'!$F$5,"да","нет")</f>
        <v>нет</v>
      </c>
      <c r="N2885" t="str">
        <f>IF(acs2015_county_data[[#This Row],[Unemployment]]&gt;='Описательные характеристики'!$I$5,"да","нет")</f>
        <v>да</v>
      </c>
    </row>
    <row r="2886" spans="1:14" x14ac:dyDescent="0.35">
      <c r="A2886">
        <v>51135</v>
      </c>
      <c r="B2886" t="s">
        <v>1722</v>
      </c>
      <c r="C2886" t="s">
        <v>1753</v>
      </c>
      <c r="D2886" s="2">
        <v>15711</v>
      </c>
      <c r="E2886" s="2">
        <v>18917</v>
      </c>
      <c r="F2886" s="3">
        <v>2</v>
      </c>
      <c r="G2886" s="3">
        <v>5644</v>
      </c>
      <c r="H2886" s="3">
        <v>62.8</v>
      </c>
      <c r="I2886" s="3">
        <v>32.5</v>
      </c>
      <c r="J2886" s="3">
        <v>4.7</v>
      </c>
      <c r="K2886" s="3">
        <v>0</v>
      </c>
      <c r="L2886" s="3">
        <v>10.8</v>
      </c>
      <c r="M2886" t="str">
        <f>IF(acs2015_county_data[[#This Row],[PublicWork]]&gt;='Описательные характеристики'!$F$5,"да","нет")</f>
        <v>да</v>
      </c>
      <c r="N2886" t="str">
        <f>IF(acs2015_county_data[[#This Row],[Unemployment]]&gt;='Описательные характеристики'!$I$5,"да","нет")</f>
        <v>да</v>
      </c>
    </row>
    <row r="2887" spans="1:14" x14ac:dyDescent="0.35">
      <c r="A2887">
        <v>51137</v>
      </c>
      <c r="B2887" t="s">
        <v>1722</v>
      </c>
      <c r="C2887" t="s">
        <v>208</v>
      </c>
      <c r="D2887" s="2">
        <v>34596</v>
      </c>
      <c r="E2887" s="2">
        <v>29748</v>
      </c>
      <c r="F2887" s="3">
        <v>3.8</v>
      </c>
      <c r="G2887" s="3">
        <v>15024</v>
      </c>
      <c r="H2887" s="3">
        <v>73.599999999999994</v>
      </c>
      <c r="I2887" s="3">
        <v>19.7</v>
      </c>
      <c r="J2887" s="3">
        <v>6.7</v>
      </c>
      <c r="K2887" s="3">
        <v>0</v>
      </c>
      <c r="L2887" s="3">
        <v>7.9</v>
      </c>
      <c r="M2887" t="str">
        <f>IF(acs2015_county_data[[#This Row],[PublicWork]]&gt;='Описательные характеристики'!$F$5,"да","нет")</f>
        <v>да</v>
      </c>
      <c r="N2887" t="str">
        <f>IF(acs2015_county_data[[#This Row],[Unemployment]]&gt;='Описательные характеристики'!$I$5,"да","нет")</f>
        <v>да</v>
      </c>
    </row>
    <row r="2888" spans="1:14" x14ac:dyDescent="0.35">
      <c r="A2888">
        <v>51139</v>
      </c>
      <c r="B2888" t="s">
        <v>1722</v>
      </c>
      <c r="C2888" t="s">
        <v>628</v>
      </c>
      <c r="D2888" s="2">
        <v>23843</v>
      </c>
      <c r="E2888" s="2">
        <v>22241</v>
      </c>
      <c r="F2888" s="3">
        <v>3.2</v>
      </c>
      <c r="G2888" s="3">
        <v>10379</v>
      </c>
      <c r="H2888" s="3">
        <v>76</v>
      </c>
      <c r="I2888" s="3">
        <v>17.600000000000001</v>
      </c>
      <c r="J2888" s="3">
        <v>6.3</v>
      </c>
      <c r="K2888" s="3">
        <v>0.1</v>
      </c>
      <c r="L2888" s="3">
        <v>9.3000000000000007</v>
      </c>
      <c r="M2888" t="str">
        <f>IF(acs2015_county_data[[#This Row],[PublicWork]]&gt;='Описательные характеристики'!$F$5,"да","нет")</f>
        <v>да</v>
      </c>
      <c r="N2888" t="str">
        <f>IF(acs2015_county_data[[#This Row],[Unemployment]]&gt;='Описательные характеристики'!$I$5,"да","нет")</f>
        <v>да</v>
      </c>
    </row>
    <row r="2889" spans="1:14" x14ac:dyDescent="0.35">
      <c r="A2889">
        <v>51141</v>
      </c>
      <c r="B2889" t="s">
        <v>1722</v>
      </c>
      <c r="C2889" t="s">
        <v>1754</v>
      </c>
      <c r="D2889" s="2">
        <v>18264</v>
      </c>
      <c r="E2889" s="2">
        <v>19311</v>
      </c>
      <c r="F2889" s="3">
        <v>2.4</v>
      </c>
      <c r="G2889" s="3">
        <v>6971</v>
      </c>
      <c r="H2889" s="3">
        <v>77.599999999999994</v>
      </c>
      <c r="I2889" s="3">
        <v>15.1</v>
      </c>
      <c r="J2889" s="3">
        <v>7.2</v>
      </c>
      <c r="K2889" s="3">
        <v>0.1</v>
      </c>
      <c r="L2889" s="3">
        <v>8.3000000000000007</v>
      </c>
      <c r="M2889" t="str">
        <f>IF(acs2015_county_data[[#This Row],[PublicWork]]&gt;='Описательные характеристики'!$F$5,"да","нет")</f>
        <v>нет</v>
      </c>
      <c r="N2889" t="str">
        <f>IF(acs2015_county_data[[#This Row],[Unemployment]]&gt;='Описательные характеристики'!$I$5,"да","нет")</f>
        <v>да</v>
      </c>
    </row>
    <row r="2890" spans="1:14" x14ac:dyDescent="0.35">
      <c r="A2890">
        <v>51143</v>
      </c>
      <c r="B2890" t="s">
        <v>1722</v>
      </c>
      <c r="C2890" t="s">
        <v>1755</v>
      </c>
      <c r="D2890" s="2">
        <v>62794</v>
      </c>
      <c r="E2890" s="2">
        <v>21667</v>
      </c>
      <c r="F2890" s="3">
        <v>3.6</v>
      </c>
      <c r="G2890" s="3">
        <v>27803</v>
      </c>
      <c r="H2890" s="3">
        <v>79.8</v>
      </c>
      <c r="I2890" s="3">
        <v>14.2</v>
      </c>
      <c r="J2890" s="3">
        <v>5.9</v>
      </c>
      <c r="K2890" s="3">
        <v>0.2</v>
      </c>
      <c r="L2890" s="3">
        <v>7.7</v>
      </c>
      <c r="M2890" t="str">
        <f>IF(acs2015_county_data[[#This Row],[PublicWork]]&gt;='Описательные характеристики'!$F$5,"да","нет")</f>
        <v>нет</v>
      </c>
      <c r="N2890" t="str">
        <f>IF(acs2015_county_data[[#This Row],[Unemployment]]&gt;='Описательные характеристики'!$I$5,"да","нет")</f>
        <v>да</v>
      </c>
    </row>
    <row r="2891" spans="1:14" x14ac:dyDescent="0.35">
      <c r="A2891">
        <v>51145</v>
      </c>
      <c r="B2891" t="s">
        <v>1722</v>
      </c>
      <c r="C2891" t="s">
        <v>1756</v>
      </c>
      <c r="D2891" s="2">
        <v>28207</v>
      </c>
      <c r="E2891" s="2">
        <v>32110</v>
      </c>
      <c r="F2891" s="3">
        <v>6.3</v>
      </c>
      <c r="G2891" s="3">
        <v>13301</v>
      </c>
      <c r="H2891" s="3">
        <v>77.7</v>
      </c>
      <c r="I2891" s="3">
        <v>16.600000000000001</v>
      </c>
      <c r="J2891" s="3">
        <v>5.5</v>
      </c>
      <c r="K2891" s="3">
        <v>0.1</v>
      </c>
      <c r="L2891" s="3">
        <v>4.9000000000000004</v>
      </c>
      <c r="M2891" t="str">
        <f>IF(acs2015_county_data[[#This Row],[PublicWork]]&gt;='Описательные характеристики'!$F$5,"да","нет")</f>
        <v>да</v>
      </c>
      <c r="N2891" t="str">
        <f>IF(acs2015_county_data[[#This Row],[Unemployment]]&gt;='Описательные характеристики'!$I$5,"да","нет")</f>
        <v>нет</v>
      </c>
    </row>
    <row r="2892" spans="1:14" x14ac:dyDescent="0.35">
      <c r="A2892">
        <v>51147</v>
      </c>
      <c r="B2892" t="s">
        <v>1722</v>
      </c>
      <c r="C2892" t="s">
        <v>1757</v>
      </c>
      <c r="D2892" s="2">
        <v>23022</v>
      </c>
      <c r="E2892" s="2">
        <v>17901</v>
      </c>
      <c r="F2892" s="3">
        <v>4.9000000000000004</v>
      </c>
      <c r="G2892" s="3">
        <v>8771</v>
      </c>
      <c r="H2892" s="3">
        <v>68.3</v>
      </c>
      <c r="I2892" s="3">
        <v>25.2</v>
      </c>
      <c r="J2892" s="3">
        <v>6.4</v>
      </c>
      <c r="K2892" s="3">
        <v>0.1</v>
      </c>
      <c r="L2892" s="3">
        <v>7</v>
      </c>
      <c r="M2892" t="str">
        <f>IF(acs2015_county_data[[#This Row],[PublicWork]]&gt;='Описательные характеристики'!$F$5,"да","нет")</f>
        <v>да</v>
      </c>
      <c r="N2892" t="str">
        <f>IF(acs2015_county_data[[#This Row],[Unemployment]]&gt;='Описательные характеристики'!$I$5,"да","нет")</f>
        <v>нет</v>
      </c>
    </row>
    <row r="2893" spans="1:14" x14ac:dyDescent="0.35">
      <c r="A2893">
        <v>51149</v>
      </c>
      <c r="B2893" t="s">
        <v>1722</v>
      </c>
      <c r="C2893" t="s">
        <v>1758</v>
      </c>
      <c r="D2893" s="2">
        <v>37380</v>
      </c>
      <c r="E2893" s="2">
        <v>24785</v>
      </c>
      <c r="F2893" s="3">
        <v>3.4</v>
      </c>
      <c r="G2893" s="3">
        <v>14315</v>
      </c>
      <c r="H2893" s="3">
        <v>67.900000000000006</v>
      </c>
      <c r="I2893" s="3">
        <v>26.6</v>
      </c>
      <c r="J2893" s="3">
        <v>5.2</v>
      </c>
      <c r="K2893" s="3">
        <v>0.3</v>
      </c>
      <c r="L2893" s="3">
        <v>10.6</v>
      </c>
      <c r="M2893" t="str">
        <f>IF(acs2015_county_data[[#This Row],[PublicWork]]&gt;='Описательные характеристики'!$F$5,"да","нет")</f>
        <v>да</v>
      </c>
      <c r="N2893" t="str">
        <f>IF(acs2015_county_data[[#This Row],[Unemployment]]&gt;='Описательные характеристики'!$I$5,"да","нет")</f>
        <v>да</v>
      </c>
    </row>
    <row r="2894" spans="1:14" x14ac:dyDescent="0.35">
      <c r="A2894">
        <v>51153</v>
      </c>
      <c r="B2894" t="s">
        <v>1722</v>
      </c>
      <c r="C2894" t="s">
        <v>1759</v>
      </c>
      <c r="D2894" s="2">
        <v>437271</v>
      </c>
      <c r="E2894" s="2">
        <v>37215</v>
      </c>
      <c r="F2894" s="3">
        <v>3.8</v>
      </c>
      <c r="G2894" s="3">
        <v>223939</v>
      </c>
      <c r="H2894" s="3">
        <v>72.3</v>
      </c>
      <c r="I2894" s="3">
        <v>23.5</v>
      </c>
      <c r="J2894" s="3">
        <v>4</v>
      </c>
      <c r="K2894" s="3">
        <v>0.1</v>
      </c>
      <c r="L2894" s="3">
        <v>5.4</v>
      </c>
      <c r="M2894" t="str">
        <f>IF(acs2015_county_data[[#This Row],[PublicWork]]&gt;='Описательные характеристики'!$F$5,"да","нет")</f>
        <v>да</v>
      </c>
      <c r="N2894" t="str">
        <f>IF(acs2015_county_data[[#This Row],[Unemployment]]&gt;='Описательные характеристики'!$I$5,"да","нет")</f>
        <v>нет</v>
      </c>
    </row>
    <row r="2895" spans="1:14" x14ac:dyDescent="0.35">
      <c r="A2895">
        <v>51155</v>
      </c>
      <c r="B2895" t="s">
        <v>1722</v>
      </c>
      <c r="C2895" t="s">
        <v>166</v>
      </c>
      <c r="D2895" s="2">
        <v>34528</v>
      </c>
      <c r="E2895" s="2">
        <v>25556</v>
      </c>
      <c r="F2895" s="3">
        <v>2.4</v>
      </c>
      <c r="G2895" s="3">
        <v>15480</v>
      </c>
      <c r="H2895" s="3">
        <v>76.3</v>
      </c>
      <c r="I2895" s="3">
        <v>19</v>
      </c>
      <c r="J2895" s="3">
        <v>4.7</v>
      </c>
      <c r="K2895" s="3">
        <v>0</v>
      </c>
      <c r="L2895" s="3">
        <v>7.4</v>
      </c>
      <c r="M2895" t="str">
        <f>IF(acs2015_county_data[[#This Row],[PublicWork]]&gt;='Описательные характеристики'!$F$5,"да","нет")</f>
        <v>да</v>
      </c>
      <c r="N2895" t="str">
        <f>IF(acs2015_county_data[[#This Row],[Unemployment]]&gt;='Описательные характеристики'!$I$5,"да","нет")</f>
        <v>нет</v>
      </c>
    </row>
    <row r="2896" spans="1:14" x14ac:dyDescent="0.35">
      <c r="A2896">
        <v>51157</v>
      </c>
      <c r="B2896" t="s">
        <v>1722</v>
      </c>
      <c r="C2896" t="s">
        <v>1760</v>
      </c>
      <c r="D2896" s="2">
        <v>7431</v>
      </c>
      <c r="E2896" s="2">
        <v>36567</v>
      </c>
      <c r="F2896" s="3">
        <v>9.6999999999999993</v>
      </c>
      <c r="G2896" s="3">
        <v>3570</v>
      </c>
      <c r="H2896" s="3">
        <v>63.5</v>
      </c>
      <c r="I2896" s="3">
        <v>21.5</v>
      </c>
      <c r="J2896" s="3">
        <v>15</v>
      </c>
      <c r="K2896" s="3">
        <v>0</v>
      </c>
      <c r="L2896" s="3">
        <v>2.9</v>
      </c>
      <c r="M2896" t="str">
        <f>IF(acs2015_county_data[[#This Row],[PublicWork]]&gt;='Описательные характеристики'!$F$5,"да","нет")</f>
        <v>да</v>
      </c>
      <c r="N2896" t="str">
        <f>IF(acs2015_county_data[[#This Row],[Unemployment]]&gt;='Описательные характеристики'!$I$5,"да","нет")</f>
        <v>нет</v>
      </c>
    </row>
    <row r="2897" spans="1:14" x14ac:dyDescent="0.35">
      <c r="A2897">
        <v>51159</v>
      </c>
      <c r="B2897" t="s">
        <v>1722</v>
      </c>
      <c r="C2897" t="s">
        <v>433</v>
      </c>
      <c r="D2897" s="2">
        <v>8989</v>
      </c>
      <c r="E2897" s="2">
        <v>19407</v>
      </c>
      <c r="F2897" s="3">
        <v>8.6999999999999993</v>
      </c>
      <c r="G2897" s="3">
        <v>3199</v>
      </c>
      <c r="H2897" s="3">
        <v>66.3</v>
      </c>
      <c r="I2897" s="3">
        <v>21.5</v>
      </c>
      <c r="J2897" s="3">
        <v>11.8</v>
      </c>
      <c r="K2897" s="3">
        <v>0.5</v>
      </c>
      <c r="L2897" s="3">
        <v>8.6999999999999993</v>
      </c>
      <c r="M2897" t="str">
        <f>IF(acs2015_county_data[[#This Row],[PublicWork]]&gt;='Описательные характеристики'!$F$5,"да","нет")</f>
        <v>да</v>
      </c>
      <c r="N2897" t="str">
        <f>IF(acs2015_county_data[[#This Row],[Unemployment]]&gt;='Описательные характеристики'!$I$5,"да","нет")</f>
        <v>да</v>
      </c>
    </row>
    <row r="2898" spans="1:14" x14ac:dyDescent="0.35">
      <c r="A2898">
        <v>51161</v>
      </c>
      <c r="B2898" t="s">
        <v>1722</v>
      </c>
      <c r="C2898" t="s">
        <v>1761</v>
      </c>
      <c r="D2898" s="2">
        <v>93633</v>
      </c>
      <c r="E2898" s="2">
        <v>31370</v>
      </c>
      <c r="F2898" s="3">
        <v>3.7</v>
      </c>
      <c r="G2898" s="3">
        <v>45358</v>
      </c>
      <c r="H2898" s="3">
        <v>79.5</v>
      </c>
      <c r="I2898" s="3">
        <v>15.4</v>
      </c>
      <c r="J2898" s="3">
        <v>5</v>
      </c>
      <c r="K2898" s="3">
        <v>0</v>
      </c>
      <c r="L2898" s="3">
        <v>5.0999999999999996</v>
      </c>
      <c r="M2898" t="str">
        <f>IF(acs2015_county_data[[#This Row],[PublicWork]]&gt;='Описательные характеристики'!$F$5,"да","нет")</f>
        <v>нет</v>
      </c>
      <c r="N2898" t="str">
        <f>IF(acs2015_county_data[[#This Row],[Unemployment]]&gt;='Описательные характеристики'!$I$5,"да","нет")</f>
        <v>нет</v>
      </c>
    </row>
    <row r="2899" spans="1:14" x14ac:dyDescent="0.35">
      <c r="A2899">
        <v>51163</v>
      </c>
      <c r="B2899" t="s">
        <v>1722</v>
      </c>
      <c r="C2899" t="s">
        <v>1762</v>
      </c>
      <c r="D2899" s="2">
        <v>22444</v>
      </c>
      <c r="E2899" s="2">
        <v>26767</v>
      </c>
      <c r="F2899" s="3">
        <v>5.6</v>
      </c>
      <c r="G2899" s="3">
        <v>9789</v>
      </c>
      <c r="H2899" s="3">
        <v>71.400000000000006</v>
      </c>
      <c r="I2899" s="3">
        <v>17</v>
      </c>
      <c r="J2899" s="3">
        <v>11.5</v>
      </c>
      <c r="K2899" s="3">
        <v>0.1</v>
      </c>
      <c r="L2899" s="3">
        <v>4.0999999999999996</v>
      </c>
      <c r="M2899" t="str">
        <f>IF(acs2015_county_data[[#This Row],[PublicWork]]&gt;='Описательные характеристики'!$F$5,"да","нет")</f>
        <v>да</v>
      </c>
      <c r="N2899" t="str">
        <f>IF(acs2015_county_data[[#This Row],[Unemployment]]&gt;='Описательные характеристики'!$I$5,"да","нет")</f>
        <v>нет</v>
      </c>
    </row>
    <row r="2900" spans="1:14" x14ac:dyDescent="0.35">
      <c r="A2900">
        <v>51165</v>
      </c>
      <c r="B2900" t="s">
        <v>1722</v>
      </c>
      <c r="C2900" t="s">
        <v>1149</v>
      </c>
      <c r="D2900" s="2">
        <v>77785</v>
      </c>
      <c r="E2900" s="2">
        <v>26472</v>
      </c>
      <c r="F2900" s="3">
        <v>5.3</v>
      </c>
      <c r="G2900" s="3">
        <v>38108</v>
      </c>
      <c r="H2900" s="3">
        <v>76.2</v>
      </c>
      <c r="I2900" s="3">
        <v>15.9</v>
      </c>
      <c r="J2900" s="3">
        <v>7.4</v>
      </c>
      <c r="K2900" s="3">
        <v>0.5</v>
      </c>
      <c r="L2900" s="3">
        <v>5.4</v>
      </c>
      <c r="M2900" t="str">
        <f>IF(acs2015_county_data[[#This Row],[PublicWork]]&gt;='Описательные характеристики'!$F$5,"да","нет")</f>
        <v>нет</v>
      </c>
      <c r="N2900" t="str">
        <f>IF(acs2015_county_data[[#This Row],[Unemployment]]&gt;='Описательные характеристики'!$I$5,"да","нет")</f>
        <v>нет</v>
      </c>
    </row>
    <row r="2901" spans="1:14" x14ac:dyDescent="0.35">
      <c r="A2901">
        <v>51167</v>
      </c>
      <c r="B2901" t="s">
        <v>1722</v>
      </c>
      <c r="C2901" t="s">
        <v>68</v>
      </c>
      <c r="D2901" s="2">
        <v>28245</v>
      </c>
      <c r="E2901" s="2">
        <v>20053</v>
      </c>
      <c r="F2901" s="3">
        <v>2.4</v>
      </c>
      <c r="G2901" s="3">
        <v>10211</v>
      </c>
      <c r="H2901" s="3">
        <v>76.7</v>
      </c>
      <c r="I2901" s="3">
        <v>18.2</v>
      </c>
      <c r="J2901" s="3">
        <v>5.0999999999999996</v>
      </c>
      <c r="K2901" s="3">
        <v>0</v>
      </c>
      <c r="L2901" s="3">
        <v>8</v>
      </c>
      <c r="M2901" t="str">
        <f>IF(acs2015_county_data[[#This Row],[PublicWork]]&gt;='Описательные характеристики'!$F$5,"да","нет")</f>
        <v>да</v>
      </c>
      <c r="N2901" t="str">
        <f>IF(acs2015_county_data[[#This Row],[Unemployment]]&gt;='Описательные характеристики'!$I$5,"да","нет")</f>
        <v>да</v>
      </c>
    </row>
    <row r="2902" spans="1:14" x14ac:dyDescent="0.35">
      <c r="A2902">
        <v>51169</v>
      </c>
      <c r="B2902" t="s">
        <v>1722</v>
      </c>
      <c r="C2902" t="s">
        <v>169</v>
      </c>
      <c r="D2902" s="2">
        <v>22570</v>
      </c>
      <c r="E2902" s="2">
        <v>21295</v>
      </c>
      <c r="F2902" s="3">
        <v>2.1</v>
      </c>
      <c r="G2902" s="3">
        <v>8509</v>
      </c>
      <c r="H2902" s="3">
        <v>78.3</v>
      </c>
      <c r="I2902" s="3">
        <v>16.399999999999999</v>
      </c>
      <c r="J2902" s="3">
        <v>5.3</v>
      </c>
      <c r="K2902" s="3">
        <v>0</v>
      </c>
      <c r="L2902" s="3">
        <v>9.4</v>
      </c>
      <c r="M2902" t="str">
        <f>IF(acs2015_county_data[[#This Row],[PublicWork]]&gt;='Описательные характеристики'!$F$5,"да","нет")</f>
        <v>да</v>
      </c>
      <c r="N2902" t="str">
        <f>IF(acs2015_county_data[[#This Row],[Unemployment]]&gt;='Описательные характеристики'!$I$5,"да","нет")</f>
        <v>да</v>
      </c>
    </row>
    <row r="2903" spans="1:14" x14ac:dyDescent="0.35">
      <c r="A2903">
        <v>51171</v>
      </c>
      <c r="B2903" t="s">
        <v>1722</v>
      </c>
      <c r="C2903" t="s">
        <v>1763</v>
      </c>
      <c r="D2903" s="2">
        <v>42724</v>
      </c>
      <c r="E2903" s="2">
        <v>25253</v>
      </c>
      <c r="F2903" s="3">
        <v>3.6</v>
      </c>
      <c r="G2903" s="3">
        <v>19990</v>
      </c>
      <c r="H2903" s="3">
        <v>79.099999999999994</v>
      </c>
      <c r="I2903" s="3">
        <v>15.4</v>
      </c>
      <c r="J2903" s="3">
        <v>5.4</v>
      </c>
      <c r="K2903" s="3">
        <v>0.2</v>
      </c>
      <c r="L2903" s="3">
        <v>6</v>
      </c>
      <c r="M2903" t="str">
        <f>IF(acs2015_county_data[[#This Row],[PublicWork]]&gt;='Описательные характеристики'!$F$5,"да","нет")</f>
        <v>нет</v>
      </c>
      <c r="N2903" t="str">
        <f>IF(acs2015_county_data[[#This Row],[Unemployment]]&gt;='Описательные характеристики'!$I$5,"да","нет")</f>
        <v>нет</v>
      </c>
    </row>
    <row r="2904" spans="1:14" x14ac:dyDescent="0.35">
      <c r="A2904">
        <v>51173</v>
      </c>
      <c r="B2904" t="s">
        <v>1722</v>
      </c>
      <c r="C2904" t="s">
        <v>1764</v>
      </c>
      <c r="D2904" s="2">
        <v>31734</v>
      </c>
      <c r="E2904" s="2">
        <v>21927</v>
      </c>
      <c r="F2904" s="3">
        <v>2.4</v>
      </c>
      <c r="G2904" s="3">
        <v>13278</v>
      </c>
      <c r="H2904" s="3">
        <v>75.7</v>
      </c>
      <c r="I2904" s="3">
        <v>17.5</v>
      </c>
      <c r="J2904" s="3">
        <v>6.6</v>
      </c>
      <c r="K2904" s="3">
        <v>0.2</v>
      </c>
      <c r="L2904" s="3">
        <v>6.4</v>
      </c>
      <c r="M2904" t="str">
        <f>IF(acs2015_county_data[[#This Row],[PublicWork]]&gt;='Описательные характеристики'!$F$5,"да","нет")</f>
        <v>да</v>
      </c>
      <c r="N2904" t="str">
        <f>IF(acs2015_county_data[[#This Row],[Unemployment]]&gt;='Описательные характеристики'!$I$5,"да","нет")</f>
        <v>нет</v>
      </c>
    </row>
    <row r="2905" spans="1:14" x14ac:dyDescent="0.35">
      <c r="A2905">
        <v>51175</v>
      </c>
      <c r="B2905" t="s">
        <v>1722</v>
      </c>
      <c r="C2905" t="s">
        <v>1765</v>
      </c>
      <c r="D2905" s="2">
        <v>18410</v>
      </c>
      <c r="E2905" s="2">
        <v>23259</v>
      </c>
      <c r="F2905" s="3">
        <v>2.6</v>
      </c>
      <c r="G2905" s="3">
        <v>7948</v>
      </c>
      <c r="H2905" s="3">
        <v>70.099999999999994</v>
      </c>
      <c r="I2905" s="3">
        <v>24.1</v>
      </c>
      <c r="J2905" s="3">
        <v>5.6</v>
      </c>
      <c r="K2905" s="3">
        <v>0.1</v>
      </c>
      <c r="L2905" s="3">
        <v>7.2</v>
      </c>
      <c r="M2905" t="str">
        <f>IF(acs2015_county_data[[#This Row],[PublicWork]]&gt;='Описательные характеристики'!$F$5,"да","нет")</f>
        <v>да</v>
      </c>
      <c r="N2905" t="str">
        <f>IF(acs2015_county_data[[#This Row],[Unemployment]]&gt;='Описательные характеристики'!$I$5,"да","нет")</f>
        <v>нет</v>
      </c>
    </row>
    <row r="2906" spans="1:14" x14ac:dyDescent="0.35">
      <c r="A2906">
        <v>51177</v>
      </c>
      <c r="B2906" t="s">
        <v>1722</v>
      </c>
      <c r="C2906" t="s">
        <v>1766</v>
      </c>
      <c r="D2906" s="2">
        <v>127691</v>
      </c>
      <c r="E2906" s="2">
        <v>32105</v>
      </c>
      <c r="F2906" s="3">
        <v>4.2</v>
      </c>
      <c r="G2906" s="3">
        <v>62469</v>
      </c>
      <c r="H2906" s="3">
        <v>72.400000000000006</v>
      </c>
      <c r="I2906" s="3">
        <v>23.1</v>
      </c>
      <c r="J2906" s="3">
        <v>4.4000000000000004</v>
      </c>
      <c r="K2906" s="3">
        <v>0.1</v>
      </c>
      <c r="L2906" s="3">
        <v>6.2</v>
      </c>
      <c r="M2906" t="str">
        <f>IF(acs2015_county_data[[#This Row],[PublicWork]]&gt;='Описательные характеристики'!$F$5,"да","нет")</f>
        <v>да</v>
      </c>
      <c r="N2906" t="str">
        <f>IF(acs2015_county_data[[#This Row],[Unemployment]]&gt;='Описательные характеристики'!$I$5,"да","нет")</f>
        <v>нет</v>
      </c>
    </row>
    <row r="2907" spans="1:14" x14ac:dyDescent="0.35">
      <c r="A2907">
        <v>51179</v>
      </c>
      <c r="B2907" t="s">
        <v>1722</v>
      </c>
      <c r="C2907" t="s">
        <v>699</v>
      </c>
      <c r="D2907" s="2">
        <v>137145</v>
      </c>
      <c r="E2907" s="2">
        <v>37198</v>
      </c>
      <c r="F2907" s="3">
        <v>5.5</v>
      </c>
      <c r="G2907" s="3">
        <v>64619</v>
      </c>
      <c r="H2907" s="3">
        <v>64.599999999999994</v>
      </c>
      <c r="I2907" s="3">
        <v>31.9</v>
      </c>
      <c r="J2907" s="3">
        <v>3.4</v>
      </c>
      <c r="K2907" s="3">
        <v>0.1</v>
      </c>
      <c r="L2907" s="3">
        <v>5.5</v>
      </c>
      <c r="M2907" t="str">
        <f>IF(acs2015_county_data[[#This Row],[PublicWork]]&gt;='Описательные характеристики'!$F$5,"да","нет")</f>
        <v>да</v>
      </c>
      <c r="N2907" t="str">
        <f>IF(acs2015_county_data[[#This Row],[Unemployment]]&gt;='Описательные характеристики'!$I$5,"да","нет")</f>
        <v>нет</v>
      </c>
    </row>
    <row r="2908" spans="1:14" x14ac:dyDescent="0.35">
      <c r="A2908">
        <v>51181</v>
      </c>
      <c r="B2908" t="s">
        <v>1722</v>
      </c>
      <c r="C2908" t="s">
        <v>1274</v>
      </c>
      <c r="D2908" s="2">
        <v>6823</v>
      </c>
      <c r="E2908" s="2">
        <v>24660</v>
      </c>
      <c r="F2908" s="3">
        <v>4</v>
      </c>
      <c r="G2908" s="3">
        <v>3209</v>
      </c>
      <c r="H2908" s="3">
        <v>77.2</v>
      </c>
      <c r="I2908" s="3">
        <v>18.2</v>
      </c>
      <c r="J2908" s="3">
        <v>4.5999999999999996</v>
      </c>
      <c r="K2908" s="3">
        <v>0</v>
      </c>
      <c r="L2908" s="3">
        <v>10.7</v>
      </c>
      <c r="M2908" t="str">
        <f>IF(acs2015_county_data[[#This Row],[PublicWork]]&gt;='Описательные характеристики'!$F$5,"да","нет")</f>
        <v>да</v>
      </c>
      <c r="N2908" t="str">
        <f>IF(acs2015_county_data[[#This Row],[Unemployment]]&gt;='Описательные характеристики'!$I$5,"да","нет")</f>
        <v>да</v>
      </c>
    </row>
    <row r="2909" spans="1:14" x14ac:dyDescent="0.35">
      <c r="A2909">
        <v>51183</v>
      </c>
      <c r="B2909" t="s">
        <v>1722</v>
      </c>
      <c r="C2909" t="s">
        <v>303</v>
      </c>
      <c r="D2909" s="2">
        <v>11864</v>
      </c>
      <c r="E2909" s="2">
        <v>15143</v>
      </c>
      <c r="F2909" s="3">
        <v>2</v>
      </c>
      <c r="G2909" s="3">
        <v>2551</v>
      </c>
      <c r="H2909" s="3">
        <v>76.8</v>
      </c>
      <c r="I2909" s="3">
        <v>19.100000000000001</v>
      </c>
      <c r="J2909" s="3">
        <v>3.7</v>
      </c>
      <c r="K2909" s="3">
        <v>0.4</v>
      </c>
      <c r="L2909" s="3">
        <v>6.9</v>
      </c>
      <c r="M2909" t="str">
        <f>IF(acs2015_county_data[[#This Row],[PublicWork]]&gt;='Описательные характеристики'!$F$5,"да","нет")</f>
        <v>да</v>
      </c>
      <c r="N2909" t="str">
        <f>IF(acs2015_county_data[[#This Row],[Unemployment]]&gt;='Описательные характеристики'!$I$5,"да","нет")</f>
        <v>нет</v>
      </c>
    </row>
    <row r="2910" spans="1:14" x14ac:dyDescent="0.35">
      <c r="A2910">
        <v>51185</v>
      </c>
      <c r="B2910" t="s">
        <v>1722</v>
      </c>
      <c r="C2910" t="s">
        <v>550</v>
      </c>
      <c r="D2910" s="2">
        <v>43870</v>
      </c>
      <c r="E2910" s="2">
        <v>22721</v>
      </c>
      <c r="F2910" s="3">
        <v>3.1</v>
      </c>
      <c r="G2910" s="3">
        <v>16752</v>
      </c>
      <c r="H2910" s="3">
        <v>76.2</v>
      </c>
      <c r="I2910" s="3">
        <v>17.600000000000001</v>
      </c>
      <c r="J2910" s="3">
        <v>5.9</v>
      </c>
      <c r="K2910" s="3">
        <v>0.3</v>
      </c>
      <c r="L2910" s="3">
        <v>8</v>
      </c>
      <c r="M2910" t="str">
        <f>IF(acs2015_county_data[[#This Row],[PublicWork]]&gt;='Описательные характеристики'!$F$5,"да","нет")</f>
        <v>да</v>
      </c>
      <c r="N2910" t="str">
        <f>IF(acs2015_county_data[[#This Row],[Unemployment]]&gt;='Описательные характеристики'!$I$5,"да","нет")</f>
        <v>да</v>
      </c>
    </row>
    <row r="2911" spans="1:14" x14ac:dyDescent="0.35">
      <c r="A2911">
        <v>51187</v>
      </c>
      <c r="B2911" t="s">
        <v>1722</v>
      </c>
      <c r="C2911" t="s">
        <v>456</v>
      </c>
      <c r="D2911" s="2">
        <v>38481</v>
      </c>
      <c r="E2911" s="2">
        <v>29522</v>
      </c>
      <c r="F2911" s="3">
        <v>4.3</v>
      </c>
      <c r="G2911" s="3">
        <v>18689</v>
      </c>
      <c r="H2911" s="3">
        <v>74</v>
      </c>
      <c r="I2911" s="3">
        <v>18.899999999999999</v>
      </c>
      <c r="J2911" s="3">
        <v>6.8</v>
      </c>
      <c r="K2911" s="3">
        <v>0.3</v>
      </c>
      <c r="L2911" s="3">
        <v>7.2</v>
      </c>
      <c r="M2911" t="str">
        <f>IF(acs2015_county_data[[#This Row],[PublicWork]]&gt;='Описательные характеристики'!$F$5,"да","нет")</f>
        <v>да</v>
      </c>
      <c r="N2911" t="str">
        <f>IF(acs2015_county_data[[#This Row],[Unemployment]]&gt;='Описательные характеристики'!$I$5,"да","нет")</f>
        <v>нет</v>
      </c>
    </row>
    <row r="2912" spans="1:14" x14ac:dyDescent="0.35">
      <c r="A2912">
        <v>51191</v>
      </c>
      <c r="B2912" t="s">
        <v>1722</v>
      </c>
      <c r="C2912" t="s">
        <v>75</v>
      </c>
      <c r="D2912" s="2">
        <v>54759</v>
      </c>
      <c r="E2912" s="2">
        <v>25351</v>
      </c>
      <c r="F2912" s="3">
        <v>4.2</v>
      </c>
      <c r="G2912" s="3">
        <v>24442</v>
      </c>
      <c r="H2912" s="3">
        <v>78.099999999999994</v>
      </c>
      <c r="I2912" s="3">
        <v>15.9</v>
      </c>
      <c r="J2912" s="3">
        <v>6</v>
      </c>
      <c r="K2912" s="3">
        <v>0</v>
      </c>
      <c r="L2912" s="3">
        <v>6.9</v>
      </c>
      <c r="M2912" t="str">
        <f>IF(acs2015_county_data[[#This Row],[PublicWork]]&gt;='Описательные характеристики'!$F$5,"да","нет")</f>
        <v>нет</v>
      </c>
      <c r="N2912" t="str">
        <f>IF(acs2015_county_data[[#This Row],[Unemployment]]&gt;='Описательные характеристики'!$I$5,"да","нет")</f>
        <v>нет</v>
      </c>
    </row>
    <row r="2913" spans="1:14" x14ac:dyDescent="0.35">
      <c r="A2913">
        <v>51193</v>
      </c>
      <c r="B2913" t="s">
        <v>1722</v>
      </c>
      <c r="C2913" t="s">
        <v>1439</v>
      </c>
      <c r="D2913" s="2">
        <v>17557</v>
      </c>
      <c r="E2913" s="2">
        <v>25992</v>
      </c>
      <c r="F2913" s="3">
        <v>7.3</v>
      </c>
      <c r="G2913" s="3">
        <v>7423</v>
      </c>
      <c r="H2913" s="3">
        <v>64.900000000000006</v>
      </c>
      <c r="I2913" s="3">
        <v>25</v>
      </c>
      <c r="J2913" s="3">
        <v>10</v>
      </c>
      <c r="K2913" s="3">
        <v>0</v>
      </c>
      <c r="L2913" s="3">
        <v>9.6999999999999993</v>
      </c>
      <c r="M2913" t="str">
        <f>IF(acs2015_county_data[[#This Row],[PublicWork]]&gt;='Описательные характеристики'!$F$5,"да","нет")</f>
        <v>да</v>
      </c>
      <c r="N2913" t="str">
        <f>IF(acs2015_county_data[[#This Row],[Unemployment]]&gt;='Описательные характеристики'!$I$5,"да","нет")</f>
        <v>да</v>
      </c>
    </row>
    <row r="2914" spans="1:14" x14ac:dyDescent="0.35">
      <c r="A2914">
        <v>51195</v>
      </c>
      <c r="B2914" t="s">
        <v>1722</v>
      </c>
      <c r="C2914" t="s">
        <v>1692</v>
      </c>
      <c r="D2914" s="2">
        <v>40530</v>
      </c>
      <c r="E2914" s="2">
        <v>20321</v>
      </c>
      <c r="F2914" s="3">
        <v>1.5</v>
      </c>
      <c r="G2914" s="3">
        <v>13736</v>
      </c>
      <c r="H2914" s="3">
        <v>74.5</v>
      </c>
      <c r="I2914" s="3">
        <v>22.5</v>
      </c>
      <c r="J2914" s="3">
        <v>2.9</v>
      </c>
      <c r="K2914" s="3">
        <v>0.1</v>
      </c>
      <c r="L2914" s="3">
        <v>11</v>
      </c>
      <c r="M2914" t="str">
        <f>IF(acs2015_county_data[[#This Row],[PublicWork]]&gt;='Описательные характеристики'!$F$5,"да","нет")</f>
        <v>да</v>
      </c>
      <c r="N2914" t="str">
        <f>IF(acs2015_county_data[[#This Row],[Unemployment]]&gt;='Описательные характеристики'!$I$5,"да","нет")</f>
        <v>да</v>
      </c>
    </row>
    <row r="2915" spans="1:14" x14ac:dyDescent="0.35">
      <c r="A2915">
        <v>51197</v>
      </c>
      <c r="B2915" t="s">
        <v>1722</v>
      </c>
      <c r="C2915" t="s">
        <v>1767</v>
      </c>
      <c r="D2915" s="2">
        <v>29190</v>
      </c>
      <c r="E2915" s="2">
        <v>23770</v>
      </c>
      <c r="F2915" s="3">
        <v>3</v>
      </c>
      <c r="G2915" s="3">
        <v>12631</v>
      </c>
      <c r="H2915" s="3">
        <v>79.099999999999994</v>
      </c>
      <c r="I2915" s="3">
        <v>15.5</v>
      </c>
      <c r="J2915" s="3">
        <v>5.2</v>
      </c>
      <c r="K2915" s="3">
        <v>0.2</v>
      </c>
      <c r="L2915" s="3">
        <v>9.6</v>
      </c>
      <c r="M2915" t="str">
        <f>IF(acs2015_county_data[[#This Row],[PublicWork]]&gt;='Описательные характеристики'!$F$5,"да","нет")</f>
        <v>нет</v>
      </c>
      <c r="N2915" t="str">
        <f>IF(acs2015_county_data[[#This Row],[Unemployment]]&gt;='Описательные характеристики'!$I$5,"да","нет")</f>
        <v>да</v>
      </c>
    </row>
    <row r="2916" spans="1:14" x14ac:dyDescent="0.35">
      <c r="A2916">
        <v>51199</v>
      </c>
      <c r="B2916" t="s">
        <v>1722</v>
      </c>
      <c r="C2916" t="s">
        <v>824</v>
      </c>
      <c r="D2916" s="2">
        <v>66471</v>
      </c>
      <c r="E2916" s="2">
        <v>35876</v>
      </c>
      <c r="F2916" s="3">
        <v>4.8</v>
      </c>
      <c r="G2916" s="3">
        <v>30160</v>
      </c>
      <c r="H2916" s="3">
        <v>67.599999999999994</v>
      </c>
      <c r="I2916" s="3">
        <v>27.5</v>
      </c>
      <c r="J2916" s="3">
        <v>4.7</v>
      </c>
      <c r="K2916" s="3">
        <v>0.3</v>
      </c>
      <c r="L2916" s="3">
        <v>5.8</v>
      </c>
      <c r="M2916" t="str">
        <f>IF(acs2015_county_data[[#This Row],[PublicWork]]&gt;='Описательные характеристики'!$F$5,"да","нет")</f>
        <v>да</v>
      </c>
      <c r="N2916" t="str">
        <f>IF(acs2015_county_data[[#This Row],[Unemployment]]&gt;='Описательные характеристики'!$I$5,"да","нет")</f>
        <v>нет</v>
      </c>
    </row>
    <row r="2917" spans="1:14" x14ac:dyDescent="0.35">
      <c r="A2917">
        <v>51510</v>
      </c>
      <c r="B2917" t="s">
        <v>1722</v>
      </c>
      <c r="C2917" t="s">
        <v>1768</v>
      </c>
      <c r="D2917" s="2">
        <v>149315</v>
      </c>
      <c r="E2917" s="2">
        <v>54861</v>
      </c>
      <c r="F2917" s="3">
        <v>5</v>
      </c>
      <c r="G2917" s="3">
        <v>92575</v>
      </c>
      <c r="H2917" s="3">
        <v>70</v>
      </c>
      <c r="I2917" s="3">
        <v>25.3</v>
      </c>
      <c r="J2917" s="3">
        <v>4.7</v>
      </c>
      <c r="K2917" s="3">
        <v>0</v>
      </c>
      <c r="L2917" s="3">
        <v>4.5</v>
      </c>
      <c r="M2917" t="str">
        <f>IF(acs2015_county_data[[#This Row],[PublicWork]]&gt;='Описательные характеристики'!$F$5,"да","нет")</f>
        <v>да</v>
      </c>
      <c r="N2917" t="str">
        <f>IF(acs2015_county_data[[#This Row],[Unemployment]]&gt;='Описательные характеристики'!$I$5,"да","нет")</f>
        <v>нет</v>
      </c>
    </row>
    <row r="2918" spans="1:14" x14ac:dyDescent="0.35">
      <c r="A2918">
        <v>51520</v>
      </c>
      <c r="B2918" t="s">
        <v>1722</v>
      </c>
      <c r="C2918" t="s">
        <v>1769</v>
      </c>
      <c r="D2918" s="2">
        <v>17524</v>
      </c>
      <c r="E2918" s="2">
        <v>20777</v>
      </c>
      <c r="F2918" s="3">
        <v>2.4</v>
      </c>
      <c r="G2918" s="3">
        <v>7306</v>
      </c>
      <c r="H2918" s="3">
        <v>81</v>
      </c>
      <c r="I2918" s="3">
        <v>12.2</v>
      </c>
      <c r="J2918" s="3">
        <v>6.5</v>
      </c>
      <c r="K2918" s="3">
        <v>0.3</v>
      </c>
      <c r="L2918" s="3">
        <v>10.7</v>
      </c>
      <c r="M2918" t="str">
        <f>IF(acs2015_county_data[[#This Row],[PublicWork]]&gt;='Описательные характеристики'!$F$5,"да","нет")</f>
        <v>нет</v>
      </c>
      <c r="N2918" t="str">
        <f>IF(acs2015_county_data[[#This Row],[Unemployment]]&gt;='Описательные характеристики'!$I$5,"да","нет")</f>
        <v>да</v>
      </c>
    </row>
    <row r="2919" spans="1:14" x14ac:dyDescent="0.35">
      <c r="A2919">
        <v>51530</v>
      </c>
      <c r="B2919" t="s">
        <v>1722</v>
      </c>
      <c r="C2919" t="s">
        <v>1770</v>
      </c>
      <c r="D2919" s="2">
        <v>6666</v>
      </c>
      <c r="E2919" s="2">
        <v>15707</v>
      </c>
      <c r="F2919" s="3">
        <v>1.4</v>
      </c>
      <c r="G2919" s="3">
        <v>2824</v>
      </c>
      <c r="H2919" s="3">
        <v>82.6</v>
      </c>
      <c r="I2919" s="3">
        <v>15</v>
      </c>
      <c r="J2919" s="3">
        <v>2.2999999999999998</v>
      </c>
      <c r="K2919" s="3">
        <v>0</v>
      </c>
      <c r="L2919" s="3">
        <v>7.3</v>
      </c>
      <c r="M2919" t="str">
        <f>IF(acs2015_county_data[[#This Row],[PublicWork]]&gt;='Описательные характеристики'!$F$5,"да","нет")</f>
        <v>нет</v>
      </c>
      <c r="N2919" t="str">
        <f>IF(acs2015_county_data[[#This Row],[Unemployment]]&gt;='Описательные характеристики'!$I$5,"да","нет")</f>
        <v>нет</v>
      </c>
    </row>
    <row r="2920" spans="1:14" x14ac:dyDescent="0.35">
      <c r="A2920">
        <v>51540</v>
      </c>
      <c r="B2920" t="s">
        <v>1722</v>
      </c>
      <c r="C2920" t="s">
        <v>1771</v>
      </c>
      <c r="D2920" s="2">
        <v>45084</v>
      </c>
      <c r="E2920" s="2">
        <v>30378</v>
      </c>
      <c r="F2920" s="3">
        <v>6.1</v>
      </c>
      <c r="G2920" s="3">
        <v>23605</v>
      </c>
      <c r="H2920" s="3">
        <v>68.099999999999994</v>
      </c>
      <c r="I2920" s="3">
        <v>25.8</v>
      </c>
      <c r="J2920" s="3">
        <v>6</v>
      </c>
      <c r="K2920" s="3">
        <v>0</v>
      </c>
      <c r="L2920" s="3">
        <v>4.3</v>
      </c>
      <c r="M2920" t="str">
        <f>IF(acs2015_county_data[[#This Row],[PublicWork]]&gt;='Описательные характеристики'!$F$5,"да","нет")</f>
        <v>да</v>
      </c>
      <c r="N2920" t="str">
        <f>IF(acs2015_county_data[[#This Row],[Unemployment]]&gt;='Описательные характеристики'!$I$5,"да","нет")</f>
        <v>нет</v>
      </c>
    </row>
    <row r="2921" spans="1:14" x14ac:dyDescent="0.35">
      <c r="A2921">
        <v>51550</v>
      </c>
      <c r="B2921" t="s">
        <v>1722</v>
      </c>
      <c r="C2921" t="s">
        <v>1772</v>
      </c>
      <c r="D2921" s="2">
        <v>230601</v>
      </c>
      <c r="E2921" s="2">
        <v>29703</v>
      </c>
      <c r="F2921" s="3">
        <v>3.2</v>
      </c>
      <c r="G2921" s="3">
        <v>105953</v>
      </c>
      <c r="H2921" s="3">
        <v>73.099999999999994</v>
      </c>
      <c r="I2921" s="3">
        <v>22.6</v>
      </c>
      <c r="J2921" s="3">
        <v>4.2</v>
      </c>
      <c r="K2921" s="3">
        <v>0.1</v>
      </c>
      <c r="L2921" s="3">
        <v>7.5</v>
      </c>
      <c r="M2921" t="str">
        <f>IF(acs2015_county_data[[#This Row],[PublicWork]]&gt;='Описательные характеристики'!$F$5,"да","нет")</f>
        <v>да</v>
      </c>
      <c r="N2921" t="str">
        <f>IF(acs2015_county_data[[#This Row],[Unemployment]]&gt;='Описательные характеристики'!$I$5,"да","нет")</f>
        <v>нет</v>
      </c>
    </row>
    <row r="2922" spans="1:14" x14ac:dyDescent="0.35">
      <c r="A2922">
        <v>51570</v>
      </c>
      <c r="B2922" t="s">
        <v>1722</v>
      </c>
      <c r="C2922" t="s">
        <v>1773</v>
      </c>
      <c r="D2922" s="2">
        <v>17515</v>
      </c>
      <c r="E2922" s="2">
        <v>27572</v>
      </c>
      <c r="F2922" s="3">
        <v>2.6</v>
      </c>
      <c r="G2922" s="3">
        <v>7672</v>
      </c>
      <c r="H2922" s="3">
        <v>71.7</v>
      </c>
      <c r="I2922" s="3">
        <v>24.1</v>
      </c>
      <c r="J2922" s="3">
        <v>3.8</v>
      </c>
      <c r="K2922" s="3">
        <v>0.4</v>
      </c>
      <c r="L2922" s="3">
        <v>8.3000000000000007</v>
      </c>
      <c r="M2922" t="str">
        <f>IF(acs2015_county_data[[#This Row],[PublicWork]]&gt;='Описательные характеристики'!$F$5,"да","нет")</f>
        <v>да</v>
      </c>
      <c r="N2922" t="str">
        <f>IF(acs2015_county_data[[#This Row],[Unemployment]]&gt;='Описательные характеристики'!$I$5,"да","нет")</f>
        <v>да</v>
      </c>
    </row>
    <row r="2923" spans="1:14" x14ac:dyDescent="0.35">
      <c r="A2923">
        <v>51580</v>
      </c>
      <c r="B2923" t="s">
        <v>1722</v>
      </c>
      <c r="C2923" t="s">
        <v>1774</v>
      </c>
      <c r="D2923" s="2">
        <v>5736</v>
      </c>
      <c r="E2923" s="2">
        <v>20055</v>
      </c>
      <c r="F2923" s="3">
        <v>0.6</v>
      </c>
      <c r="G2923" s="3">
        <v>2160</v>
      </c>
      <c r="H2923" s="3">
        <v>83.2</v>
      </c>
      <c r="I2923" s="3">
        <v>15.4</v>
      </c>
      <c r="J2923" s="3">
        <v>1.3</v>
      </c>
      <c r="K2923" s="3">
        <v>0</v>
      </c>
      <c r="L2923" s="3">
        <v>7.3</v>
      </c>
      <c r="M2923" t="str">
        <f>IF(acs2015_county_data[[#This Row],[PublicWork]]&gt;='Описательные характеристики'!$F$5,"да","нет")</f>
        <v>нет</v>
      </c>
      <c r="N2923" t="str">
        <f>IF(acs2015_county_data[[#This Row],[Unemployment]]&gt;='Описательные характеристики'!$I$5,"да","нет")</f>
        <v>нет</v>
      </c>
    </row>
    <row r="2924" spans="1:14" x14ac:dyDescent="0.35">
      <c r="A2924">
        <v>51590</v>
      </c>
      <c r="B2924" t="s">
        <v>1722</v>
      </c>
      <c r="C2924" t="s">
        <v>1775</v>
      </c>
      <c r="D2924" s="2">
        <v>42450</v>
      </c>
      <c r="E2924" s="2">
        <v>20933</v>
      </c>
      <c r="F2924" s="3">
        <v>2.1</v>
      </c>
      <c r="G2924" s="3">
        <v>16682</v>
      </c>
      <c r="H2924" s="3">
        <v>78.400000000000006</v>
      </c>
      <c r="I2924" s="3">
        <v>15.9</v>
      </c>
      <c r="J2924" s="3">
        <v>5.3</v>
      </c>
      <c r="K2924" s="3">
        <v>0.5</v>
      </c>
      <c r="L2924" s="3">
        <v>12.7</v>
      </c>
      <c r="M2924" t="str">
        <f>IF(acs2015_county_data[[#This Row],[PublicWork]]&gt;='Описательные характеристики'!$F$5,"да","нет")</f>
        <v>нет</v>
      </c>
      <c r="N2924" t="str">
        <f>IF(acs2015_county_data[[#This Row],[Unemployment]]&gt;='Описательные характеристики'!$I$5,"да","нет")</f>
        <v>да</v>
      </c>
    </row>
    <row r="2925" spans="1:14" x14ac:dyDescent="0.35">
      <c r="A2925">
        <v>51595</v>
      </c>
      <c r="B2925" t="s">
        <v>1722</v>
      </c>
      <c r="C2925" t="s">
        <v>1776</v>
      </c>
      <c r="D2925" s="2">
        <v>5672</v>
      </c>
      <c r="E2925" s="2">
        <v>20417</v>
      </c>
      <c r="F2925" s="3">
        <v>2.9</v>
      </c>
      <c r="G2925" s="3">
        <v>2074</v>
      </c>
      <c r="H2925" s="3">
        <v>74.099999999999994</v>
      </c>
      <c r="I2925" s="3">
        <v>22.6</v>
      </c>
      <c r="J2925" s="3">
        <v>3.3</v>
      </c>
      <c r="K2925" s="3">
        <v>0</v>
      </c>
      <c r="L2925" s="3">
        <v>19.100000000000001</v>
      </c>
      <c r="M2925" t="str">
        <f>IF(acs2015_county_data[[#This Row],[PublicWork]]&gt;='Описательные характеристики'!$F$5,"да","нет")</f>
        <v>да</v>
      </c>
      <c r="N2925" t="str">
        <f>IF(acs2015_county_data[[#This Row],[Unemployment]]&gt;='Описательные характеристики'!$I$5,"да","нет")</f>
        <v>да</v>
      </c>
    </row>
    <row r="2926" spans="1:14" x14ac:dyDescent="0.35">
      <c r="A2926">
        <v>51600</v>
      </c>
      <c r="B2926" t="s">
        <v>1722</v>
      </c>
      <c r="C2926" t="s">
        <v>1777</v>
      </c>
      <c r="D2926" s="2">
        <v>23402</v>
      </c>
      <c r="E2926" s="2">
        <v>45545</v>
      </c>
      <c r="F2926" s="3">
        <v>5.5</v>
      </c>
      <c r="G2926" s="3">
        <v>12724</v>
      </c>
      <c r="H2926" s="3">
        <v>73.400000000000006</v>
      </c>
      <c r="I2926" s="3">
        <v>21.9</v>
      </c>
      <c r="J2926" s="3">
        <v>4.5</v>
      </c>
      <c r="K2926" s="3">
        <v>0.2</v>
      </c>
      <c r="L2926" s="3">
        <v>5.4</v>
      </c>
      <c r="M2926" t="str">
        <f>IF(acs2015_county_data[[#This Row],[PublicWork]]&gt;='Описательные характеристики'!$F$5,"да","нет")</f>
        <v>да</v>
      </c>
      <c r="N2926" t="str">
        <f>IF(acs2015_county_data[[#This Row],[Unemployment]]&gt;='Описательные характеристики'!$I$5,"да","нет")</f>
        <v>нет</v>
      </c>
    </row>
    <row r="2927" spans="1:14" x14ac:dyDescent="0.35">
      <c r="A2927">
        <v>51610</v>
      </c>
      <c r="B2927" t="s">
        <v>1722</v>
      </c>
      <c r="C2927" t="s">
        <v>1778</v>
      </c>
      <c r="D2927" s="2">
        <v>13308</v>
      </c>
      <c r="E2927" s="2">
        <v>65600</v>
      </c>
      <c r="F2927" s="3">
        <v>7.3</v>
      </c>
      <c r="G2927" s="3">
        <v>7347</v>
      </c>
      <c r="H2927" s="3">
        <v>60.6</v>
      </c>
      <c r="I2927" s="3">
        <v>32.1</v>
      </c>
      <c r="J2927" s="3">
        <v>7.3</v>
      </c>
      <c r="K2927" s="3">
        <v>0</v>
      </c>
      <c r="L2927" s="3">
        <v>4.2</v>
      </c>
      <c r="M2927" t="str">
        <f>IF(acs2015_county_data[[#This Row],[PublicWork]]&gt;='Описательные характеристики'!$F$5,"да","нет")</f>
        <v>да</v>
      </c>
      <c r="N2927" t="str">
        <f>IF(acs2015_county_data[[#This Row],[Unemployment]]&gt;='Описательные характеристики'!$I$5,"да","нет")</f>
        <v>нет</v>
      </c>
    </row>
    <row r="2928" spans="1:14" x14ac:dyDescent="0.35">
      <c r="A2928">
        <v>51620</v>
      </c>
      <c r="B2928" t="s">
        <v>1722</v>
      </c>
      <c r="C2928" t="s">
        <v>1779</v>
      </c>
      <c r="D2928" s="2">
        <v>8457</v>
      </c>
      <c r="E2928" s="2">
        <v>21621</v>
      </c>
      <c r="F2928" s="3">
        <v>3.5</v>
      </c>
      <c r="G2928" s="3">
        <v>3429</v>
      </c>
      <c r="H2928" s="3">
        <v>63.9</v>
      </c>
      <c r="I2928" s="3">
        <v>28.9</v>
      </c>
      <c r="J2928" s="3">
        <v>6.3</v>
      </c>
      <c r="K2928" s="3">
        <v>0.9</v>
      </c>
      <c r="L2928" s="3">
        <v>13.7</v>
      </c>
      <c r="M2928" t="str">
        <f>IF(acs2015_county_data[[#This Row],[PublicWork]]&gt;='Описательные характеристики'!$F$5,"да","нет")</f>
        <v>да</v>
      </c>
      <c r="N2928" t="str">
        <f>IF(acs2015_county_data[[#This Row],[Unemployment]]&gt;='Описательные характеристики'!$I$5,"да","нет")</f>
        <v>да</v>
      </c>
    </row>
    <row r="2929" spans="1:14" x14ac:dyDescent="0.35">
      <c r="A2929">
        <v>51630</v>
      </c>
      <c r="B2929" t="s">
        <v>1722</v>
      </c>
      <c r="C2929" t="s">
        <v>1780</v>
      </c>
      <c r="D2929" s="2">
        <v>27395</v>
      </c>
      <c r="E2929" s="2">
        <v>29090</v>
      </c>
      <c r="F2929" s="3">
        <v>5.8</v>
      </c>
      <c r="G2929" s="3">
        <v>13384</v>
      </c>
      <c r="H2929" s="3">
        <v>75</v>
      </c>
      <c r="I2929" s="3">
        <v>21.6</v>
      </c>
      <c r="J2929" s="3">
        <v>3.1</v>
      </c>
      <c r="K2929" s="3">
        <v>0.2</v>
      </c>
      <c r="L2929" s="3">
        <v>8.9</v>
      </c>
      <c r="M2929" t="str">
        <f>IF(acs2015_county_data[[#This Row],[PublicWork]]&gt;='Описательные характеристики'!$F$5,"да","нет")</f>
        <v>да</v>
      </c>
      <c r="N2929" t="str">
        <f>IF(acs2015_county_data[[#This Row],[Unemployment]]&gt;='Описательные характеристики'!$I$5,"да","нет")</f>
        <v>да</v>
      </c>
    </row>
    <row r="2930" spans="1:14" x14ac:dyDescent="0.35">
      <c r="A2930">
        <v>51640</v>
      </c>
      <c r="B2930" t="s">
        <v>1722</v>
      </c>
      <c r="C2930" t="s">
        <v>1781</v>
      </c>
      <c r="D2930" s="2">
        <v>6876</v>
      </c>
      <c r="E2930" s="2">
        <v>21515</v>
      </c>
      <c r="F2930" s="3">
        <v>0.6</v>
      </c>
      <c r="G2930" s="3">
        <v>2842</v>
      </c>
      <c r="H2930" s="3">
        <v>80.400000000000006</v>
      </c>
      <c r="I2930" s="3">
        <v>14.1</v>
      </c>
      <c r="J2930" s="3">
        <v>5.5</v>
      </c>
      <c r="K2930" s="3">
        <v>0</v>
      </c>
      <c r="L2930" s="3">
        <v>6.4</v>
      </c>
      <c r="M2930" t="str">
        <f>IF(acs2015_county_data[[#This Row],[PublicWork]]&gt;='Описательные характеристики'!$F$5,"да","нет")</f>
        <v>нет</v>
      </c>
      <c r="N2930" t="str">
        <f>IF(acs2015_county_data[[#This Row],[Unemployment]]&gt;='Описательные характеристики'!$I$5,"да","нет")</f>
        <v>нет</v>
      </c>
    </row>
    <row r="2931" spans="1:14" x14ac:dyDescent="0.35">
      <c r="A2931">
        <v>51650</v>
      </c>
      <c r="B2931" t="s">
        <v>1722</v>
      </c>
      <c r="C2931" t="s">
        <v>1782</v>
      </c>
      <c r="D2931" s="2">
        <v>137081</v>
      </c>
      <c r="E2931" s="2">
        <v>25029</v>
      </c>
      <c r="F2931" s="3">
        <v>2.8</v>
      </c>
      <c r="G2931" s="3">
        <v>60826</v>
      </c>
      <c r="H2931" s="3">
        <v>73.5</v>
      </c>
      <c r="I2931" s="3">
        <v>22.5</v>
      </c>
      <c r="J2931" s="3">
        <v>4</v>
      </c>
      <c r="K2931" s="3">
        <v>0</v>
      </c>
      <c r="L2931" s="3">
        <v>9.8000000000000007</v>
      </c>
      <c r="M2931" t="str">
        <f>IF(acs2015_county_data[[#This Row],[PublicWork]]&gt;='Описательные характеристики'!$F$5,"да","нет")</f>
        <v>да</v>
      </c>
      <c r="N2931" t="str">
        <f>IF(acs2015_county_data[[#This Row],[Unemployment]]&gt;='Описательные характеристики'!$I$5,"да","нет")</f>
        <v>да</v>
      </c>
    </row>
    <row r="2932" spans="1:14" x14ac:dyDescent="0.35">
      <c r="A2932">
        <v>51660</v>
      </c>
      <c r="B2932" t="s">
        <v>1722</v>
      </c>
      <c r="C2932" t="s">
        <v>1783</v>
      </c>
      <c r="D2932" s="2">
        <v>51388</v>
      </c>
      <c r="E2932" s="2">
        <v>18324</v>
      </c>
      <c r="F2932" s="3">
        <v>3.5</v>
      </c>
      <c r="G2932" s="3">
        <v>24011</v>
      </c>
      <c r="H2932" s="3">
        <v>76.900000000000006</v>
      </c>
      <c r="I2932" s="3">
        <v>18.8</v>
      </c>
      <c r="J2932" s="3">
        <v>4.0999999999999996</v>
      </c>
      <c r="K2932" s="3">
        <v>0.1</v>
      </c>
      <c r="L2932" s="3">
        <v>6.5</v>
      </c>
      <c r="M2932" t="str">
        <f>IF(acs2015_county_data[[#This Row],[PublicWork]]&gt;='Описательные характеристики'!$F$5,"да","нет")</f>
        <v>да</v>
      </c>
      <c r="N2932" t="str">
        <f>IF(acs2015_county_data[[#This Row],[Unemployment]]&gt;='Описательные характеристики'!$I$5,"да","нет")</f>
        <v>нет</v>
      </c>
    </row>
    <row r="2933" spans="1:14" x14ac:dyDescent="0.35">
      <c r="A2933">
        <v>51670</v>
      </c>
      <c r="B2933" t="s">
        <v>1722</v>
      </c>
      <c r="C2933" t="s">
        <v>1784</v>
      </c>
      <c r="D2933" s="2">
        <v>22279</v>
      </c>
      <c r="E2933" s="2">
        <v>20700</v>
      </c>
      <c r="F2933" s="3">
        <v>1.5</v>
      </c>
      <c r="G2933" s="3">
        <v>9041</v>
      </c>
      <c r="H2933" s="3">
        <v>79</v>
      </c>
      <c r="I2933" s="3">
        <v>18.8</v>
      </c>
      <c r="J2933" s="3">
        <v>2.2000000000000002</v>
      </c>
      <c r="K2933" s="3">
        <v>0</v>
      </c>
      <c r="L2933" s="3">
        <v>12.8</v>
      </c>
      <c r="M2933" t="str">
        <f>IF(acs2015_county_data[[#This Row],[PublicWork]]&gt;='Описательные характеристики'!$F$5,"да","нет")</f>
        <v>да</v>
      </c>
      <c r="N2933" t="str">
        <f>IF(acs2015_county_data[[#This Row],[Unemployment]]&gt;='Описательные характеристики'!$I$5,"да","нет")</f>
        <v>да</v>
      </c>
    </row>
    <row r="2934" spans="1:14" x14ac:dyDescent="0.35">
      <c r="A2934">
        <v>51678</v>
      </c>
      <c r="B2934" t="s">
        <v>1722</v>
      </c>
      <c r="C2934" t="s">
        <v>1785</v>
      </c>
      <c r="D2934" s="2">
        <v>7071</v>
      </c>
      <c r="E2934" s="2">
        <v>14792</v>
      </c>
      <c r="F2934" s="3">
        <v>8.5</v>
      </c>
      <c r="G2934" s="3">
        <v>2082</v>
      </c>
      <c r="H2934" s="3">
        <v>80.3</v>
      </c>
      <c r="I2934" s="3">
        <v>14.9</v>
      </c>
      <c r="J2934" s="3">
        <v>4.8</v>
      </c>
      <c r="K2934" s="3">
        <v>0</v>
      </c>
      <c r="L2934" s="3">
        <v>2.7</v>
      </c>
      <c r="M2934" t="str">
        <f>IF(acs2015_county_data[[#This Row],[PublicWork]]&gt;='Описательные характеристики'!$F$5,"да","нет")</f>
        <v>нет</v>
      </c>
      <c r="N2934" t="str">
        <f>IF(acs2015_county_data[[#This Row],[Unemployment]]&gt;='Описательные характеристики'!$I$5,"да","нет")</f>
        <v>нет</v>
      </c>
    </row>
    <row r="2935" spans="1:14" x14ac:dyDescent="0.35">
      <c r="A2935">
        <v>51680</v>
      </c>
      <c r="B2935" t="s">
        <v>1722</v>
      </c>
      <c r="C2935" t="s">
        <v>1786</v>
      </c>
      <c r="D2935" s="2">
        <v>78158</v>
      </c>
      <c r="E2935" s="2">
        <v>21650</v>
      </c>
      <c r="F2935" s="3">
        <v>3.1</v>
      </c>
      <c r="G2935" s="3">
        <v>34404</v>
      </c>
      <c r="H2935" s="3">
        <v>83.4</v>
      </c>
      <c r="I2935" s="3">
        <v>12.4</v>
      </c>
      <c r="J2935" s="3">
        <v>4.0999999999999996</v>
      </c>
      <c r="K2935" s="3">
        <v>0.1</v>
      </c>
      <c r="L2935" s="3">
        <v>8</v>
      </c>
      <c r="M2935" t="str">
        <f>IF(acs2015_county_data[[#This Row],[PublicWork]]&gt;='Описательные характеристики'!$F$5,"да","нет")</f>
        <v>нет</v>
      </c>
      <c r="N2935" t="str">
        <f>IF(acs2015_county_data[[#This Row],[Unemployment]]&gt;='Описательные характеристики'!$I$5,"да","нет")</f>
        <v>да</v>
      </c>
    </row>
    <row r="2936" spans="1:14" x14ac:dyDescent="0.35">
      <c r="A2936">
        <v>51683</v>
      </c>
      <c r="B2936" t="s">
        <v>1722</v>
      </c>
      <c r="C2936" t="s">
        <v>1787</v>
      </c>
      <c r="D2936" s="2">
        <v>40743</v>
      </c>
      <c r="E2936" s="2">
        <v>29424</v>
      </c>
      <c r="F2936" s="3">
        <v>3.5</v>
      </c>
      <c r="G2936" s="3">
        <v>21549</v>
      </c>
      <c r="H2936" s="3">
        <v>79.8</v>
      </c>
      <c r="I2936" s="3">
        <v>16.3</v>
      </c>
      <c r="J2936" s="3">
        <v>3.7</v>
      </c>
      <c r="K2936" s="3">
        <v>0.2</v>
      </c>
      <c r="L2936" s="3">
        <v>7.5</v>
      </c>
      <c r="M2936" t="str">
        <f>IF(acs2015_county_data[[#This Row],[PublicWork]]&gt;='Описательные характеристики'!$F$5,"да","нет")</f>
        <v>да</v>
      </c>
      <c r="N2936" t="str">
        <f>IF(acs2015_county_data[[#This Row],[Unemployment]]&gt;='Описательные характеристики'!$I$5,"да","нет")</f>
        <v>нет</v>
      </c>
    </row>
    <row r="2937" spans="1:14" x14ac:dyDescent="0.35">
      <c r="A2937">
        <v>51685</v>
      </c>
      <c r="B2937" t="s">
        <v>1722</v>
      </c>
      <c r="C2937" t="s">
        <v>1788</v>
      </c>
      <c r="D2937" s="2">
        <v>15625</v>
      </c>
      <c r="E2937" s="2">
        <v>28164</v>
      </c>
      <c r="F2937" s="3">
        <v>3.3</v>
      </c>
      <c r="G2937" s="3">
        <v>7991</v>
      </c>
      <c r="H2937" s="3">
        <v>80.8</v>
      </c>
      <c r="I2937" s="3">
        <v>15.1</v>
      </c>
      <c r="J2937" s="3">
        <v>4.2</v>
      </c>
      <c r="K2937" s="3">
        <v>0</v>
      </c>
      <c r="L2937" s="3">
        <v>4.4000000000000004</v>
      </c>
      <c r="M2937" t="str">
        <f>IF(acs2015_county_data[[#This Row],[PublicWork]]&gt;='Описательные характеристики'!$F$5,"да","нет")</f>
        <v>нет</v>
      </c>
      <c r="N2937" t="str">
        <f>IF(acs2015_county_data[[#This Row],[Unemployment]]&gt;='Описательные характеристики'!$I$5,"да","нет")</f>
        <v>нет</v>
      </c>
    </row>
    <row r="2938" spans="1:14" x14ac:dyDescent="0.35">
      <c r="A2938">
        <v>51690</v>
      </c>
      <c r="B2938" t="s">
        <v>1722</v>
      </c>
      <c r="C2938" t="s">
        <v>1789</v>
      </c>
      <c r="D2938" s="2">
        <v>13624</v>
      </c>
      <c r="E2938" s="2">
        <v>21899</v>
      </c>
      <c r="F2938" s="3">
        <v>1.9</v>
      </c>
      <c r="G2938" s="3">
        <v>5156</v>
      </c>
      <c r="H2938" s="3">
        <v>79.3</v>
      </c>
      <c r="I2938" s="3">
        <v>15.2</v>
      </c>
      <c r="J2938" s="3">
        <v>5.0999999999999996</v>
      </c>
      <c r="K2938" s="3">
        <v>0.3</v>
      </c>
      <c r="L2938" s="3">
        <v>11.5</v>
      </c>
      <c r="M2938" t="str">
        <f>IF(acs2015_county_data[[#This Row],[PublicWork]]&gt;='Описательные характеристики'!$F$5,"да","нет")</f>
        <v>нет</v>
      </c>
      <c r="N2938" t="str">
        <f>IF(acs2015_county_data[[#This Row],[Unemployment]]&gt;='Описательные характеристики'!$I$5,"да","нет")</f>
        <v>да</v>
      </c>
    </row>
    <row r="2939" spans="1:14" x14ac:dyDescent="0.35">
      <c r="A2939">
        <v>51700</v>
      </c>
      <c r="B2939" t="s">
        <v>1722</v>
      </c>
      <c r="C2939" t="s">
        <v>1790</v>
      </c>
      <c r="D2939" s="2">
        <v>181323</v>
      </c>
      <c r="E2939" s="2">
        <v>25369</v>
      </c>
      <c r="F2939" s="3">
        <v>2.5</v>
      </c>
      <c r="G2939" s="3">
        <v>82572</v>
      </c>
      <c r="H2939" s="3">
        <v>74.8</v>
      </c>
      <c r="I2939" s="3">
        <v>21.6</v>
      </c>
      <c r="J2939" s="3">
        <v>3.5</v>
      </c>
      <c r="K2939" s="3">
        <v>0</v>
      </c>
      <c r="L2939" s="3">
        <v>9.1</v>
      </c>
      <c r="M2939" t="str">
        <f>IF(acs2015_county_data[[#This Row],[PublicWork]]&gt;='Описательные характеристики'!$F$5,"да","нет")</f>
        <v>да</v>
      </c>
      <c r="N2939" t="str">
        <f>IF(acs2015_county_data[[#This Row],[Unemployment]]&gt;='Описательные характеристики'!$I$5,"да","нет")</f>
        <v>да</v>
      </c>
    </row>
    <row r="2940" spans="1:14" x14ac:dyDescent="0.35">
      <c r="A2940">
        <v>51710</v>
      </c>
      <c r="B2940" t="s">
        <v>1722</v>
      </c>
      <c r="C2940" t="s">
        <v>1791</v>
      </c>
      <c r="D2940" s="2">
        <v>245452</v>
      </c>
      <c r="E2940" s="2">
        <v>24657</v>
      </c>
      <c r="F2940" s="3">
        <v>6.1</v>
      </c>
      <c r="G2940" s="3">
        <v>101764</v>
      </c>
      <c r="H2940" s="3">
        <v>73.3</v>
      </c>
      <c r="I2940" s="3">
        <v>22.8</v>
      </c>
      <c r="J2940" s="3">
        <v>3.9</v>
      </c>
      <c r="K2940" s="3">
        <v>0.1</v>
      </c>
      <c r="L2940" s="3">
        <v>10.9</v>
      </c>
      <c r="M2940" t="str">
        <f>IF(acs2015_county_data[[#This Row],[PublicWork]]&gt;='Описательные характеристики'!$F$5,"да","нет")</f>
        <v>да</v>
      </c>
      <c r="N2940" t="str">
        <f>IF(acs2015_county_data[[#This Row],[Unemployment]]&gt;='Описательные характеристики'!$I$5,"да","нет")</f>
        <v>да</v>
      </c>
    </row>
    <row r="2941" spans="1:14" x14ac:dyDescent="0.35">
      <c r="A2941">
        <v>51720</v>
      </c>
      <c r="B2941" t="s">
        <v>1722</v>
      </c>
      <c r="C2941" t="s">
        <v>1792</v>
      </c>
      <c r="D2941" s="2">
        <v>4007</v>
      </c>
      <c r="E2941" s="2">
        <v>19647</v>
      </c>
      <c r="F2941" s="3">
        <v>1.5</v>
      </c>
      <c r="G2941" s="3">
        <v>1811</v>
      </c>
      <c r="H2941" s="3">
        <v>81.2</v>
      </c>
      <c r="I2941" s="3">
        <v>16.399999999999999</v>
      </c>
      <c r="J2941" s="3">
        <v>2.4</v>
      </c>
      <c r="K2941" s="3">
        <v>0</v>
      </c>
      <c r="L2941" s="3">
        <v>11.1</v>
      </c>
      <c r="M2941" t="str">
        <f>IF(acs2015_county_data[[#This Row],[PublicWork]]&gt;='Описательные характеристики'!$F$5,"да","нет")</f>
        <v>да</v>
      </c>
      <c r="N2941" t="str">
        <f>IF(acs2015_county_data[[#This Row],[Unemployment]]&gt;='Описательные характеристики'!$I$5,"да","нет")</f>
        <v>да</v>
      </c>
    </row>
    <row r="2942" spans="1:14" x14ac:dyDescent="0.35">
      <c r="A2942">
        <v>51730</v>
      </c>
      <c r="B2942" t="s">
        <v>1722</v>
      </c>
      <c r="C2942" t="s">
        <v>1793</v>
      </c>
      <c r="D2942" s="2">
        <v>32123</v>
      </c>
      <c r="E2942" s="2">
        <v>19149</v>
      </c>
      <c r="F2942" s="3">
        <v>2.6</v>
      </c>
      <c r="G2942" s="3">
        <v>12898</v>
      </c>
      <c r="H2942" s="3">
        <v>75.599999999999994</v>
      </c>
      <c r="I2942" s="3">
        <v>21.8</v>
      </c>
      <c r="J2942" s="3">
        <v>2.6</v>
      </c>
      <c r="K2942" s="3">
        <v>0</v>
      </c>
      <c r="L2942" s="3">
        <v>13</v>
      </c>
      <c r="M2942" t="str">
        <f>IF(acs2015_county_data[[#This Row],[PublicWork]]&gt;='Описательные характеристики'!$F$5,"да","нет")</f>
        <v>да</v>
      </c>
      <c r="N2942" t="str">
        <f>IF(acs2015_county_data[[#This Row],[Unemployment]]&gt;='Описательные характеристики'!$I$5,"да","нет")</f>
        <v>да</v>
      </c>
    </row>
    <row r="2943" spans="1:14" x14ac:dyDescent="0.35">
      <c r="A2943">
        <v>51735</v>
      </c>
      <c r="B2943" t="s">
        <v>1722</v>
      </c>
      <c r="C2943" t="s">
        <v>1794</v>
      </c>
      <c r="D2943" s="2">
        <v>12077</v>
      </c>
      <c r="E2943" s="2">
        <v>38428</v>
      </c>
      <c r="F2943" s="3">
        <v>4.5999999999999996</v>
      </c>
      <c r="G2943" s="3">
        <v>5932</v>
      </c>
      <c r="H2943" s="3">
        <v>73.599999999999994</v>
      </c>
      <c r="I2943" s="3">
        <v>20.399999999999999</v>
      </c>
      <c r="J2943" s="3">
        <v>5.5</v>
      </c>
      <c r="K2943" s="3">
        <v>0.5</v>
      </c>
      <c r="L2943" s="3">
        <v>4.5</v>
      </c>
      <c r="M2943" t="str">
        <f>IF(acs2015_county_data[[#This Row],[PublicWork]]&gt;='Описательные характеристики'!$F$5,"да","нет")</f>
        <v>да</v>
      </c>
      <c r="N2943" t="str">
        <f>IF(acs2015_county_data[[#This Row],[Unemployment]]&gt;='Описательные характеристики'!$I$5,"да","нет")</f>
        <v>нет</v>
      </c>
    </row>
    <row r="2944" spans="1:14" x14ac:dyDescent="0.35">
      <c r="A2944">
        <v>51740</v>
      </c>
      <c r="B2944" t="s">
        <v>1722</v>
      </c>
      <c r="C2944" t="s">
        <v>1795</v>
      </c>
      <c r="D2944" s="2">
        <v>96135</v>
      </c>
      <c r="E2944" s="2">
        <v>23075</v>
      </c>
      <c r="F2944" s="3">
        <v>2.2000000000000002</v>
      </c>
      <c r="G2944" s="3">
        <v>41039</v>
      </c>
      <c r="H2944" s="3">
        <v>69.2</v>
      </c>
      <c r="I2944" s="3">
        <v>26</v>
      </c>
      <c r="J2944" s="3">
        <v>4.8</v>
      </c>
      <c r="K2944" s="3">
        <v>0.1</v>
      </c>
      <c r="L2944" s="3">
        <v>11.6</v>
      </c>
      <c r="M2944" t="str">
        <f>IF(acs2015_county_data[[#This Row],[PublicWork]]&gt;='Описательные характеристики'!$F$5,"да","нет")</f>
        <v>да</v>
      </c>
      <c r="N2944" t="str">
        <f>IF(acs2015_county_data[[#This Row],[Unemployment]]&gt;='Описательные характеристики'!$I$5,"да","нет")</f>
        <v>да</v>
      </c>
    </row>
    <row r="2945" spans="1:14" x14ac:dyDescent="0.35">
      <c r="A2945">
        <v>51750</v>
      </c>
      <c r="B2945" t="s">
        <v>1722</v>
      </c>
      <c r="C2945" t="s">
        <v>1796</v>
      </c>
      <c r="D2945" s="2">
        <v>17057</v>
      </c>
      <c r="E2945" s="2">
        <v>15556</v>
      </c>
      <c r="F2945" s="3">
        <v>0.8</v>
      </c>
      <c r="G2945" s="3">
        <v>6797</v>
      </c>
      <c r="H2945" s="3">
        <v>76.400000000000006</v>
      </c>
      <c r="I2945" s="3">
        <v>19</v>
      </c>
      <c r="J2945" s="3">
        <v>4.2</v>
      </c>
      <c r="K2945" s="3">
        <v>0.3</v>
      </c>
      <c r="L2945" s="3">
        <v>8.8000000000000007</v>
      </c>
      <c r="M2945" t="str">
        <f>IF(acs2015_county_data[[#This Row],[PublicWork]]&gt;='Описательные характеристики'!$F$5,"да","нет")</f>
        <v>да</v>
      </c>
      <c r="N2945" t="str">
        <f>IF(acs2015_county_data[[#This Row],[Unemployment]]&gt;='Описательные характеристики'!$I$5,"да","нет")</f>
        <v>да</v>
      </c>
    </row>
    <row r="2946" spans="1:14" x14ac:dyDescent="0.35">
      <c r="A2946">
        <v>51760</v>
      </c>
      <c r="B2946" t="s">
        <v>1722</v>
      </c>
      <c r="C2946" t="s">
        <v>1797</v>
      </c>
      <c r="D2946" s="2">
        <v>213735</v>
      </c>
      <c r="E2946" s="2">
        <v>28023</v>
      </c>
      <c r="F2946" s="3">
        <v>4.2</v>
      </c>
      <c r="G2946" s="3">
        <v>104547</v>
      </c>
      <c r="H2946" s="3">
        <v>79.599999999999994</v>
      </c>
      <c r="I2946" s="3">
        <v>16.2</v>
      </c>
      <c r="J2946" s="3">
        <v>4</v>
      </c>
      <c r="K2946" s="3">
        <v>0.1</v>
      </c>
      <c r="L2946" s="3">
        <v>10</v>
      </c>
      <c r="M2946" t="str">
        <f>IF(acs2015_county_data[[#This Row],[PublicWork]]&gt;='Описательные характеристики'!$F$5,"да","нет")</f>
        <v>да</v>
      </c>
      <c r="N2946" t="str">
        <f>IF(acs2015_county_data[[#This Row],[Unemployment]]&gt;='Описательные характеристики'!$I$5,"да","нет")</f>
        <v>да</v>
      </c>
    </row>
    <row r="2947" spans="1:14" x14ac:dyDescent="0.35">
      <c r="A2947">
        <v>51770</v>
      </c>
      <c r="B2947" t="s">
        <v>1722</v>
      </c>
      <c r="C2947" t="s">
        <v>1798</v>
      </c>
      <c r="D2947" s="2">
        <v>98736</v>
      </c>
      <c r="E2947" s="2">
        <v>23685</v>
      </c>
      <c r="F2947" s="3">
        <v>2.4</v>
      </c>
      <c r="G2947" s="3">
        <v>46331</v>
      </c>
      <c r="H2947" s="3">
        <v>82.4</v>
      </c>
      <c r="I2947" s="3">
        <v>13.8</v>
      </c>
      <c r="J2947" s="3">
        <v>3.7</v>
      </c>
      <c r="K2947" s="3">
        <v>0.1</v>
      </c>
      <c r="L2947" s="3">
        <v>8.3000000000000007</v>
      </c>
      <c r="M2947" t="str">
        <f>IF(acs2015_county_data[[#This Row],[PublicWork]]&gt;='Описательные характеристики'!$F$5,"да","нет")</f>
        <v>нет</v>
      </c>
      <c r="N2947" t="str">
        <f>IF(acs2015_county_data[[#This Row],[Unemployment]]&gt;='Описательные характеристики'!$I$5,"да","нет")</f>
        <v>да</v>
      </c>
    </row>
    <row r="2948" spans="1:14" x14ac:dyDescent="0.35">
      <c r="A2948">
        <v>51775</v>
      </c>
      <c r="B2948" t="s">
        <v>1722</v>
      </c>
      <c r="C2948" t="s">
        <v>1799</v>
      </c>
      <c r="D2948" s="2">
        <v>25165</v>
      </c>
      <c r="E2948" s="2">
        <v>27560</v>
      </c>
      <c r="F2948" s="3">
        <v>3.2</v>
      </c>
      <c r="G2948" s="3">
        <v>12506</v>
      </c>
      <c r="H2948" s="3">
        <v>79.8</v>
      </c>
      <c r="I2948" s="3">
        <v>17.5</v>
      </c>
      <c r="J2948" s="3">
        <v>2.7</v>
      </c>
      <c r="K2948" s="3">
        <v>0</v>
      </c>
      <c r="L2948" s="3">
        <v>4.8</v>
      </c>
      <c r="M2948" t="str">
        <f>IF(acs2015_county_data[[#This Row],[PublicWork]]&gt;='Описательные характеристики'!$F$5,"да","нет")</f>
        <v>да</v>
      </c>
      <c r="N2948" t="str">
        <f>IF(acs2015_county_data[[#This Row],[Unemployment]]&gt;='Описательные характеристики'!$I$5,"да","нет")</f>
        <v>нет</v>
      </c>
    </row>
    <row r="2949" spans="1:14" x14ac:dyDescent="0.35">
      <c r="A2949">
        <v>51790</v>
      </c>
      <c r="B2949" t="s">
        <v>1722</v>
      </c>
      <c r="C2949" t="s">
        <v>1800</v>
      </c>
      <c r="D2949" s="2">
        <v>24193</v>
      </c>
      <c r="E2949" s="2">
        <v>25182</v>
      </c>
      <c r="F2949" s="3">
        <v>3.1</v>
      </c>
      <c r="G2949" s="3">
        <v>11297</v>
      </c>
      <c r="H2949" s="3">
        <v>71.7</v>
      </c>
      <c r="I2949" s="3">
        <v>22.2</v>
      </c>
      <c r="J2949" s="3">
        <v>5.9</v>
      </c>
      <c r="K2949" s="3">
        <v>0.2</v>
      </c>
      <c r="L2949" s="3">
        <v>5.6</v>
      </c>
      <c r="M2949" t="str">
        <f>IF(acs2015_county_data[[#This Row],[PublicWork]]&gt;='Описательные характеристики'!$F$5,"да","нет")</f>
        <v>да</v>
      </c>
      <c r="N2949" t="str">
        <f>IF(acs2015_county_data[[#This Row],[Unemployment]]&gt;='Описательные характеристики'!$I$5,"да","нет")</f>
        <v>нет</v>
      </c>
    </row>
    <row r="2950" spans="1:14" x14ac:dyDescent="0.35">
      <c r="A2950">
        <v>51800</v>
      </c>
      <c r="B2950" t="s">
        <v>1722</v>
      </c>
      <c r="C2950" t="s">
        <v>1801</v>
      </c>
      <c r="D2950" s="2">
        <v>86184</v>
      </c>
      <c r="E2950" s="2">
        <v>29620</v>
      </c>
      <c r="F2950" s="3">
        <v>2.9</v>
      </c>
      <c r="G2950" s="3">
        <v>39589</v>
      </c>
      <c r="H2950" s="3">
        <v>71.7</v>
      </c>
      <c r="I2950" s="3">
        <v>24.1</v>
      </c>
      <c r="J2950" s="3">
        <v>4.0999999999999996</v>
      </c>
      <c r="K2950" s="3">
        <v>0.1</v>
      </c>
      <c r="L2950" s="3">
        <v>8</v>
      </c>
      <c r="M2950" t="str">
        <f>IF(acs2015_county_data[[#This Row],[PublicWork]]&gt;='Описательные характеристики'!$F$5,"да","нет")</f>
        <v>да</v>
      </c>
      <c r="N2950" t="str">
        <f>IF(acs2015_county_data[[#This Row],[Unemployment]]&gt;='Описательные характеристики'!$I$5,"да","нет")</f>
        <v>да</v>
      </c>
    </row>
    <row r="2951" spans="1:14" x14ac:dyDescent="0.35">
      <c r="A2951">
        <v>51810</v>
      </c>
      <c r="B2951" t="s">
        <v>1722</v>
      </c>
      <c r="C2951" t="s">
        <v>1802</v>
      </c>
      <c r="D2951" s="2">
        <v>448290</v>
      </c>
      <c r="E2951" s="2">
        <v>32269</v>
      </c>
      <c r="F2951" s="3">
        <v>4.2</v>
      </c>
      <c r="G2951" s="3">
        <v>214968</v>
      </c>
      <c r="H2951" s="3">
        <v>74.099999999999994</v>
      </c>
      <c r="I2951" s="3">
        <v>21.4</v>
      </c>
      <c r="J2951" s="3">
        <v>4.5</v>
      </c>
      <c r="K2951" s="3">
        <v>0.1</v>
      </c>
      <c r="L2951" s="3">
        <v>6.1</v>
      </c>
      <c r="M2951" t="str">
        <f>IF(acs2015_county_data[[#This Row],[PublicWork]]&gt;='Описательные характеристики'!$F$5,"да","нет")</f>
        <v>да</v>
      </c>
      <c r="N2951" t="str">
        <f>IF(acs2015_county_data[[#This Row],[Unemployment]]&gt;='Описательные характеристики'!$I$5,"да","нет")</f>
        <v>нет</v>
      </c>
    </row>
    <row r="2952" spans="1:14" x14ac:dyDescent="0.35">
      <c r="A2952">
        <v>51820</v>
      </c>
      <c r="B2952" t="s">
        <v>1722</v>
      </c>
      <c r="C2952" t="s">
        <v>1803</v>
      </c>
      <c r="D2952" s="2">
        <v>21150</v>
      </c>
      <c r="E2952" s="2">
        <v>22156</v>
      </c>
      <c r="F2952" s="3">
        <v>1.9</v>
      </c>
      <c r="G2952" s="3">
        <v>9655</v>
      </c>
      <c r="H2952" s="3">
        <v>80.5</v>
      </c>
      <c r="I2952" s="3">
        <v>16</v>
      </c>
      <c r="J2952" s="3">
        <v>3.5</v>
      </c>
      <c r="K2952" s="3">
        <v>0</v>
      </c>
      <c r="L2952" s="3">
        <v>4.9000000000000004</v>
      </c>
      <c r="M2952" t="str">
        <f>IF(acs2015_county_data[[#This Row],[PublicWork]]&gt;='Описательные характеристики'!$F$5,"да","нет")</f>
        <v>нет</v>
      </c>
      <c r="N2952" t="str">
        <f>IF(acs2015_county_data[[#This Row],[Unemployment]]&gt;='Описательные характеристики'!$I$5,"да","нет")</f>
        <v>нет</v>
      </c>
    </row>
    <row r="2953" spans="1:14" x14ac:dyDescent="0.35">
      <c r="A2953">
        <v>51830</v>
      </c>
      <c r="B2953" t="s">
        <v>1722</v>
      </c>
      <c r="C2953" t="s">
        <v>1804</v>
      </c>
      <c r="D2953" s="2">
        <v>14754</v>
      </c>
      <c r="E2953" s="2">
        <v>24127</v>
      </c>
      <c r="F2953" s="3">
        <v>5.8</v>
      </c>
      <c r="G2953" s="3">
        <v>5953</v>
      </c>
      <c r="H2953" s="3">
        <v>63.7</v>
      </c>
      <c r="I2953" s="3">
        <v>33.1</v>
      </c>
      <c r="J2953" s="3">
        <v>3.1</v>
      </c>
      <c r="K2953" s="3">
        <v>0.1</v>
      </c>
      <c r="L2953" s="3">
        <v>8.5</v>
      </c>
      <c r="M2953" t="str">
        <f>IF(acs2015_county_data[[#This Row],[PublicWork]]&gt;='Описательные характеристики'!$F$5,"да","нет")</f>
        <v>да</v>
      </c>
      <c r="N2953" t="str">
        <f>IF(acs2015_county_data[[#This Row],[Unemployment]]&gt;='Описательные характеристики'!$I$5,"да","нет")</f>
        <v>да</v>
      </c>
    </row>
    <row r="2954" spans="1:14" x14ac:dyDescent="0.35">
      <c r="A2954">
        <v>51840</v>
      </c>
      <c r="B2954" t="s">
        <v>1722</v>
      </c>
      <c r="C2954" t="s">
        <v>1805</v>
      </c>
      <c r="D2954" s="2">
        <v>27168</v>
      </c>
      <c r="E2954" s="2">
        <v>26182</v>
      </c>
      <c r="F2954" s="3">
        <v>4.4000000000000004</v>
      </c>
      <c r="G2954" s="3">
        <v>12748</v>
      </c>
      <c r="H2954" s="3">
        <v>80.5</v>
      </c>
      <c r="I2954" s="3">
        <v>12.9</v>
      </c>
      <c r="J2954" s="3">
        <v>6.3</v>
      </c>
      <c r="K2954" s="3">
        <v>0.3</v>
      </c>
      <c r="L2954" s="3">
        <v>6.7</v>
      </c>
      <c r="M2954" t="str">
        <f>IF(acs2015_county_data[[#This Row],[PublicWork]]&gt;='Описательные характеристики'!$F$5,"да","нет")</f>
        <v>нет</v>
      </c>
      <c r="N2954" t="str">
        <f>IF(acs2015_county_data[[#This Row],[Unemployment]]&gt;='Описательные характеристики'!$I$5,"да","нет")</f>
        <v>нет</v>
      </c>
    </row>
    <row r="2955" spans="1:14" x14ac:dyDescent="0.35">
      <c r="A2955">
        <v>53001</v>
      </c>
      <c r="B2955" t="s">
        <v>75</v>
      </c>
      <c r="C2955" t="s">
        <v>237</v>
      </c>
      <c r="D2955" s="2">
        <v>19081</v>
      </c>
      <c r="E2955" s="2">
        <v>17564</v>
      </c>
      <c r="F2955" s="3">
        <v>6.2</v>
      </c>
      <c r="G2955" s="3">
        <v>7698</v>
      </c>
      <c r="H2955" s="3">
        <v>81.5</v>
      </c>
      <c r="I2955" s="3">
        <v>14.4</v>
      </c>
      <c r="J2955" s="3">
        <v>3.8</v>
      </c>
      <c r="K2955" s="3">
        <v>0.3</v>
      </c>
      <c r="L2955" s="3">
        <v>9.6</v>
      </c>
      <c r="M2955" t="str">
        <f>IF(acs2015_county_data[[#This Row],[PublicWork]]&gt;='Описательные характеристики'!$F$5,"да","нет")</f>
        <v>нет</v>
      </c>
      <c r="N2955" t="str">
        <f>IF(acs2015_county_data[[#This Row],[Unemployment]]&gt;='Описательные характеристики'!$I$5,"да","нет")</f>
        <v>да</v>
      </c>
    </row>
    <row r="2956" spans="1:14" x14ac:dyDescent="0.35">
      <c r="A2956">
        <v>53003</v>
      </c>
      <c r="B2956" t="s">
        <v>75</v>
      </c>
      <c r="C2956" t="s">
        <v>1806</v>
      </c>
      <c r="D2956" s="2">
        <v>22040</v>
      </c>
      <c r="E2956" s="2">
        <v>25132</v>
      </c>
      <c r="F2956" s="3">
        <v>5.2</v>
      </c>
      <c r="G2956" s="3">
        <v>9439</v>
      </c>
      <c r="H2956" s="3">
        <v>76.900000000000006</v>
      </c>
      <c r="I2956" s="3">
        <v>16.600000000000001</v>
      </c>
      <c r="J2956" s="3">
        <v>6.5</v>
      </c>
      <c r="K2956" s="3">
        <v>0</v>
      </c>
      <c r="L2956" s="3">
        <v>9.6</v>
      </c>
      <c r="M2956" t="str">
        <f>IF(acs2015_county_data[[#This Row],[PublicWork]]&gt;='Описательные характеристики'!$F$5,"да","нет")</f>
        <v>да</v>
      </c>
      <c r="N2956" t="str">
        <f>IF(acs2015_county_data[[#This Row],[Unemployment]]&gt;='Описательные характеристики'!$I$5,"да","нет")</f>
        <v>да</v>
      </c>
    </row>
    <row r="2957" spans="1:14" x14ac:dyDescent="0.35">
      <c r="A2957">
        <v>53005</v>
      </c>
      <c r="B2957" t="s">
        <v>75</v>
      </c>
      <c r="C2957" t="s">
        <v>127</v>
      </c>
      <c r="D2957" s="2">
        <v>184930</v>
      </c>
      <c r="E2957" s="2">
        <v>28758</v>
      </c>
      <c r="F2957" s="3">
        <v>3.8</v>
      </c>
      <c r="G2957" s="3">
        <v>82427</v>
      </c>
      <c r="H2957" s="3">
        <v>78.599999999999994</v>
      </c>
      <c r="I2957" s="3">
        <v>16.899999999999999</v>
      </c>
      <c r="J2957" s="3">
        <v>4.3</v>
      </c>
      <c r="K2957" s="3">
        <v>0.1</v>
      </c>
      <c r="L2957" s="3">
        <v>6.9</v>
      </c>
      <c r="M2957" t="str">
        <f>IF(acs2015_county_data[[#This Row],[PublicWork]]&gt;='Описательные характеристики'!$F$5,"да","нет")</f>
        <v>да</v>
      </c>
      <c r="N2957" t="str">
        <f>IF(acs2015_county_data[[#This Row],[Unemployment]]&gt;='Описательные характеристики'!$I$5,"да","нет")</f>
        <v>нет</v>
      </c>
    </row>
    <row r="2958" spans="1:14" x14ac:dyDescent="0.35">
      <c r="A2958">
        <v>53007</v>
      </c>
      <c r="B2958" t="s">
        <v>75</v>
      </c>
      <c r="C2958" t="s">
        <v>1807</v>
      </c>
      <c r="D2958" s="2">
        <v>74267</v>
      </c>
      <c r="E2958" s="2">
        <v>25564</v>
      </c>
      <c r="F2958" s="3">
        <v>5.3</v>
      </c>
      <c r="G2958" s="3">
        <v>33140</v>
      </c>
      <c r="H2958" s="3">
        <v>76.8</v>
      </c>
      <c r="I2958" s="3">
        <v>16</v>
      </c>
      <c r="J2958" s="3">
        <v>6.9</v>
      </c>
      <c r="K2958" s="3">
        <v>0.2</v>
      </c>
      <c r="L2958" s="3">
        <v>7.5</v>
      </c>
      <c r="M2958" t="str">
        <f>IF(acs2015_county_data[[#This Row],[PublicWork]]&gt;='Описательные характеристики'!$F$5,"да","нет")</f>
        <v>нет</v>
      </c>
      <c r="N2958" t="str">
        <f>IF(acs2015_county_data[[#This Row],[Unemployment]]&gt;='Описательные характеристики'!$I$5,"да","нет")</f>
        <v>нет</v>
      </c>
    </row>
    <row r="2959" spans="1:14" x14ac:dyDescent="0.35">
      <c r="A2959">
        <v>53009</v>
      </c>
      <c r="B2959" t="s">
        <v>75</v>
      </c>
      <c r="C2959" t="s">
        <v>1808</v>
      </c>
      <c r="D2959" s="2">
        <v>72397</v>
      </c>
      <c r="E2959" s="2">
        <v>27000</v>
      </c>
      <c r="F2959" s="3">
        <v>4.9000000000000004</v>
      </c>
      <c r="G2959" s="3">
        <v>27697</v>
      </c>
      <c r="H2959" s="3">
        <v>69.7</v>
      </c>
      <c r="I2959" s="3">
        <v>22</v>
      </c>
      <c r="J2959" s="3">
        <v>8.1999999999999993</v>
      </c>
      <c r="K2959" s="3">
        <v>0.1</v>
      </c>
      <c r="L2959" s="3">
        <v>9.9</v>
      </c>
      <c r="M2959" t="str">
        <f>IF(acs2015_county_data[[#This Row],[PublicWork]]&gt;='Описательные характеристики'!$F$5,"да","нет")</f>
        <v>да</v>
      </c>
      <c r="N2959" t="str">
        <f>IF(acs2015_county_data[[#This Row],[Unemployment]]&gt;='Описательные характеристики'!$I$5,"да","нет")</f>
        <v>да</v>
      </c>
    </row>
    <row r="2960" spans="1:14" x14ac:dyDescent="0.35">
      <c r="A2960">
        <v>53011</v>
      </c>
      <c r="B2960" t="s">
        <v>75</v>
      </c>
      <c r="C2960" t="s">
        <v>131</v>
      </c>
      <c r="D2960" s="2">
        <v>444506</v>
      </c>
      <c r="E2960" s="2">
        <v>28801</v>
      </c>
      <c r="F2960" s="3">
        <v>6.3</v>
      </c>
      <c r="G2960" s="3">
        <v>201261</v>
      </c>
      <c r="H2960" s="3">
        <v>79.900000000000006</v>
      </c>
      <c r="I2960" s="3">
        <v>13.4</v>
      </c>
      <c r="J2960" s="3">
        <v>6.5</v>
      </c>
      <c r="K2960" s="3">
        <v>0.2</v>
      </c>
      <c r="L2960" s="3">
        <v>8.6</v>
      </c>
      <c r="M2960" t="str">
        <f>IF(acs2015_county_data[[#This Row],[PublicWork]]&gt;='Описательные характеристики'!$F$5,"да","нет")</f>
        <v>нет</v>
      </c>
      <c r="N2960" t="str">
        <f>IF(acs2015_county_data[[#This Row],[Unemployment]]&gt;='Описательные характеристики'!$I$5,"да","нет")</f>
        <v>да</v>
      </c>
    </row>
    <row r="2961" spans="1:14" x14ac:dyDescent="0.35">
      <c r="A2961">
        <v>53013</v>
      </c>
      <c r="B2961" t="s">
        <v>75</v>
      </c>
      <c r="C2961" t="s">
        <v>133</v>
      </c>
      <c r="D2961" s="2">
        <v>3989</v>
      </c>
      <c r="E2961" s="2">
        <v>24400</v>
      </c>
      <c r="F2961" s="3">
        <v>7.9</v>
      </c>
      <c r="G2961" s="3">
        <v>1557</v>
      </c>
      <c r="H2961" s="3">
        <v>58</v>
      </c>
      <c r="I2961" s="3">
        <v>28.8</v>
      </c>
      <c r="J2961" s="3">
        <v>12.7</v>
      </c>
      <c r="K2961" s="3">
        <v>0.4</v>
      </c>
      <c r="L2961" s="3">
        <v>10.4</v>
      </c>
      <c r="M2961" t="str">
        <f>IF(acs2015_county_data[[#This Row],[PublicWork]]&gt;='Описательные характеристики'!$F$5,"да","нет")</f>
        <v>да</v>
      </c>
      <c r="N2961" t="str">
        <f>IF(acs2015_county_data[[#This Row],[Unemployment]]&gt;='Описательные характеристики'!$I$5,"да","нет")</f>
        <v>да</v>
      </c>
    </row>
    <row r="2962" spans="1:14" x14ac:dyDescent="0.35">
      <c r="A2962">
        <v>53015</v>
      </c>
      <c r="B2962" t="s">
        <v>75</v>
      </c>
      <c r="C2962" t="s">
        <v>1809</v>
      </c>
      <c r="D2962" s="2">
        <v>102338</v>
      </c>
      <c r="E2962" s="2">
        <v>24260</v>
      </c>
      <c r="F2962" s="3">
        <v>4.8</v>
      </c>
      <c r="G2962" s="3">
        <v>40418</v>
      </c>
      <c r="H2962" s="3">
        <v>79</v>
      </c>
      <c r="I2962" s="3">
        <v>14.8</v>
      </c>
      <c r="J2962" s="3">
        <v>5.8</v>
      </c>
      <c r="K2962" s="3">
        <v>0.4</v>
      </c>
      <c r="L2962" s="3">
        <v>10.7</v>
      </c>
      <c r="M2962" t="str">
        <f>IF(acs2015_county_data[[#This Row],[PublicWork]]&gt;='Описательные характеристики'!$F$5,"да","нет")</f>
        <v>нет</v>
      </c>
      <c r="N2962" t="str">
        <f>IF(acs2015_county_data[[#This Row],[Unemployment]]&gt;='Описательные характеристики'!$I$5,"да","нет")</f>
        <v>да</v>
      </c>
    </row>
    <row r="2963" spans="1:14" x14ac:dyDescent="0.35">
      <c r="A2963">
        <v>53017</v>
      </c>
      <c r="B2963" t="s">
        <v>75</v>
      </c>
      <c r="C2963" t="s">
        <v>254</v>
      </c>
      <c r="D2963" s="2">
        <v>39599</v>
      </c>
      <c r="E2963" s="2">
        <v>23598</v>
      </c>
      <c r="F2963" s="3">
        <v>3.3</v>
      </c>
      <c r="G2963" s="3">
        <v>18034</v>
      </c>
      <c r="H2963" s="3">
        <v>79.2</v>
      </c>
      <c r="I2963" s="3">
        <v>14.6</v>
      </c>
      <c r="J2963" s="3">
        <v>5.7</v>
      </c>
      <c r="K2963" s="3">
        <v>0.4</v>
      </c>
      <c r="L2963" s="3">
        <v>6.5</v>
      </c>
      <c r="M2963" t="str">
        <f>IF(acs2015_county_data[[#This Row],[PublicWork]]&gt;='Описательные характеристики'!$F$5,"да","нет")</f>
        <v>нет</v>
      </c>
      <c r="N2963" t="str">
        <f>IF(acs2015_county_data[[#This Row],[Unemployment]]&gt;='Описательные характеристики'!$I$5,"да","нет")</f>
        <v>нет</v>
      </c>
    </row>
    <row r="2964" spans="1:14" x14ac:dyDescent="0.35">
      <c r="A2964">
        <v>53019</v>
      </c>
      <c r="B2964" t="s">
        <v>75</v>
      </c>
      <c r="C2964" t="s">
        <v>1810</v>
      </c>
      <c r="D2964" s="2">
        <v>7652</v>
      </c>
      <c r="E2964" s="2">
        <v>20602</v>
      </c>
      <c r="F2964" s="3">
        <v>6.2</v>
      </c>
      <c r="G2964" s="3">
        <v>2452</v>
      </c>
      <c r="H2964" s="3">
        <v>52.4</v>
      </c>
      <c r="I2964" s="3">
        <v>40.6</v>
      </c>
      <c r="J2964" s="3">
        <v>6.4</v>
      </c>
      <c r="K2964" s="3">
        <v>0.5</v>
      </c>
      <c r="L2964" s="3">
        <v>12.2</v>
      </c>
      <c r="M2964" t="str">
        <f>IF(acs2015_county_data[[#This Row],[PublicWork]]&gt;='Описательные характеристики'!$F$5,"да","нет")</f>
        <v>да</v>
      </c>
      <c r="N2964" t="str">
        <f>IF(acs2015_county_data[[#This Row],[Unemployment]]&gt;='Описательные характеристики'!$I$5,"да","нет")</f>
        <v>да</v>
      </c>
    </row>
    <row r="2965" spans="1:14" x14ac:dyDescent="0.35">
      <c r="A2965">
        <v>53021</v>
      </c>
      <c r="B2965" t="s">
        <v>75</v>
      </c>
      <c r="C2965" t="s">
        <v>43</v>
      </c>
      <c r="D2965" s="2">
        <v>86443</v>
      </c>
      <c r="E2965" s="2">
        <v>20412</v>
      </c>
      <c r="F2965" s="3">
        <v>3.3</v>
      </c>
      <c r="G2965" s="3">
        <v>36259</v>
      </c>
      <c r="H2965" s="3">
        <v>81.7</v>
      </c>
      <c r="I2965" s="3">
        <v>13.2</v>
      </c>
      <c r="J2965" s="3">
        <v>5</v>
      </c>
      <c r="K2965" s="3">
        <v>0.1</v>
      </c>
      <c r="L2965" s="3">
        <v>7.2</v>
      </c>
      <c r="M2965" t="str">
        <f>IF(acs2015_county_data[[#This Row],[PublicWork]]&gt;='Описательные характеристики'!$F$5,"да","нет")</f>
        <v>нет</v>
      </c>
      <c r="N2965" t="str">
        <f>IF(acs2015_county_data[[#This Row],[Unemployment]]&gt;='Описательные характеристики'!$I$5,"да","нет")</f>
        <v>нет</v>
      </c>
    </row>
    <row r="2966" spans="1:14" x14ac:dyDescent="0.35">
      <c r="A2966">
        <v>53023</v>
      </c>
      <c r="B2966" t="s">
        <v>75</v>
      </c>
      <c r="C2966" t="s">
        <v>259</v>
      </c>
      <c r="D2966" s="2">
        <v>2230</v>
      </c>
      <c r="E2966" s="2">
        <v>22884</v>
      </c>
      <c r="F2966" s="3">
        <v>9.4</v>
      </c>
      <c r="G2966" s="3">
        <v>883</v>
      </c>
      <c r="H2966" s="3">
        <v>48.5</v>
      </c>
      <c r="I2966" s="3">
        <v>32.4</v>
      </c>
      <c r="J2966" s="3">
        <v>19.100000000000001</v>
      </c>
      <c r="K2966" s="3">
        <v>0</v>
      </c>
      <c r="L2966" s="3">
        <v>7.4</v>
      </c>
      <c r="M2966" t="str">
        <f>IF(acs2015_county_data[[#This Row],[PublicWork]]&gt;='Описательные характеристики'!$F$5,"да","нет")</f>
        <v>да</v>
      </c>
      <c r="N2966" t="str">
        <f>IF(acs2015_county_data[[#This Row],[Unemployment]]&gt;='Описательные характеристики'!$I$5,"да","нет")</f>
        <v>нет</v>
      </c>
    </row>
    <row r="2967" spans="1:14" x14ac:dyDescent="0.35">
      <c r="A2967">
        <v>53025</v>
      </c>
      <c r="B2967" t="s">
        <v>75</v>
      </c>
      <c r="C2967" t="s">
        <v>144</v>
      </c>
      <c r="D2967" s="2">
        <v>92070</v>
      </c>
      <c r="E2967" s="2">
        <v>20251</v>
      </c>
      <c r="F2967" s="3">
        <v>5.5</v>
      </c>
      <c r="G2967" s="3">
        <v>38314</v>
      </c>
      <c r="H2967" s="3">
        <v>75.400000000000006</v>
      </c>
      <c r="I2967" s="3">
        <v>19.399999999999999</v>
      </c>
      <c r="J2967" s="3">
        <v>5.0999999999999996</v>
      </c>
      <c r="K2967" s="3">
        <v>0.1</v>
      </c>
      <c r="L2967" s="3">
        <v>10.1</v>
      </c>
      <c r="M2967" t="str">
        <f>IF(acs2015_county_data[[#This Row],[PublicWork]]&gt;='Описательные характеристики'!$F$5,"да","нет")</f>
        <v>да</v>
      </c>
      <c r="N2967" t="str">
        <f>IF(acs2015_county_data[[#This Row],[Unemployment]]&gt;='Описательные характеристики'!$I$5,"да","нет")</f>
        <v>да</v>
      </c>
    </row>
    <row r="2968" spans="1:14" x14ac:dyDescent="0.35">
      <c r="A2968">
        <v>53027</v>
      </c>
      <c r="B2968" t="s">
        <v>75</v>
      </c>
      <c r="C2968" t="s">
        <v>1811</v>
      </c>
      <c r="D2968" s="2">
        <v>71419</v>
      </c>
      <c r="E2968" s="2">
        <v>22387</v>
      </c>
      <c r="F2968" s="3">
        <v>3.9</v>
      </c>
      <c r="G2968" s="3">
        <v>26197</v>
      </c>
      <c r="H2968" s="3">
        <v>71.2</v>
      </c>
      <c r="I2968" s="3">
        <v>21.7</v>
      </c>
      <c r="J2968" s="3">
        <v>7</v>
      </c>
      <c r="K2968" s="3">
        <v>0.2</v>
      </c>
      <c r="L2968" s="3">
        <v>14.3</v>
      </c>
      <c r="M2968" t="str">
        <f>IF(acs2015_county_data[[#This Row],[PublicWork]]&gt;='Описательные характеристики'!$F$5,"да","нет")</f>
        <v>да</v>
      </c>
      <c r="N2968" t="str">
        <f>IF(acs2015_county_data[[#This Row],[Unemployment]]&gt;='Описательные характеристики'!$I$5,"да","нет")</f>
        <v>да</v>
      </c>
    </row>
    <row r="2969" spans="1:14" x14ac:dyDescent="0.35">
      <c r="A2969">
        <v>53029</v>
      </c>
      <c r="B2969" t="s">
        <v>75</v>
      </c>
      <c r="C2969" t="s">
        <v>1812</v>
      </c>
      <c r="D2969" s="2">
        <v>79329</v>
      </c>
      <c r="E2969" s="2">
        <v>31836</v>
      </c>
      <c r="F2969" s="3">
        <v>7.2</v>
      </c>
      <c r="G2969" s="3">
        <v>31525</v>
      </c>
      <c r="H2969" s="3">
        <v>67.2</v>
      </c>
      <c r="I2969" s="3">
        <v>23.6</v>
      </c>
      <c r="J2969" s="3">
        <v>8.8000000000000007</v>
      </c>
      <c r="K2969" s="3">
        <v>0.4</v>
      </c>
      <c r="L2969" s="3">
        <v>9</v>
      </c>
      <c r="M2969" t="str">
        <f>IF(acs2015_county_data[[#This Row],[PublicWork]]&gt;='Описательные характеристики'!$F$5,"да","нет")</f>
        <v>да</v>
      </c>
      <c r="N2969" t="str">
        <f>IF(acs2015_county_data[[#This Row],[Unemployment]]&gt;='Описательные характеристики'!$I$5,"да","нет")</f>
        <v>да</v>
      </c>
    </row>
    <row r="2970" spans="1:14" x14ac:dyDescent="0.35">
      <c r="A2970">
        <v>53031</v>
      </c>
      <c r="B2970" t="s">
        <v>75</v>
      </c>
      <c r="C2970" t="s">
        <v>50</v>
      </c>
      <c r="D2970" s="2">
        <v>30083</v>
      </c>
      <c r="E2970" s="2">
        <v>28593</v>
      </c>
      <c r="F2970" s="3">
        <v>8.6999999999999993</v>
      </c>
      <c r="G2970" s="3">
        <v>11518</v>
      </c>
      <c r="H2970" s="3">
        <v>66.900000000000006</v>
      </c>
      <c r="I2970" s="3">
        <v>18.2</v>
      </c>
      <c r="J2970" s="3">
        <v>14.8</v>
      </c>
      <c r="K2970" s="3">
        <v>0.1</v>
      </c>
      <c r="L2970" s="3">
        <v>9.5</v>
      </c>
      <c r="M2970" t="str">
        <f>IF(acs2015_county_data[[#This Row],[PublicWork]]&gt;='Описательные характеристики'!$F$5,"да","нет")</f>
        <v>да</v>
      </c>
      <c r="N2970" t="str">
        <f>IF(acs2015_county_data[[#This Row],[Unemployment]]&gt;='Описательные характеристики'!$I$5,"да","нет")</f>
        <v>да</v>
      </c>
    </row>
    <row r="2971" spans="1:14" x14ac:dyDescent="0.35">
      <c r="A2971">
        <v>53033</v>
      </c>
      <c r="B2971" t="s">
        <v>75</v>
      </c>
      <c r="C2971" t="s">
        <v>1620</v>
      </c>
      <c r="D2971" s="2">
        <v>2045756</v>
      </c>
      <c r="E2971" s="2">
        <v>41664</v>
      </c>
      <c r="F2971" s="3">
        <v>6.1</v>
      </c>
      <c r="G2971" s="3">
        <v>1079601</v>
      </c>
      <c r="H2971" s="3">
        <v>81.7</v>
      </c>
      <c r="I2971" s="3">
        <v>12.4</v>
      </c>
      <c r="J2971" s="3">
        <v>5.7</v>
      </c>
      <c r="K2971" s="3">
        <v>0.2</v>
      </c>
      <c r="L2971" s="3">
        <v>6.3</v>
      </c>
      <c r="M2971" t="str">
        <f>IF(acs2015_county_data[[#This Row],[PublicWork]]&gt;='Описательные характеристики'!$F$5,"да","нет")</f>
        <v>нет</v>
      </c>
      <c r="N2971" t="str">
        <f>IF(acs2015_county_data[[#This Row],[Unemployment]]&gt;='Описательные характеристики'!$I$5,"да","нет")</f>
        <v>нет</v>
      </c>
    </row>
    <row r="2972" spans="1:14" x14ac:dyDescent="0.35">
      <c r="A2972">
        <v>53035</v>
      </c>
      <c r="B2972" t="s">
        <v>75</v>
      </c>
      <c r="C2972" t="s">
        <v>1813</v>
      </c>
      <c r="D2972" s="2">
        <v>255441</v>
      </c>
      <c r="E2972" s="2">
        <v>32063</v>
      </c>
      <c r="F2972" s="3">
        <v>6.9</v>
      </c>
      <c r="G2972" s="3">
        <v>107745</v>
      </c>
      <c r="H2972" s="3">
        <v>65.3</v>
      </c>
      <c r="I2972" s="3">
        <v>27.6</v>
      </c>
      <c r="J2972" s="3">
        <v>7</v>
      </c>
      <c r="K2972" s="3">
        <v>0.1</v>
      </c>
      <c r="L2972" s="3">
        <v>8</v>
      </c>
      <c r="M2972" t="str">
        <f>IF(acs2015_county_data[[#This Row],[PublicWork]]&gt;='Описательные характеристики'!$F$5,"да","нет")</f>
        <v>да</v>
      </c>
      <c r="N2972" t="str">
        <f>IF(acs2015_county_data[[#This Row],[Unemployment]]&gt;='Описательные характеристики'!$I$5,"да","нет")</f>
        <v>да</v>
      </c>
    </row>
    <row r="2973" spans="1:14" x14ac:dyDescent="0.35">
      <c r="A2973">
        <v>53037</v>
      </c>
      <c r="B2973" t="s">
        <v>75</v>
      </c>
      <c r="C2973" t="s">
        <v>1814</v>
      </c>
      <c r="D2973" s="2">
        <v>42204</v>
      </c>
      <c r="E2973" s="2">
        <v>24014</v>
      </c>
      <c r="F2973" s="3">
        <v>5.4</v>
      </c>
      <c r="G2973" s="3">
        <v>19811</v>
      </c>
      <c r="H2973" s="3">
        <v>66.099999999999994</v>
      </c>
      <c r="I2973" s="3">
        <v>26</v>
      </c>
      <c r="J2973" s="3">
        <v>7.7</v>
      </c>
      <c r="K2973" s="3">
        <v>0.3</v>
      </c>
      <c r="L2973" s="3">
        <v>7.8</v>
      </c>
      <c r="M2973" t="str">
        <f>IF(acs2015_county_data[[#This Row],[PublicWork]]&gt;='Описательные характеристики'!$F$5,"да","нет")</f>
        <v>да</v>
      </c>
      <c r="N2973" t="str">
        <f>IF(acs2015_county_data[[#This Row],[Unemployment]]&gt;='Описательные характеристики'!$I$5,"да","нет")</f>
        <v>да</v>
      </c>
    </row>
    <row r="2974" spans="1:14" x14ac:dyDescent="0.35">
      <c r="A2974">
        <v>53039</v>
      </c>
      <c r="B2974" t="s">
        <v>75</v>
      </c>
      <c r="C2974" t="s">
        <v>1815</v>
      </c>
      <c r="D2974" s="2">
        <v>20820</v>
      </c>
      <c r="E2974" s="2">
        <v>22456</v>
      </c>
      <c r="F2974" s="3">
        <v>10</v>
      </c>
      <c r="G2974" s="3">
        <v>7766</v>
      </c>
      <c r="H2974" s="3">
        <v>70.900000000000006</v>
      </c>
      <c r="I2974" s="3">
        <v>19.7</v>
      </c>
      <c r="J2974" s="3">
        <v>9</v>
      </c>
      <c r="K2974" s="3">
        <v>0.3</v>
      </c>
      <c r="L2974" s="3">
        <v>7</v>
      </c>
      <c r="M2974" t="str">
        <f>IF(acs2015_county_data[[#This Row],[PublicWork]]&gt;='Описательные характеристики'!$F$5,"да","нет")</f>
        <v>да</v>
      </c>
      <c r="N2974" t="str">
        <f>IF(acs2015_county_data[[#This Row],[Unemployment]]&gt;='Описательные характеристики'!$I$5,"да","нет")</f>
        <v>нет</v>
      </c>
    </row>
    <row r="2975" spans="1:14" x14ac:dyDescent="0.35">
      <c r="A2975">
        <v>53041</v>
      </c>
      <c r="B2975" t="s">
        <v>75</v>
      </c>
      <c r="C2975" t="s">
        <v>492</v>
      </c>
      <c r="D2975" s="2">
        <v>75515</v>
      </c>
      <c r="E2975" s="2">
        <v>22480</v>
      </c>
      <c r="F2975" s="3">
        <v>5.2</v>
      </c>
      <c r="G2975" s="3">
        <v>29297</v>
      </c>
      <c r="H2975" s="3">
        <v>73.5</v>
      </c>
      <c r="I2975" s="3">
        <v>19.100000000000001</v>
      </c>
      <c r="J2975" s="3">
        <v>7.1</v>
      </c>
      <c r="K2975" s="3">
        <v>0.2</v>
      </c>
      <c r="L2975" s="3">
        <v>12.1</v>
      </c>
      <c r="M2975" t="str">
        <f>IF(acs2015_county_data[[#This Row],[PublicWork]]&gt;='Описательные характеристики'!$F$5,"да","нет")</f>
        <v>да</v>
      </c>
      <c r="N2975" t="str">
        <f>IF(acs2015_county_data[[#This Row],[Unemployment]]&gt;='Описательные характеристики'!$I$5,"да","нет")</f>
        <v>да</v>
      </c>
    </row>
    <row r="2976" spans="1:14" x14ac:dyDescent="0.35">
      <c r="A2976">
        <v>53043</v>
      </c>
      <c r="B2976" t="s">
        <v>75</v>
      </c>
      <c r="C2976" t="s">
        <v>152</v>
      </c>
      <c r="D2976" s="2">
        <v>10363</v>
      </c>
      <c r="E2976" s="2">
        <v>24951</v>
      </c>
      <c r="F2976" s="3">
        <v>9.6999999999999993</v>
      </c>
      <c r="G2976" s="3">
        <v>4050</v>
      </c>
      <c r="H2976" s="3">
        <v>64.7</v>
      </c>
      <c r="I2976" s="3">
        <v>26.4</v>
      </c>
      <c r="J2976" s="3">
        <v>8.6</v>
      </c>
      <c r="K2976" s="3">
        <v>0.2</v>
      </c>
      <c r="L2976" s="3">
        <v>4.8</v>
      </c>
      <c r="M2976" t="str">
        <f>IF(acs2015_county_data[[#This Row],[PublicWork]]&gt;='Описательные характеристики'!$F$5,"да","нет")</f>
        <v>да</v>
      </c>
      <c r="N2976" t="str">
        <f>IF(acs2015_county_data[[#This Row],[Unemployment]]&gt;='Описательные характеристики'!$I$5,"да","нет")</f>
        <v>нет</v>
      </c>
    </row>
    <row r="2977" spans="1:14" x14ac:dyDescent="0.35">
      <c r="A2977">
        <v>53045</v>
      </c>
      <c r="B2977" t="s">
        <v>75</v>
      </c>
      <c r="C2977" t="s">
        <v>536</v>
      </c>
      <c r="D2977" s="2">
        <v>60791</v>
      </c>
      <c r="E2977" s="2">
        <v>25015</v>
      </c>
      <c r="F2977" s="3">
        <v>3.7</v>
      </c>
      <c r="G2977" s="3">
        <v>22155</v>
      </c>
      <c r="H2977" s="3">
        <v>64.5</v>
      </c>
      <c r="I2977" s="3">
        <v>25.9</v>
      </c>
      <c r="J2977" s="3">
        <v>9.5</v>
      </c>
      <c r="K2977" s="3">
        <v>0.1</v>
      </c>
      <c r="L2977" s="3">
        <v>12.9</v>
      </c>
      <c r="M2977" t="str">
        <f>IF(acs2015_county_data[[#This Row],[PublicWork]]&gt;='Описательные характеристики'!$F$5,"да","нет")</f>
        <v>да</v>
      </c>
      <c r="N2977" t="str">
        <f>IF(acs2015_county_data[[#This Row],[Unemployment]]&gt;='Описательные характеристики'!$I$5,"да","нет")</f>
        <v>да</v>
      </c>
    </row>
    <row r="2978" spans="1:14" x14ac:dyDescent="0.35">
      <c r="A2978">
        <v>53047</v>
      </c>
      <c r="B2978" t="s">
        <v>75</v>
      </c>
      <c r="C2978" t="s">
        <v>1816</v>
      </c>
      <c r="D2978" s="2">
        <v>41332</v>
      </c>
      <c r="E2978" s="2">
        <v>22460</v>
      </c>
      <c r="F2978" s="3">
        <v>5.7</v>
      </c>
      <c r="G2978" s="3">
        <v>16969</v>
      </c>
      <c r="H2978" s="3">
        <v>65.099999999999994</v>
      </c>
      <c r="I2978" s="3">
        <v>25.1</v>
      </c>
      <c r="J2978" s="3">
        <v>9.5</v>
      </c>
      <c r="K2978" s="3">
        <v>0.3</v>
      </c>
      <c r="L2978" s="3">
        <v>8.9</v>
      </c>
      <c r="M2978" t="str">
        <f>IF(acs2015_county_data[[#This Row],[PublicWork]]&gt;='Описательные характеристики'!$F$5,"да","нет")</f>
        <v>да</v>
      </c>
      <c r="N2978" t="str">
        <f>IF(acs2015_county_data[[#This Row],[Unemployment]]&gt;='Описательные характеристики'!$I$5,"да","нет")</f>
        <v>да</v>
      </c>
    </row>
    <row r="2979" spans="1:14" x14ac:dyDescent="0.35">
      <c r="A2979">
        <v>53049</v>
      </c>
      <c r="B2979" t="s">
        <v>75</v>
      </c>
      <c r="C2979" t="s">
        <v>5</v>
      </c>
      <c r="D2979" s="2">
        <v>20645</v>
      </c>
      <c r="E2979" s="2">
        <v>21923</v>
      </c>
      <c r="F2979" s="3">
        <v>3.9</v>
      </c>
      <c r="G2979" s="3">
        <v>7141</v>
      </c>
      <c r="H2979" s="3">
        <v>70.2</v>
      </c>
      <c r="I2979" s="3">
        <v>22.1</v>
      </c>
      <c r="J2979" s="3">
        <v>7.7</v>
      </c>
      <c r="K2979" s="3">
        <v>0</v>
      </c>
      <c r="L2979" s="3">
        <v>8.9</v>
      </c>
      <c r="M2979" t="str">
        <f>IF(acs2015_county_data[[#This Row],[PublicWork]]&gt;='Описательные характеристики'!$F$5,"да","нет")</f>
        <v>да</v>
      </c>
      <c r="N2979" t="str">
        <f>IF(acs2015_county_data[[#This Row],[Unemployment]]&gt;='Описательные характеристики'!$I$5,"да","нет")</f>
        <v>да</v>
      </c>
    </row>
    <row r="2980" spans="1:14" x14ac:dyDescent="0.35">
      <c r="A2980">
        <v>53051</v>
      </c>
      <c r="B2980" t="s">
        <v>75</v>
      </c>
      <c r="C2980" t="s">
        <v>1817</v>
      </c>
      <c r="D2980" s="2">
        <v>12968</v>
      </c>
      <c r="E2980" s="2">
        <v>22008</v>
      </c>
      <c r="F2980" s="3">
        <v>7.8</v>
      </c>
      <c r="G2980" s="3">
        <v>4217</v>
      </c>
      <c r="H2980" s="3">
        <v>62.5</v>
      </c>
      <c r="I2980" s="3">
        <v>26.5</v>
      </c>
      <c r="J2980" s="3">
        <v>10.4</v>
      </c>
      <c r="K2980" s="3">
        <v>0.7</v>
      </c>
      <c r="L2980" s="3">
        <v>10.3</v>
      </c>
      <c r="M2980" t="str">
        <f>IF(acs2015_county_data[[#This Row],[PublicWork]]&gt;='Описательные характеристики'!$F$5,"да","нет")</f>
        <v>да</v>
      </c>
      <c r="N2980" t="str">
        <f>IF(acs2015_county_data[[#This Row],[Unemployment]]&gt;='Описательные характеристики'!$I$5,"да","нет")</f>
        <v>да</v>
      </c>
    </row>
    <row r="2981" spans="1:14" x14ac:dyDescent="0.35">
      <c r="A2981">
        <v>53053</v>
      </c>
      <c r="B2981" t="s">
        <v>75</v>
      </c>
      <c r="C2981" t="s">
        <v>430</v>
      </c>
      <c r="D2981" s="2">
        <v>821952</v>
      </c>
      <c r="E2981" s="2">
        <v>28824</v>
      </c>
      <c r="F2981" s="3">
        <v>4.3</v>
      </c>
      <c r="G2981" s="3">
        <v>365152</v>
      </c>
      <c r="H2981" s="3">
        <v>75.900000000000006</v>
      </c>
      <c r="I2981" s="3">
        <v>18.7</v>
      </c>
      <c r="J2981" s="3">
        <v>5.3</v>
      </c>
      <c r="K2981" s="3">
        <v>0.1</v>
      </c>
      <c r="L2981" s="3">
        <v>9.1999999999999993</v>
      </c>
      <c r="M2981" t="str">
        <f>IF(acs2015_county_data[[#This Row],[PublicWork]]&gt;='Описательные характеристики'!$F$5,"да","нет")</f>
        <v>да</v>
      </c>
      <c r="N2981" t="str">
        <f>IF(acs2015_county_data[[#This Row],[Unemployment]]&gt;='Описательные характеристики'!$I$5,"да","нет")</f>
        <v>да</v>
      </c>
    </row>
    <row r="2982" spans="1:14" x14ac:dyDescent="0.35">
      <c r="A2982">
        <v>53055</v>
      </c>
      <c r="B2982" t="s">
        <v>75</v>
      </c>
      <c r="C2982" t="s">
        <v>285</v>
      </c>
      <c r="D2982" s="2">
        <v>15956</v>
      </c>
      <c r="E2982" s="2">
        <v>39266</v>
      </c>
      <c r="F2982" s="3">
        <v>9.1</v>
      </c>
      <c r="G2982" s="3">
        <v>7633</v>
      </c>
      <c r="H2982" s="3">
        <v>68.900000000000006</v>
      </c>
      <c r="I2982" s="3">
        <v>14.3</v>
      </c>
      <c r="J2982" s="3">
        <v>16.2</v>
      </c>
      <c r="K2982" s="3">
        <v>0.5</v>
      </c>
      <c r="L2982" s="3">
        <v>5.9</v>
      </c>
      <c r="M2982" t="str">
        <f>IF(acs2015_county_data[[#This Row],[PublicWork]]&gt;='Описательные характеристики'!$F$5,"да","нет")</f>
        <v>нет</v>
      </c>
      <c r="N2982" t="str">
        <f>IF(acs2015_county_data[[#This Row],[Unemployment]]&gt;='Описательные характеристики'!$I$5,"да","нет")</f>
        <v>нет</v>
      </c>
    </row>
    <row r="2983" spans="1:14" x14ac:dyDescent="0.35">
      <c r="A2983">
        <v>53057</v>
      </c>
      <c r="B2983" t="s">
        <v>75</v>
      </c>
      <c r="C2983" t="s">
        <v>1818</v>
      </c>
      <c r="D2983" s="2">
        <v>119343</v>
      </c>
      <c r="E2983" s="2">
        <v>27794</v>
      </c>
      <c r="F2983" s="3">
        <v>5.6</v>
      </c>
      <c r="G2983" s="3">
        <v>51761</v>
      </c>
      <c r="H2983" s="3">
        <v>76.400000000000006</v>
      </c>
      <c r="I2983" s="3">
        <v>15.7</v>
      </c>
      <c r="J2983" s="3">
        <v>7.8</v>
      </c>
      <c r="K2983" s="3">
        <v>0.1</v>
      </c>
      <c r="L2983" s="3">
        <v>8.1999999999999993</v>
      </c>
      <c r="M2983" t="str">
        <f>IF(acs2015_county_data[[#This Row],[PublicWork]]&gt;='Описательные характеристики'!$F$5,"да","нет")</f>
        <v>нет</v>
      </c>
      <c r="N2983" t="str">
        <f>IF(acs2015_county_data[[#This Row],[Unemployment]]&gt;='Описательные характеристики'!$I$5,"да","нет")</f>
        <v>да</v>
      </c>
    </row>
    <row r="2984" spans="1:14" x14ac:dyDescent="0.35">
      <c r="A2984">
        <v>53059</v>
      </c>
      <c r="B2984" t="s">
        <v>75</v>
      </c>
      <c r="C2984" t="s">
        <v>1819</v>
      </c>
      <c r="D2984" s="2">
        <v>11243</v>
      </c>
      <c r="E2984" s="2">
        <v>29878</v>
      </c>
      <c r="F2984" s="3">
        <v>9.4</v>
      </c>
      <c r="G2984" s="3">
        <v>4742</v>
      </c>
      <c r="H2984" s="3">
        <v>73.099999999999994</v>
      </c>
      <c r="I2984" s="3">
        <v>20.399999999999999</v>
      </c>
      <c r="J2984" s="3">
        <v>6.3</v>
      </c>
      <c r="K2984" s="3">
        <v>0.2</v>
      </c>
      <c r="L2984" s="3">
        <v>8.3000000000000007</v>
      </c>
      <c r="M2984" t="str">
        <f>IF(acs2015_county_data[[#This Row],[PublicWork]]&gt;='Описательные характеристики'!$F$5,"да","нет")</f>
        <v>да</v>
      </c>
      <c r="N2984" t="str">
        <f>IF(acs2015_county_data[[#This Row],[Unemployment]]&gt;='Описательные характеристики'!$I$5,"да","нет")</f>
        <v>да</v>
      </c>
    </row>
    <row r="2985" spans="1:14" x14ac:dyDescent="0.35">
      <c r="A2985">
        <v>53061</v>
      </c>
      <c r="B2985" t="s">
        <v>75</v>
      </c>
      <c r="C2985" t="s">
        <v>1820</v>
      </c>
      <c r="D2985" s="2">
        <v>746653</v>
      </c>
      <c r="E2985" s="2">
        <v>32542</v>
      </c>
      <c r="F2985" s="3">
        <v>5.0999999999999996</v>
      </c>
      <c r="G2985" s="3">
        <v>367655</v>
      </c>
      <c r="H2985" s="3">
        <v>81.599999999999994</v>
      </c>
      <c r="I2985" s="3">
        <v>12.7</v>
      </c>
      <c r="J2985" s="3">
        <v>5.5</v>
      </c>
      <c r="K2985" s="3">
        <v>0.2</v>
      </c>
      <c r="L2985" s="3">
        <v>7.5</v>
      </c>
      <c r="M2985" t="str">
        <f>IF(acs2015_county_data[[#This Row],[PublicWork]]&gt;='Описательные характеристики'!$F$5,"да","нет")</f>
        <v>нет</v>
      </c>
      <c r="N2985" t="str">
        <f>IF(acs2015_county_data[[#This Row],[Unemployment]]&gt;='Описательные характеристики'!$I$5,"да","нет")</f>
        <v>нет</v>
      </c>
    </row>
    <row r="2986" spans="1:14" x14ac:dyDescent="0.35">
      <c r="A2986">
        <v>53063</v>
      </c>
      <c r="B2986" t="s">
        <v>75</v>
      </c>
      <c r="C2986" t="s">
        <v>1821</v>
      </c>
      <c r="D2986" s="2">
        <v>480832</v>
      </c>
      <c r="E2986" s="2">
        <v>26093</v>
      </c>
      <c r="F2986" s="3">
        <v>5.4</v>
      </c>
      <c r="G2986" s="3">
        <v>211522</v>
      </c>
      <c r="H2986" s="3">
        <v>78.400000000000006</v>
      </c>
      <c r="I2986" s="3">
        <v>15.5</v>
      </c>
      <c r="J2986" s="3">
        <v>6</v>
      </c>
      <c r="K2986" s="3">
        <v>0.2</v>
      </c>
      <c r="L2986" s="3">
        <v>8.4</v>
      </c>
      <c r="M2986" t="str">
        <f>IF(acs2015_county_data[[#This Row],[PublicWork]]&gt;='Описательные характеристики'!$F$5,"да","нет")</f>
        <v>нет</v>
      </c>
      <c r="N2986" t="str">
        <f>IF(acs2015_county_data[[#This Row],[Unemployment]]&gt;='Описательные характеристики'!$I$5,"да","нет")</f>
        <v>да</v>
      </c>
    </row>
    <row r="2987" spans="1:14" x14ac:dyDescent="0.35">
      <c r="A2987">
        <v>53065</v>
      </c>
      <c r="B2987" t="s">
        <v>75</v>
      </c>
      <c r="C2987" t="s">
        <v>701</v>
      </c>
      <c r="D2987" s="2">
        <v>43548</v>
      </c>
      <c r="E2987" s="2">
        <v>22221</v>
      </c>
      <c r="F2987" s="3">
        <v>6.4</v>
      </c>
      <c r="G2987" s="3">
        <v>16259</v>
      </c>
      <c r="H2987" s="3">
        <v>69.099999999999994</v>
      </c>
      <c r="I2987" s="3">
        <v>21.7</v>
      </c>
      <c r="J2987" s="3">
        <v>8.8000000000000007</v>
      </c>
      <c r="K2987" s="3">
        <v>0.4</v>
      </c>
      <c r="L2987" s="3">
        <v>9.4</v>
      </c>
      <c r="M2987" t="str">
        <f>IF(acs2015_county_data[[#This Row],[PublicWork]]&gt;='Описательные характеристики'!$F$5,"да","нет")</f>
        <v>да</v>
      </c>
      <c r="N2987" t="str">
        <f>IF(acs2015_county_data[[#This Row],[Unemployment]]&gt;='Описательные характеристики'!$I$5,"да","нет")</f>
        <v>да</v>
      </c>
    </row>
    <row r="2988" spans="1:14" x14ac:dyDescent="0.35">
      <c r="A2988">
        <v>53067</v>
      </c>
      <c r="B2988" t="s">
        <v>75</v>
      </c>
      <c r="C2988" t="s">
        <v>1131</v>
      </c>
      <c r="D2988" s="2">
        <v>262723</v>
      </c>
      <c r="E2988" s="2">
        <v>29741</v>
      </c>
      <c r="F2988" s="3">
        <v>4.7</v>
      </c>
      <c r="G2988" s="3">
        <v>119123</v>
      </c>
      <c r="H2988" s="3">
        <v>62.7</v>
      </c>
      <c r="I2988" s="3">
        <v>31</v>
      </c>
      <c r="J2988" s="3">
        <v>6.1</v>
      </c>
      <c r="K2988" s="3">
        <v>0.2</v>
      </c>
      <c r="L2988" s="3">
        <v>8.5</v>
      </c>
      <c r="M2988" t="str">
        <f>IF(acs2015_county_data[[#This Row],[PublicWork]]&gt;='Описательные характеристики'!$F$5,"да","нет")</f>
        <v>да</v>
      </c>
      <c r="N2988" t="str">
        <f>IF(acs2015_county_data[[#This Row],[Unemployment]]&gt;='Описательные характеристики'!$I$5,"да","нет")</f>
        <v>да</v>
      </c>
    </row>
    <row r="2989" spans="1:14" x14ac:dyDescent="0.35">
      <c r="A2989">
        <v>53069</v>
      </c>
      <c r="B2989" t="s">
        <v>75</v>
      </c>
      <c r="C2989" t="s">
        <v>1822</v>
      </c>
      <c r="D2989" s="2">
        <v>4035</v>
      </c>
      <c r="E2989" s="2">
        <v>24483</v>
      </c>
      <c r="F2989" s="3">
        <v>5.7</v>
      </c>
      <c r="G2989" s="3">
        <v>1248</v>
      </c>
      <c r="H2989" s="3">
        <v>63.4</v>
      </c>
      <c r="I2989" s="3">
        <v>27.4</v>
      </c>
      <c r="J2989" s="3">
        <v>9.1999999999999993</v>
      </c>
      <c r="K2989" s="3">
        <v>0</v>
      </c>
      <c r="L2989" s="3">
        <v>10.6</v>
      </c>
      <c r="M2989" t="str">
        <f>IF(acs2015_county_data[[#This Row],[PublicWork]]&gt;='Описательные характеристики'!$F$5,"да","нет")</f>
        <v>да</v>
      </c>
      <c r="N2989" t="str">
        <f>IF(acs2015_county_data[[#This Row],[Unemployment]]&gt;='Описательные характеристики'!$I$5,"да","нет")</f>
        <v>да</v>
      </c>
    </row>
    <row r="2990" spans="1:14" x14ac:dyDescent="0.35">
      <c r="A2990">
        <v>53071</v>
      </c>
      <c r="B2990" t="s">
        <v>75</v>
      </c>
      <c r="C2990" t="s">
        <v>1823</v>
      </c>
      <c r="D2990" s="2">
        <v>59726</v>
      </c>
      <c r="E2990" s="2">
        <v>23520</v>
      </c>
      <c r="F2990" s="3">
        <v>4.3</v>
      </c>
      <c r="G2990" s="3">
        <v>26112</v>
      </c>
      <c r="H2990" s="3">
        <v>74.2</v>
      </c>
      <c r="I2990" s="3">
        <v>19.100000000000001</v>
      </c>
      <c r="J2990" s="3">
        <v>6.5</v>
      </c>
      <c r="K2990" s="3">
        <v>0.2</v>
      </c>
      <c r="L2990" s="3">
        <v>6.4</v>
      </c>
      <c r="M2990" t="str">
        <f>IF(acs2015_county_data[[#This Row],[PublicWork]]&gt;='Описательные характеристики'!$F$5,"да","нет")</f>
        <v>да</v>
      </c>
      <c r="N2990" t="str">
        <f>IF(acs2015_county_data[[#This Row],[Unemployment]]&gt;='Описательные характеристики'!$I$5,"да","нет")</f>
        <v>нет</v>
      </c>
    </row>
    <row r="2991" spans="1:14" x14ac:dyDescent="0.35">
      <c r="A2991">
        <v>53073</v>
      </c>
      <c r="B2991" t="s">
        <v>75</v>
      </c>
      <c r="C2991" t="s">
        <v>1824</v>
      </c>
      <c r="D2991" s="2">
        <v>207100</v>
      </c>
      <c r="E2991" s="2">
        <v>27223</v>
      </c>
      <c r="F2991" s="3">
        <v>6.4</v>
      </c>
      <c r="G2991" s="3">
        <v>98265</v>
      </c>
      <c r="H2991" s="3">
        <v>75.099999999999994</v>
      </c>
      <c r="I2991" s="3">
        <v>18</v>
      </c>
      <c r="J2991" s="3">
        <v>6.6</v>
      </c>
      <c r="K2991" s="3">
        <v>0.3</v>
      </c>
      <c r="L2991" s="3">
        <v>8.1999999999999993</v>
      </c>
      <c r="M2991" t="str">
        <f>IF(acs2015_county_data[[#This Row],[PublicWork]]&gt;='Описательные характеристики'!$F$5,"да","нет")</f>
        <v>да</v>
      </c>
      <c r="N2991" t="str">
        <f>IF(acs2015_county_data[[#This Row],[Unemployment]]&gt;='Описательные характеристики'!$I$5,"да","нет")</f>
        <v>да</v>
      </c>
    </row>
    <row r="2992" spans="1:14" x14ac:dyDescent="0.35">
      <c r="A2992">
        <v>53075</v>
      </c>
      <c r="B2992" t="s">
        <v>75</v>
      </c>
      <c r="C2992" t="s">
        <v>1825</v>
      </c>
      <c r="D2992" s="2">
        <v>46737</v>
      </c>
      <c r="E2992" s="2">
        <v>21188</v>
      </c>
      <c r="F2992" s="3">
        <v>5.8</v>
      </c>
      <c r="G2992" s="3">
        <v>21665</v>
      </c>
      <c r="H2992" s="3">
        <v>56.1</v>
      </c>
      <c r="I2992" s="3">
        <v>39.4</v>
      </c>
      <c r="J2992" s="3">
        <v>4.4000000000000004</v>
      </c>
      <c r="K2992" s="3">
        <v>0.1</v>
      </c>
      <c r="L2992" s="3">
        <v>8.8000000000000007</v>
      </c>
      <c r="M2992" t="str">
        <f>IF(acs2015_county_data[[#This Row],[PublicWork]]&gt;='Описательные характеристики'!$F$5,"да","нет")</f>
        <v>да</v>
      </c>
      <c r="N2992" t="str">
        <f>IF(acs2015_county_data[[#This Row],[Unemployment]]&gt;='Описательные характеристики'!$I$5,"да","нет")</f>
        <v>да</v>
      </c>
    </row>
    <row r="2993" spans="1:14" x14ac:dyDescent="0.35">
      <c r="A2993">
        <v>53077</v>
      </c>
      <c r="B2993" t="s">
        <v>75</v>
      </c>
      <c r="C2993" t="s">
        <v>1826</v>
      </c>
      <c r="D2993" s="2">
        <v>247408</v>
      </c>
      <c r="E2993" s="2">
        <v>19793</v>
      </c>
      <c r="F2993" s="3">
        <v>3.7</v>
      </c>
      <c r="G2993" s="3">
        <v>101169</v>
      </c>
      <c r="H2993" s="3">
        <v>79.5</v>
      </c>
      <c r="I2993" s="3">
        <v>14.8</v>
      </c>
      <c r="J2993" s="3">
        <v>5.6</v>
      </c>
      <c r="K2993" s="3">
        <v>0.1</v>
      </c>
      <c r="L2993" s="3">
        <v>9</v>
      </c>
      <c r="M2993" t="str">
        <f>IF(acs2015_county_data[[#This Row],[PublicWork]]&gt;='Описательные характеристики'!$F$5,"да","нет")</f>
        <v>нет</v>
      </c>
      <c r="N2993" t="str">
        <f>IF(acs2015_county_data[[#This Row],[Unemployment]]&gt;='Описательные характеристики'!$I$5,"да","нет")</f>
        <v>да</v>
      </c>
    </row>
    <row r="2994" spans="1:14" x14ac:dyDescent="0.35">
      <c r="A2994">
        <v>54001</v>
      </c>
      <c r="B2994" t="s">
        <v>1827</v>
      </c>
      <c r="C2994" t="s">
        <v>17</v>
      </c>
      <c r="D2994" s="2">
        <v>16731</v>
      </c>
      <c r="E2994" s="2">
        <v>18039</v>
      </c>
      <c r="F2994" s="3">
        <v>3.9</v>
      </c>
      <c r="G2994" s="3">
        <v>6345</v>
      </c>
      <c r="H2994" s="3">
        <v>79.400000000000006</v>
      </c>
      <c r="I2994" s="3">
        <v>16.7</v>
      </c>
      <c r="J2994" s="3">
        <v>3.9</v>
      </c>
      <c r="K2994" s="3">
        <v>0</v>
      </c>
      <c r="L2994" s="3">
        <v>9</v>
      </c>
      <c r="M2994" t="str">
        <f>IF(acs2015_county_data[[#This Row],[PublicWork]]&gt;='Описательные характеристики'!$F$5,"да","нет")</f>
        <v>да</v>
      </c>
      <c r="N2994" t="str">
        <f>IF(acs2015_county_data[[#This Row],[Unemployment]]&gt;='Описательные характеристики'!$I$5,"да","нет")</f>
        <v>да</v>
      </c>
    </row>
    <row r="2995" spans="1:14" x14ac:dyDescent="0.35">
      <c r="A2995">
        <v>54003</v>
      </c>
      <c r="B2995" t="s">
        <v>1827</v>
      </c>
      <c r="C2995" t="s">
        <v>1449</v>
      </c>
      <c r="D2995" s="2">
        <v>108724</v>
      </c>
      <c r="E2995" s="2">
        <v>26469</v>
      </c>
      <c r="F2995" s="3">
        <v>2.9</v>
      </c>
      <c r="G2995" s="3">
        <v>49941</v>
      </c>
      <c r="H2995" s="3">
        <v>72.599999999999994</v>
      </c>
      <c r="I2995" s="3">
        <v>23.1</v>
      </c>
      <c r="J2995" s="3">
        <v>4.2</v>
      </c>
      <c r="K2995" s="3">
        <v>0.1</v>
      </c>
      <c r="L2995" s="3">
        <v>9.6999999999999993</v>
      </c>
      <c r="M2995" t="str">
        <f>IF(acs2015_county_data[[#This Row],[PublicWork]]&gt;='Описательные характеристики'!$F$5,"да","нет")</f>
        <v>да</v>
      </c>
      <c r="N2995" t="str">
        <f>IF(acs2015_county_data[[#This Row],[Unemployment]]&gt;='Описательные характеристики'!$I$5,"да","нет")</f>
        <v>да</v>
      </c>
    </row>
    <row r="2996" spans="1:14" x14ac:dyDescent="0.35">
      <c r="A2996">
        <v>54005</v>
      </c>
      <c r="B2996" t="s">
        <v>1827</v>
      </c>
      <c r="C2996" t="s">
        <v>128</v>
      </c>
      <c r="D2996" s="2">
        <v>24000</v>
      </c>
      <c r="E2996" s="2">
        <v>21387</v>
      </c>
      <c r="F2996" s="3">
        <v>1.5</v>
      </c>
      <c r="G2996" s="3">
        <v>7592</v>
      </c>
      <c r="H2996" s="3">
        <v>77.7</v>
      </c>
      <c r="I2996" s="3">
        <v>17.8</v>
      </c>
      <c r="J2996" s="3">
        <v>4.5</v>
      </c>
      <c r="K2996" s="3">
        <v>0</v>
      </c>
      <c r="L2996" s="3">
        <v>9.1999999999999993</v>
      </c>
      <c r="M2996" t="str">
        <f>IF(acs2015_county_data[[#This Row],[PublicWork]]&gt;='Описательные характеристики'!$F$5,"да","нет")</f>
        <v>да</v>
      </c>
      <c r="N2996" t="str">
        <f>IF(acs2015_county_data[[#This Row],[Unemployment]]&gt;='Описательные характеристики'!$I$5,"да","нет")</f>
        <v>да</v>
      </c>
    </row>
    <row r="2997" spans="1:14" x14ac:dyDescent="0.35">
      <c r="A2997">
        <v>54007</v>
      </c>
      <c r="B2997" t="s">
        <v>1827</v>
      </c>
      <c r="C2997" t="s">
        <v>1828</v>
      </c>
      <c r="D2997" s="2">
        <v>14466</v>
      </c>
      <c r="E2997" s="2">
        <v>19409</v>
      </c>
      <c r="F2997" s="3">
        <v>4.8</v>
      </c>
      <c r="G2997" s="3">
        <v>5280</v>
      </c>
      <c r="H2997" s="3">
        <v>74.8</v>
      </c>
      <c r="I2997" s="3">
        <v>18.600000000000001</v>
      </c>
      <c r="J2997" s="3">
        <v>6.1</v>
      </c>
      <c r="K2997" s="3">
        <v>0.5</v>
      </c>
      <c r="L2997" s="3">
        <v>14.4</v>
      </c>
      <c r="M2997" t="str">
        <f>IF(acs2015_county_data[[#This Row],[PublicWork]]&gt;='Описательные характеристики'!$F$5,"да","нет")</f>
        <v>да</v>
      </c>
      <c r="N2997" t="str">
        <f>IF(acs2015_county_data[[#This Row],[Unemployment]]&gt;='Описательные характеристики'!$I$5,"да","нет")</f>
        <v>да</v>
      </c>
    </row>
    <row r="2998" spans="1:14" x14ac:dyDescent="0.35">
      <c r="A2998">
        <v>54009</v>
      </c>
      <c r="B2998" t="s">
        <v>1827</v>
      </c>
      <c r="C2998" t="s">
        <v>1829</v>
      </c>
      <c r="D2998" s="2">
        <v>23665</v>
      </c>
      <c r="E2998" s="2">
        <v>23819</v>
      </c>
      <c r="F2998" s="3">
        <v>3.7</v>
      </c>
      <c r="G2998" s="3">
        <v>10360</v>
      </c>
      <c r="H2998" s="3">
        <v>79.5</v>
      </c>
      <c r="I2998" s="3">
        <v>16.5</v>
      </c>
      <c r="J2998" s="3">
        <v>4</v>
      </c>
      <c r="K2998" s="3">
        <v>0</v>
      </c>
      <c r="L2998" s="3">
        <v>6.4</v>
      </c>
      <c r="M2998" t="str">
        <f>IF(acs2015_county_data[[#This Row],[PublicWork]]&gt;='Описательные характеристики'!$F$5,"да","нет")</f>
        <v>да</v>
      </c>
      <c r="N2998" t="str">
        <f>IF(acs2015_county_data[[#This Row],[Unemployment]]&gt;='Описательные характеристики'!$I$5,"да","нет")</f>
        <v>нет</v>
      </c>
    </row>
    <row r="2999" spans="1:14" x14ac:dyDescent="0.35">
      <c r="A2999">
        <v>54011</v>
      </c>
      <c r="B2999" t="s">
        <v>1827</v>
      </c>
      <c r="C2999" t="s">
        <v>1830</v>
      </c>
      <c r="D2999" s="2">
        <v>96824</v>
      </c>
      <c r="E2999" s="2">
        <v>23908</v>
      </c>
      <c r="F2999" s="3">
        <v>2.2000000000000002</v>
      </c>
      <c r="G2999" s="3">
        <v>40103</v>
      </c>
      <c r="H2999" s="3">
        <v>79.400000000000006</v>
      </c>
      <c r="I2999" s="3">
        <v>16.8</v>
      </c>
      <c r="J2999" s="3">
        <v>3.8</v>
      </c>
      <c r="K2999" s="3">
        <v>0</v>
      </c>
      <c r="L2999" s="3">
        <v>6.8</v>
      </c>
      <c r="M2999" t="str">
        <f>IF(acs2015_county_data[[#This Row],[PublicWork]]&gt;='Описательные характеристики'!$F$5,"да","нет")</f>
        <v>да</v>
      </c>
      <c r="N2999" t="str">
        <f>IF(acs2015_county_data[[#This Row],[Unemployment]]&gt;='Описательные характеристики'!$I$5,"да","нет")</f>
        <v>нет</v>
      </c>
    </row>
    <row r="3000" spans="1:14" x14ac:dyDescent="0.35">
      <c r="A3000">
        <v>54013</v>
      </c>
      <c r="B3000" t="s">
        <v>1827</v>
      </c>
      <c r="C3000" t="s">
        <v>22</v>
      </c>
      <c r="D3000" s="2">
        <v>7557</v>
      </c>
      <c r="E3000" s="2">
        <v>19635</v>
      </c>
      <c r="F3000" s="3">
        <v>1</v>
      </c>
      <c r="G3000" s="3">
        <v>2511</v>
      </c>
      <c r="H3000" s="3">
        <v>77.599999999999994</v>
      </c>
      <c r="I3000" s="3">
        <v>17.600000000000001</v>
      </c>
      <c r="J3000" s="3">
        <v>3.3</v>
      </c>
      <c r="K3000" s="3">
        <v>1.5</v>
      </c>
      <c r="L3000" s="3">
        <v>18.100000000000001</v>
      </c>
      <c r="M3000" t="str">
        <f>IF(acs2015_county_data[[#This Row],[PublicWork]]&gt;='Описательные характеристики'!$F$5,"да","нет")</f>
        <v>да</v>
      </c>
      <c r="N3000" t="str">
        <f>IF(acs2015_county_data[[#This Row],[Unemployment]]&gt;='Описательные характеристики'!$I$5,"да","нет")</f>
        <v>да</v>
      </c>
    </row>
    <row r="3001" spans="1:14" x14ac:dyDescent="0.35">
      <c r="A3001">
        <v>54015</v>
      </c>
      <c r="B3001" t="s">
        <v>1827</v>
      </c>
      <c r="C3001" t="s">
        <v>28</v>
      </c>
      <c r="D3001" s="2">
        <v>9141</v>
      </c>
      <c r="E3001" s="2">
        <v>16827</v>
      </c>
      <c r="F3001" s="3">
        <v>3</v>
      </c>
      <c r="G3001" s="3">
        <v>2891</v>
      </c>
      <c r="H3001" s="3">
        <v>69.099999999999994</v>
      </c>
      <c r="I3001" s="3">
        <v>22.9</v>
      </c>
      <c r="J3001" s="3">
        <v>7</v>
      </c>
      <c r="K3001" s="3">
        <v>1</v>
      </c>
      <c r="L3001" s="3">
        <v>12.3</v>
      </c>
      <c r="M3001" t="str">
        <f>IF(acs2015_county_data[[#This Row],[PublicWork]]&gt;='Описательные характеристики'!$F$5,"да","нет")</f>
        <v>да</v>
      </c>
      <c r="N3001" t="str">
        <f>IF(acs2015_county_data[[#This Row],[Unemployment]]&gt;='Описательные характеристики'!$I$5,"да","нет")</f>
        <v>да</v>
      </c>
    </row>
    <row r="3002" spans="1:14" x14ac:dyDescent="0.35">
      <c r="A3002">
        <v>54017</v>
      </c>
      <c r="B3002" t="s">
        <v>1827</v>
      </c>
      <c r="C3002" t="s">
        <v>1831</v>
      </c>
      <c r="D3002" s="2">
        <v>8201</v>
      </c>
      <c r="E3002" s="2">
        <v>19992</v>
      </c>
      <c r="F3002" s="3">
        <v>4</v>
      </c>
      <c r="G3002" s="3">
        <v>2831</v>
      </c>
      <c r="H3002" s="3">
        <v>72.7</v>
      </c>
      <c r="I3002" s="3">
        <v>21.6</v>
      </c>
      <c r="J3002" s="3">
        <v>5.7</v>
      </c>
      <c r="K3002" s="3">
        <v>0</v>
      </c>
      <c r="L3002" s="3">
        <v>6.5</v>
      </c>
      <c r="M3002" t="str">
        <f>IF(acs2015_county_data[[#This Row],[PublicWork]]&gt;='Описательные характеристики'!$F$5,"да","нет")</f>
        <v>да</v>
      </c>
      <c r="N3002" t="str">
        <f>IF(acs2015_county_data[[#This Row],[Unemployment]]&gt;='Описательные характеристики'!$I$5,"да","нет")</f>
        <v>нет</v>
      </c>
    </row>
    <row r="3003" spans="1:14" x14ac:dyDescent="0.35">
      <c r="A3003">
        <v>54019</v>
      </c>
      <c r="B3003" t="s">
        <v>1827</v>
      </c>
      <c r="C3003" t="s">
        <v>42</v>
      </c>
      <c r="D3003" s="2">
        <v>45534</v>
      </c>
      <c r="E3003" s="2">
        <v>19232</v>
      </c>
      <c r="F3003" s="3">
        <v>1.6</v>
      </c>
      <c r="G3003" s="3">
        <v>15837</v>
      </c>
      <c r="H3003" s="3">
        <v>74.8</v>
      </c>
      <c r="I3003" s="3">
        <v>21.7</v>
      </c>
      <c r="J3003" s="3">
        <v>3.5</v>
      </c>
      <c r="K3003" s="3">
        <v>0.1</v>
      </c>
      <c r="L3003" s="3">
        <v>9.1999999999999993</v>
      </c>
      <c r="M3003" t="str">
        <f>IF(acs2015_county_data[[#This Row],[PublicWork]]&gt;='Описательные характеристики'!$F$5,"да","нет")</f>
        <v>да</v>
      </c>
      <c r="N3003" t="str">
        <f>IF(acs2015_county_data[[#This Row],[Unemployment]]&gt;='Описательные характеристики'!$I$5,"да","нет")</f>
        <v>да</v>
      </c>
    </row>
    <row r="3004" spans="1:14" x14ac:dyDescent="0.35">
      <c r="A3004">
        <v>54021</v>
      </c>
      <c r="B3004" t="s">
        <v>1827</v>
      </c>
      <c r="C3004" t="s">
        <v>398</v>
      </c>
      <c r="D3004" s="2">
        <v>8644</v>
      </c>
      <c r="E3004" s="2">
        <v>17115</v>
      </c>
      <c r="F3004" s="3">
        <v>7.7</v>
      </c>
      <c r="G3004" s="3">
        <v>2791</v>
      </c>
      <c r="H3004" s="3">
        <v>66.8</v>
      </c>
      <c r="I3004" s="3">
        <v>29.8</v>
      </c>
      <c r="J3004" s="3">
        <v>3.4</v>
      </c>
      <c r="K3004" s="3">
        <v>0</v>
      </c>
      <c r="L3004" s="3">
        <v>9.4</v>
      </c>
      <c r="M3004" t="str">
        <f>IF(acs2015_county_data[[#This Row],[PublicWork]]&gt;='Описательные характеристики'!$F$5,"да","нет")</f>
        <v>да</v>
      </c>
      <c r="N3004" t="str">
        <f>IF(acs2015_county_data[[#This Row],[Unemployment]]&gt;='Описательные характеристики'!$I$5,"да","нет")</f>
        <v>да</v>
      </c>
    </row>
    <row r="3005" spans="1:14" x14ac:dyDescent="0.35">
      <c r="A3005">
        <v>54023</v>
      </c>
      <c r="B3005" t="s">
        <v>1827</v>
      </c>
      <c r="C3005" t="s">
        <v>144</v>
      </c>
      <c r="D3005" s="2">
        <v>11815</v>
      </c>
      <c r="E3005" s="2">
        <v>20052</v>
      </c>
      <c r="F3005" s="3">
        <v>3.8</v>
      </c>
      <c r="G3005" s="3">
        <v>4974</v>
      </c>
      <c r="H3005" s="3">
        <v>77.7</v>
      </c>
      <c r="I3005" s="3">
        <v>15.1</v>
      </c>
      <c r="J3005" s="3">
        <v>7.1</v>
      </c>
      <c r="K3005" s="3">
        <v>0</v>
      </c>
      <c r="L3005" s="3">
        <v>6.7</v>
      </c>
      <c r="M3005" t="str">
        <f>IF(acs2015_county_data[[#This Row],[PublicWork]]&gt;='Описательные характеристики'!$F$5,"да","нет")</f>
        <v>нет</v>
      </c>
      <c r="N3005" t="str">
        <f>IF(acs2015_county_data[[#This Row],[Unemployment]]&gt;='Описательные характеристики'!$I$5,"да","нет")</f>
        <v>нет</v>
      </c>
    </row>
    <row r="3006" spans="1:14" x14ac:dyDescent="0.35">
      <c r="A3006">
        <v>54025</v>
      </c>
      <c r="B3006" t="s">
        <v>1827</v>
      </c>
      <c r="C3006" t="s">
        <v>1832</v>
      </c>
      <c r="D3006" s="2">
        <v>35666</v>
      </c>
      <c r="E3006" s="2">
        <v>22340</v>
      </c>
      <c r="F3006" s="3">
        <v>3.1</v>
      </c>
      <c r="G3006" s="3">
        <v>14116</v>
      </c>
      <c r="H3006" s="3">
        <v>76.3</v>
      </c>
      <c r="I3006" s="3">
        <v>16.399999999999999</v>
      </c>
      <c r="J3006" s="3">
        <v>7.1</v>
      </c>
      <c r="K3006" s="3">
        <v>0.1</v>
      </c>
      <c r="L3006" s="3">
        <v>7.2</v>
      </c>
      <c r="M3006" t="str">
        <f>IF(acs2015_county_data[[#This Row],[PublicWork]]&gt;='Описательные характеристики'!$F$5,"да","нет")</f>
        <v>да</v>
      </c>
      <c r="N3006" t="str">
        <f>IF(acs2015_county_data[[#This Row],[Unemployment]]&gt;='Описательные характеристики'!$I$5,"да","нет")</f>
        <v>нет</v>
      </c>
    </row>
    <row r="3007" spans="1:14" x14ac:dyDescent="0.35">
      <c r="A3007">
        <v>54027</v>
      </c>
      <c r="B3007" t="s">
        <v>1827</v>
      </c>
      <c r="C3007" t="s">
        <v>850</v>
      </c>
      <c r="D3007" s="2">
        <v>23542</v>
      </c>
      <c r="E3007" s="2">
        <v>18477</v>
      </c>
      <c r="F3007" s="3">
        <v>1.6</v>
      </c>
      <c r="G3007" s="3">
        <v>8878</v>
      </c>
      <c r="H3007" s="3">
        <v>74.099999999999994</v>
      </c>
      <c r="I3007" s="3">
        <v>17.5</v>
      </c>
      <c r="J3007" s="3">
        <v>8.1999999999999993</v>
      </c>
      <c r="K3007" s="3">
        <v>0.2</v>
      </c>
      <c r="L3007" s="3">
        <v>8.1</v>
      </c>
      <c r="M3007" t="str">
        <f>IF(acs2015_county_data[[#This Row],[PublicWork]]&gt;='Описательные характеристики'!$F$5,"да","нет")</f>
        <v>да</v>
      </c>
      <c r="N3007" t="str">
        <f>IF(acs2015_county_data[[#This Row],[Unemployment]]&gt;='Описательные характеристики'!$I$5,"да","нет")</f>
        <v>да</v>
      </c>
    </row>
    <row r="3008" spans="1:14" x14ac:dyDescent="0.35">
      <c r="A3008">
        <v>54029</v>
      </c>
      <c r="B3008" t="s">
        <v>1827</v>
      </c>
      <c r="C3008" t="s">
        <v>406</v>
      </c>
      <c r="D3008" s="2">
        <v>30201</v>
      </c>
      <c r="E3008" s="2">
        <v>23845</v>
      </c>
      <c r="F3008" s="3">
        <v>1.8</v>
      </c>
      <c r="G3008" s="3">
        <v>13236</v>
      </c>
      <c r="H3008" s="3">
        <v>83.7</v>
      </c>
      <c r="I3008" s="3">
        <v>13.2</v>
      </c>
      <c r="J3008" s="3">
        <v>3</v>
      </c>
      <c r="K3008" s="3">
        <v>0</v>
      </c>
      <c r="L3008" s="3">
        <v>7.2</v>
      </c>
      <c r="M3008" t="str">
        <f>IF(acs2015_county_data[[#This Row],[PublicWork]]&gt;='Описательные характеристики'!$F$5,"да","нет")</f>
        <v>нет</v>
      </c>
      <c r="N3008" t="str">
        <f>IF(acs2015_county_data[[#This Row],[Unemployment]]&gt;='Описательные характеристики'!$I$5,"да","нет")</f>
        <v>нет</v>
      </c>
    </row>
    <row r="3009" spans="1:14" x14ac:dyDescent="0.35">
      <c r="A3009">
        <v>54031</v>
      </c>
      <c r="B3009" t="s">
        <v>1827</v>
      </c>
      <c r="C3009" t="s">
        <v>1833</v>
      </c>
      <c r="D3009" s="2">
        <v>13936</v>
      </c>
      <c r="E3009" s="2">
        <v>22195</v>
      </c>
      <c r="F3009" s="3">
        <v>2.2999999999999998</v>
      </c>
      <c r="G3009" s="3">
        <v>6129</v>
      </c>
      <c r="H3009" s="3">
        <v>78.8</v>
      </c>
      <c r="I3009" s="3">
        <v>15.8</v>
      </c>
      <c r="J3009" s="3">
        <v>5.0999999999999996</v>
      </c>
      <c r="K3009" s="3">
        <v>0.3</v>
      </c>
      <c r="L3009" s="3">
        <v>7.9</v>
      </c>
      <c r="M3009" t="str">
        <f>IF(acs2015_county_data[[#This Row],[PublicWork]]&gt;='Описательные характеристики'!$F$5,"да","нет")</f>
        <v>нет</v>
      </c>
      <c r="N3009" t="str">
        <f>IF(acs2015_county_data[[#This Row],[Unemployment]]&gt;='Описательные характеристики'!$I$5,"да","нет")</f>
        <v>да</v>
      </c>
    </row>
    <row r="3010" spans="1:14" x14ac:dyDescent="0.35">
      <c r="A3010">
        <v>54033</v>
      </c>
      <c r="B3010" t="s">
        <v>1827</v>
      </c>
      <c r="C3010" t="s">
        <v>568</v>
      </c>
      <c r="D3010" s="2">
        <v>68998</v>
      </c>
      <c r="E3010" s="2">
        <v>24415</v>
      </c>
      <c r="F3010" s="3">
        <v>2.4</v>
      </c>
      <c r="G3010" s="3">
        <v>29587</v>
      </c>
      <c r="H3010" s="3">
        <v>75</v>
      </c>
      <c r="I3010" s="3">
        <v>19.3</v>
      </c>
      <c r="J3010" s="3">
        <v>5.6</v>
      </c>
      <c r="K3010" s="3">
        <v>0.1</v>
      </c>
      <c r="L3010" s="3">
        <v>7.4</v>
      </c>
      <c r="M3010" t="str">
        <f>IF(acs2015_county_data[[#This Row],[PublicWork]]&gt;='Описательные характеристики'!$F$5,"да","нет")</f>
        <v>да</v>
      </c>
      <c r="N3010" t="str">
        <f>IF(acs2015_county_data[[#This Row],[Unemployment]]&gt;='Описательные характеристики'!$I$5,"да","нет")</f>
        <v>нет</v>
      </c>
    </row>
    <row r="3011" spans="1:14" x14ac:dyDescent="0.35">
      <c r="A3011">
        <v>54035</v>
      </c>
      <c r="B3011" t="s">
        <v>1827</v>
      </c>
      <c r="C3011" t="s">
        <v>49</v>
      </c>
      <c r="D3011" s="2">
        <v>29256</v>
      </c>
      <c r="E3011" s="2">
        <v>23090</v>
      </c>
      <c r="F3011" s="3">
        <v>1</v>
      </c>
      <c r="G3011" s="3">
        <v>11050</v>
      </c>
      <c r="H3011" s="3">
        <v>75</v>
      </c>
      <c r="I3011" s="3">
        <v>19.5</v>
      </c>
      <c r="J3011" s="3">
        <v>5.4</v>
      </c>
      <c r="K3011" s="3">
        <v>0.1</v>
      </c>
      <c r="L3011" s="3">
        <v>6.8</v>
      </c>
      <c r="M3011" t="str">
        <f>IF(acs2015_county_data[[#This Row],[PublicWork]]&gt;='Описательные характеристики'!$F$5,"да","нет")</f>
        <v>да</v>
      </c>
      <c r="N3011" t="str">
        <f>IF(acs2015_county_data[[#This Row],[Unemployment]]&gt;='Описательные характеристики'!$I$5,"да","нет")</f>
        <v>нет</v>
      </c>
    </row>
    <row r="3012" spans="1:14" x14ac:dyDescent="0.35">
      <c r="A3012">
        <v>54037</v>
      </c>
      <c r="B3012" t="s">
        <v>1827</v>
      </c>
      <c r="C3012" t="s">
        <v>50</v>
      </c>
      <c r="D3012" s="2">
        <v>55214</v>
      </c>
      <c r="E3012" s="2">
        <v>30912</v>
      </c>
      <c r="F3012" s="3">
        <v>5</v>
      </c>
      <c r="G3012" s="3">
        <v>26418</v>
      </c>
      <c r="H3012" s="3">
        <v>71.599999999999994</v>
      </c>
      <c r="I3012" s="3">
        <v>23.4</v>
      </c>
      <c r="J3012" s="3">
        <v>4.8</v>
      </c>
      <c r="K3012" s="3">
        <v>0.2</v>
      </c>
      <c r="L3012" s="3">
        <v>8.4</v>
      </c>
      <c r="M3012" t="str">
        <f>IF(acs2015_county_data[[#This Row],[PublicWork]]&gt;='Описательные характеристики'!$F$5,"да","нет")</f>
        <v>да</v>
      </c>
      <c r="N3012" t="str">
        <f>IF(acs2015_county_data[[#This Row],[Unemployment]]&gt;='Описательные характеристики'!$I$5,"да","нет")</f>
        <v>да</v>
      </c>
    </row>
    <row r="3013" spans="1:14" x14ac:dyDescent="0.35">
      <c r="A3013">
        <v>54039</v>
      </c>
      <c r="B3013" t="s">
        <v>1827</v>
      </c>
      <c r="C3013" t="s">
        <v>1834</v>
      </c>
      <c r="D3013" s="2">
        <v>190781</v>
      </c>
      <c r="E3013" s="2">
        <v>27642</v>
      </c>
      <c r="F3013" s="3">
        <v>2.8</v>
      </c>
      <c r="G3013" s="3">
        <v>84406</v>
      </c>
      <c r="H3013" s="3">
        <v>75.7</v>
      </c>
      <c r="I3013" s="3">
        <v>19.899999999999999</v>
      </c>
      <c r="J3013" s="3">
        <v>4.2</v>
      </c>
      <c r="K3013" s="3">
        <v>0.2</v>
      </c>
      <c r="L3013" s="3">
        <v>7</v>
      </c>
      <c r="M3013" t="str">
        <f>IF(acs2015_county_data[[#This Row],[PublicWork]]&gt;='Описательные характеристики'!$F$5,"да","нет")</f>
        <v>да</v>
      </c>
      <c r="N3013" t="str">
        <f>IF(acs2015_county_data[[#This Row],[Unemployment]]&gt;='Описательные характеристики'!$I$5,"да","нет")</f>
        <v>нет</v>
      </c>
    </row>
    <row r="3014" spans="1:14" x14ac:dyDescent="0.35">
      <c r="A3014">
        <v>54041</v>
      </c>
      <c r="B3014" t="s">
        <v>1827</v>
      </c>
      <c r="C3014" t="s">
        <v>492</v>
      </c>
      <c r="D3014" s="2">
        <v>16434</v>
      </c>
      <c r="E3014" s="2">
        <v>21067</v>
      </c>
      <c r="F3014" s="3">
        <v>2.1</v>
      </c>
      <c r="G3014" s="3">
        <v>6259</v>
      </c>
      <c r="H3014" s="3">
        <v>79</v>
      </c>
      <c r="I3014" s="3">
        <v>15.9</v>
      </c>
      <c r="J3014" s="3">
        <v>5</v>
      </c>
      <c r="K3014" s="3">
        <v>0.1</v>
      </c>
      <c r="L3014" s="3">
        <v>7.2</v>
      </c>
      <c r="M3014" t="str">
        <f>IF(acs2015_county_data[[#This Row],[PublicWork]]&gt;='Описательные характеристики'!$F$5,"да","нет")</f>
        <v>нет</v>
      </c>
      <c r="N3014" t="str">
        <f>IF(acs2015_county_data[[#This Row],[Unemployment]]&gt;='Описательные характеристики'!$I$5,"да","нет")</f>
        <v>нет</v>
      </c>
    </row>
    <row r="3015" spans="1:14" x14ac:dyDescent="0.35">
      <c r="A3015">
        <v>54043</v>
      </c>
      <c r="B3015" t="s">
        <v>1827</v>
      </c>
      <c r="C3015" t="s">
        <v>152</v>
      </c>
      <c r="D3015" s="2">
        <v>21560</v>
      </c>
      <c r="E3015" s="2">
        <v>19114</v>
      </c>
      <c r="F3015" s="3">
        <v>1.7</v>
      </c>
      <c r="G3015" s="3">
        <v>7245</v>
      </c>
      <c r="H3015" s="3">
        <v>76.900000000000006</v>
      </c>
      <c r="I3015" s="3">
        <v>20.399999999999999</v>
      </c>
      <c r="J3015" s="3">
        <v>2.7</v>
      </c>
      <c r="K3015" s="3">
        <v>0</v>
      </c>
      <c r="L3015" s="3">
        <v>10.1</v>
      </c>
      <c r="M3015" t="str">
        <f>IF(acs2015_county_data[[#This Row],[PublicWork]]&gt;='Описательные характеристики'!$F$5,"да","нет")</f>
        <v>да</v>
      </c>
      <c r="N3015" t="str">
        <f>IF(acs2015_county_data[[#This Row],[Unemployment]]&gt;='Описательные характеристики'!$I$5,"да","нет")</f>
        <v>да</v>
      </c>
    </row>
    <row r="3016" spans="1:14" x14ac:dyDescent="0.35">
      <c r="A3016">
        <v>54045</v>
      </c>
      <c r="B3016" t="s">
        <v>1827</v>
      </c>
      <c r="C3016" t="s">
        <v>154</v>
      </c>
      <c r="D3016" s="2">
        <v>35760</v>
      </c>
      <c r="E3016" s="2">
        <v>20477</v>
      </c>
      <c r="F3016" s="3">
        <v>1.4</v>
      </c>
      <c r="G3016" s="3">
        <v>11765</v>
      </c>
      <c r="H3016" s="3">
        <v>77.8</v>
      </c>
      <c r="I3016" s="3">
        <v>17.8</v>
      </c>
      <c r="J3016" s="3">
        <v>4.4000000000000004</v>
      </c>
      <c r="K3016" s="3">
        <v>0</v>
      </c>
      <c r="L3016" s="3">
        <v>10.9</v>
      </c>
      <c r="M3016" t="str">
        <f>IF(acs2015_county_data[[#This Row],[PublicWork]]&gt;='Описательные характеристики'!$F$5,"да","нет")</f>
        <v>да</v>
      </c>
      <c r="N3016" t="str">
        <f>IF(acs2015_county_data[[#This Row],[Unemployment]]&gt;='Описательные характеристики'!$I$5,"да","нет")</f>
        <v>да</v>
      </c>
    </row>
    <row r="3017" spans="1:14" x14ac:dyDescent="0.35">
      <c r="A3017">
        <v>54047</v>
      </c>
      <c r="B3017" t="s">
        <v>1827</v>
      </c>
      <c r="C3017" t="s">
        <v>1256</v>
      </c>
      <c r="D3017" s="2">
        <v>20802</v>
      </c>
      <c r="E3017" s="2">
        <v>14874</v>
      </c>
      <c r="F3017" s="3">
        <v>2.5</v>
      </c>
      <c r="G3017" s="3">
        <v>4627</v>
      </c>
      <c r="H3017" s="3">
        <v>66.400000000000006</v>
      </c>
      <c r="I3017" s="3">
        <v>30.8</v>
      </c>
      <c r="J3017" s="3">
        <v>2.7</v>
      </c>
      <c r="K3017" s="3">
        <v>0</v>
      </c>
      <c r="L3017" s="3">
        <v>13.3</v>
      </c>
      <c r="M3017" t="str">
        <f>IF(acs2015_county_data[[#This Row],[PublicWork]]&gt;='Описательные характеристики'!$F$5,"да","нет")</f>
        <v>да</v>
      </c>
      <c r="N3017" t="str">
        <f>IF(acs2015_county_data[[#This Row],[Unemployment]]&gt;='Описательные характеристики'!$I$5,"да","нет")</f>
        <v>да</v>
      </c>
    </row>
    <row r="3018" spans="1:14" x14ac:dyDescent="0.35">
      <c r="A3018">
        <v>54049</v>
      </c>
      <c r="B3018" t="s">
        <v>1827</v>
      </c>
      <c r="C3018" t="s">
        <v>59</v>
      </c>
      <c r="D3018" s="2">
        <v>56790</v>
      </c>
      <c r="E3018" s="2">
        <v>23807</v>
      </c>
      <c r="F3018" s="3">
        <v>3.3</v>
      </c>
      <c r="G3018" s="3">
        <v>25422</v>
      </c>
      <c r="H3018" s="3">
        <v>77.3</v>
      </c>
      <c r="I3018" s="3">
        <v>17.7</v>
      </c>
      <c r="J3018" s="3">
        <v>4.8</v>
      </c>
      <c r="K3018" s="3">
        <v>0.2</v>
      </c>
      <c r="L3018" s="3">
        <v>4.9000000000000004</v>
      </c>
      <c r="M3018" t="str">
        <f>IF(acs2015_county_data[[#This Row],[PublicWork]]&gt;='Описательные характеристики'!$F$5,"да","нет")</f>
        <v>да</v>
      </c>
      <c r="N3018" t="str">
        <f>IF(acs2015_county_data[[#This Row],[Unemployment]]&gt;='Описательные характеристики'!$I$5,"да","нет")</f>
        <v>нет</v>
      </c>
    </row>
    <row r="3019" spans="1:14" x14ac:dyDescent="0.35">
      <c r="A3019">
        <v>54051</v>
      </c>
      <c r="B3019" t="s">
        <v>1827</v>
      </c>
      <c r="C3019" t="s">
        <v>60</v>
      </c>
      <c r="D3019" s="2">
        <v>32480</v>
      </c>
      <c r="E3019" s="2">
        <v>23543</v>
      </c>
      <c r="F3019" s="3">
        <v>2.1</v>
      </c>
      <c r="G3019" s="3">
        <v>13530</v>
      </c>
      <c r="H3019" s="3">
        <v>80.3</v>
      </c>
      <c r="I3019" s="3">
        <v>15.5</v>
      </c>
      <c r="J3019" s="3">
        <v>4.0999999999999996</v>
      </c>
      <c r="K3019" s="3">
        <v>0</v>
      </c>
      <c r="L3019" s="3">
        <v>7</v>
      </c>
      <c r="M3019" t="str">
        <f>IF(acs2015_county_data[[#This Row],[PublicWork]]&gt;='Описательные характеристики'!$F$5,"да","нет")</f>
        <v>нет</v>
      </c>
      <c r="N3019" t="str">
        <f>IF(acs2015_county_data[[#This Row],[Unemployment]]&gt;='Описательные характеристики'!$I$5,"да","нет")</f>
        <v>нет</v>
      </c>
    </row>
    <row r="3020" spans="1:14" x14ac:dyDescent="0.35">
      <c r="A3020">
        <v>54053</v>
      </c>
      <c r="B3020" t="s">
        <v>1827</v>
      </c>
      <c r="C3020" t="s">
        <v>536</v>
      </c>
      <c r="D3020" s="2">
        <v>27177</v>
      </c>
      <c r="E3020" s="2">
        <v>19694</v>
      </c>
      <c r="F3020" s="3">
        <v>1.7</v>
      </c>
      <c r="G3020" s="3">
        <v>9116</v>
      </c>
      <c r="H3020" s="3">
        <v>79.2</v>
      </c>
      <c r="I3020" s="3">
        <v>17.7</v>
      </c>
      <c r="J3020" s="3">
        <v>2.9</v>
      </c>
      <c r="K3020" s="3">
        <v>0.1</v>
      </c>
      <c r="L3020" s="3">
        <v>10.3</v>
      </c>
      <c r="M3020" t="str">
        <f>IF(acs2015_county_data[[#This Row],[PublicWork]]&gt;='Описательные характеристики'!$F$5,"да","нет")</f>
        <v>да</v>
      </c>
      <c r="N3020" t="str">
        <f>IF(acs2015_county_data[[#This Row],[Unemployment]]&gt;='Описательные характеристики'!$I$5,"да","нет")</f>
        <v>да</v>
      </c>
    </row>
    <row r="3021" spans="1:14" x14ac:dyDescent="0.35">
      <c r="A3021">
        <v>54055</v>
      </c>
      <c r="B3021" t="s">
        <v>1827</v>
      </c>
      <c r="C3021" t="s">
        <v>539</v>
      </c>
      <c r="D3021" s="2">
        <v>61891</v>
      </c>
      <c r="E3021" s="2">
        <v>20942</v>
      </c>
      <c r="F3021" s="3">
        <v>2</v>
      </c>
      <c r="G3021" s="3">
        <v>23443</v>
      </c>
      <c r="H3021" s="3">
        <v>77.2</v>
      </c>
      <c r="I3021" s="3">
        <v>17.7</v>
      </c>
      <c r="J3021" s="3">
        <v>5</v>
      </c>
      <c r="K3021" s="3">
        <v>0.1</v>
      </c>
      <c r="L3021" s="3">
        <v>5.0999999999999996</v>
      </c>
      <c r="M3021" t="str">
        <f>IF(acs2015_county_data[[#This Row],[PublicWork]]&gt;='Описательные характеристики'!$F$5,"да","нет")</f>
        <v>да</v>
      </c>
      <c r="N3021" t="str">
        <f>IF(acs2015_county_data[[#This Row],[Unemployment]]&gt;='Описательные характеристики'!$I$5,"да","нет")</f>
        <v>нет</v>
      </c>
    </row>
    <row r="3022" spans="1:14" x14ac:dyDescent="0.35">
      <c r="A3022">
        <v>54057</v>
      </c>
      <c r="B3022" t="s">
        <v>1827</v>
      </c>
      <c r="C3022" t="s">
        <v>271</v>
      </c>
      <c r="D3022" s="2">
        <v>27755</v>
      </c>
      <c r="E3022" s="2">
        <v>19111</v>
      </c>
      <c r="F3022" s="3">
        <v>1.3</v>
      </c>
      <c r="G3022" s="3">
        <v>10716</v>
      </c>
      <c r="H3022" s="3">
        <v>77.3</v>
      </c>
      <c r="I3022" s="3">
        <v>18.899999999999999</v>
      </c>
      <c r="J3022" s="3">
        <v>3.8</v>
      </c>
      <c r="K3022" s="3">
        <v>0</v>
      </c>
      <c r="L3022" s="3">
        <v>8.8000000000000007</v>
      </c>
      <c r="M3022" t="str">
        <f>IF(acs2015_county_data[[#This Row],[PublicWork]]&gt;='Описательные характеристики'!$F$5,"да","нет")</f>
        <v>да</v>
      </c>
      <c r="N3022" t="str">
        <f>IF(acs2015_county_data[[#This Row],[Unemployment]]&gt;='Описательные характеристики'!$I$5,"да","нет")</f>
        <v>да</v>
      </c>
    </row>
    <row r="3023" spans="1:14" x14ac:dyDescent="0.35">
      <c r="A3023">
        <v>54059</v>
      </c>
      <c r="B3023" t="s">
        <v>1827</v>
      </c>
      <c r="C3023" t="s">
        <v>1835</v>
      </c>
      <c r="D3023" s="2">
        <v>25931</v>
      </c>
      <c r="E3023" s="2">
        <v>20417</v>
      </c>
      <c r="F3023" s="3">
        <v>2</v>
      </c>
      <c r="G3023" s="3">
        <v>7951</v>
      </c>
      <c r="H3023" s="3">
        <v>73.5</v>
      </c>
      <c r="I3023" s="3">
        <v>21.6</v>
      </c>
      <c r="J3023" s="3">
        <v>4.7</v>
      </c>
      <c r="K3023" s="3">
        <v>0.2</v>
      </c>
      <c r="L3023" s="3">
        <v>14.1</v>
      </c>
      <c r="M3023" t="str">
        <f>IF(acs2015_county_data[[#This Row],[PublicWork]]&gt;='Описательные характеристики'!$F$5,"да","нет")</f>
        <v>да</v>
      </c>
      <c r="N3023" t="str">
        <f>IF(acs2015_county_data[[#This Row],[Unemployment]]&gt;='Описательные характеристики'!$I$5,"да","нет")</f>
        <v>да</v>
      </c>
    </row>
    <row r="3024" spans="1:14" x14ac:dyDescent="0.35">
      <c r="A3024">
        <v>54061</v>
      </c>
      <c r="B3024" t="s">
        <v>1827</v>
      </c>
      <c r="C3024" t="s">
        <v>1836</v>
      </c>
      <c r="D3024" s="2">
        <v>101668</v>
      </c>
      <c r="E3024" s="2">
        <v>26314</v>
      </c>
      <c r="F3024" s="3">
        <v>4.9000000000000004</v>
      </c>
      <c r="G3024" s="3">
        <v>48349</v>
      </c>
      <c r="H3024" s="3">
        <v>74.099999999999994</v>
      </c>
      <c r="I3024" s="3">
        <v>21.9</v>
      </c>
      <c r="J3024" s="3">
        <v>4</v>
      </c>
      <c r="K3024" s="3">
        <v>0</v>
      </c>
      <c r="L3024" s="3">
        <v>5.8</v>
      </c>
      <c r="M3024" t="str">
        <f>IF(acs2015_county_data[[#This Row],[PublicWork]]&gt;='Описательные характеристики'!$F$5,"да","нет")</f>
        <v>да</v>
      </c>
      <c r="N3024" t="str">
        <f>IF(acs2015_county_data[[#This Row],[Unemployment]]&gt;='Описательные характеристики'!$I$5,"да","нет")</f>
        <v>нет</v>
      </c>
    </row>
    <row r="3025" spans="1:14" x14ac:dyDescent="0.35">
      <c r="A3025">
        <v>54063</v>
      </c>
      <c r="B3025" t="s">
        <v>1827</v>
      </c>
      <c r="C3025" t="s">
        <v>62</v>
      </c>
      <c r="D3025" s="2">
        <v>13525</v>
      </c>
      <c r="E3025" s="2">
        <v>20678</v>
      </c>
      <c r="F3025" s="3">
        <v>3.9</v>
      </c>
      <c r="G3025" s="3">
        <v>5348</v>
      </c>
      <c r="H3025" s="3">
        <v>77.2</v>
      </c>
      <c r="I3025" s="3">
        <v>15.7</v>
      </c>
      <c r="J3025" s="3">
        <v>7.2</v>
      </c>
      <c r="K3025" s="3">
        <v>0</v>
      </c>
      <c r="L3025" s="3">
        <v>7.3</v>
      </c>
      <c r="M3025" t="str">
        <f>IF(acs2015_county_data[[#This Row],[PublicWork]]&gt;='Описательные характеристики'!$F$5,"да","нет")</f>
        <v>нет</v>
      </c>
      <c r="N3025" t="str">
        <f>IF(acs2015_county_data[[#This Row],[Unemployment]]&gt;='Описательные характеристики'!$I$5,"да","нет")</f>
        <v>нет</v>
      </c>
    </row>
    <row r="3026" spans="1:14" x14ac:dyDescent="0.35">
      <c r="A3026">
        <v>54065</v>
      </c>
      <c r="B3026" t="s">
        <v>1827</v>
      </c>
      <c r="C3026" t="s">
        <v>63</v>
      </c>
      <c r="D3026" s="2">
        <v>17475</v>
      </c>
      <c r="E3026" s="2">
        <v>23456</v>
      </c>
      <c r="F3026" s="3">
        <v>2.7</v>
      </c>
      <c r="G3026" s="3">
        <v>7144</v>
      </c>
      <c r="H3026" s="3">
        <v>72.5</v>
      </c>
      <c r="I3026" s="3">
        <v>19.899999999999999</v>
      </c>
      <c r="J3026" s="3">
        <v>7.6</v>
      </c>
      <c r="K3026" s="3">
        <v>0</v>
      </c>
      <c r="L3026" s="3">
        <v>12.3</v>
      </c>
      <c r="M3026" t="str">
        <f>IF(acs2015_county_data[[#This Row],[PublicWork]]&gt;='Описательные характеристики'!$F$5,"да","нет")</f>
        <v>да</v>
      </c>
      <c r="N3026" t="str">
        <f>IF(acs2015_county_data[[#This Row],[Unemployment]]&gt;='Описательные характеристики'!$I$5,"да","нет")</f>
        <v>да</v>
      </c>
    </row>
    <row r="3027" spans="1:14" x14ac:dyDescent="0.35">
      <c r="A3027">
        <v>54067</v>
      </c>
      <c r="B3027" t="s">
        <v>1827</v>
      </c>
      <c r="C3027" t="s">
        <v>753</v>
      </c>
      <c r="D3027" s="2">
        <v>25930</v>
      </c>
      <c r="E3027" s="2">
        <v>23404</v>
      </c>
      <c r="F3027" s="3">
        <v>2</v>
      </c>
      <c r="G3027" s="3">
        <v>9824</v>
      </c>
      <c r="H3027" s="3">
        <v>78.599999999999994</v>
      </c>
      <c r="I3027" s="3">
        <v>17.3</v>
      </c>
      <c r="J3027" s="3">
        <v>3.5</v>
      </c>
      <c r="K3027" s="3">
        <v>0.6</v>
      </c>
      <c r="L3027" s="3">
        <v>8.4</v>
      </c>
      <c r="M3027" t="str">
        <f>IF(acs2015_county_data[[#This Row],[PublicWork]]&gt;='Описательные характеристики'!$F$5,"да","нет")</f>
        <v>да</v>
      </c>
      <c r="N3027" t="str">
        <f>IF(acs2015_county_data[[#This Row],[Unemployment]]&gt;='Описательные характеристики'!$I$5,"да","нет")</f>
        <v>да</v>
      </c>
    </row>
    <row r="3028" spans="1:14" x14ac:dyDescent="0.35">
      <c r="A3028">
        <v>54069</v>
      </c>
      <c r="B3028" t="s">
        <v>1827</v>
      </c>
      <c r="C3028" t="s">
        <v>578</v>
      </c>
      <c r="D3028" s="2">
        <v>43637</v>
      </c>
      <c r="E3028" s="2">
        <v>27053</v>
      </c>
      <c r="F3028" s="3">
        <v>3.2</v>
      </c>
      <c r="G3028" s="3">
        <v>20291</v>
      </c>
      <c r="H3028" s="3">
        <v>81.3</v>
      </c>
      <c r="I3028" s="3">
        <v>14.7</v>
      </c>
      <c r="J3028" s="3">
        <v>3.9</v>
      </c>
      <c r="K3028" s="3">
        <v>0.1</v>
      </c>
      <c r="L3028" s="3">
        <v>5.5</v>
      </c>
      <c r="M3028" t="str">
        <f>IF(acs2015_county_data[[#This Row],[PublicWork]]&gt;='Описательные характеристики'!$F$5,"да","нет")</f>
        <v>нет</v>
      </c>
      <c r="N3028" t="str">
        <f>IF(acs2015_county_data[[#This Row],[Unemployment]]&gt;='Описательные характеристики'!$I$5,"да","нет")</f>
        <v>нет</v>
      </c>
    </row>
    <row r="3029" spans="1:14" x14ac:dyDescent="0.35">
      <c r="A3029">
        <v>54071</v>
      </c>
      <c r="B3029" t="s">
        <v>1827</v>
      </c>
      <c r="C3029" t="s">
        <v>756</v>
      </c>
      <c r="D3029" s="2">
        <v>7402</v>
      </c>
      <c r="E3029" s="2">
        <v>21979</v>
      </c>
      <c r="F3029" s="3">
        <v>7</v>
      </c>
      <c r="G3029" s="3">
        <v>2833</v>
      </c>
      <c r="H3029" s="3">
        <v>64.5</v>
      </c>
      <c r="I3029" s="3">
        <v>25.9</v>
      </c>
      <c r="J3029" s="3">
        <v>9.1</v>
      </c>
      <c r="K3029" s="3">
        <v>0.5</v>
      </c>
      <c r="L3029" s="3">
        <v>4.9000000000000004</v>
      </c>
      <c r="M3029" t="str">
        <f>IF(acs2015_county_data[[#This Row],[PublicWork]]&gt;='Описательные характеристики'!$F$5,"да","нет")</f>
        <v>да</v>
      </c>
      <c r="N3029" t="str">
        <f>IF(acs2015_county_data[[#This Row],[Unemployment]]&gt;='Описательные характеристики'!$I$5,"да","нет")</f>
        <v>нет</v>
      </c>
    </row>
    <row r="3030" spans="1:14" x14ac:dyDescent="0.35">
      <c r="A3030">
        <v>54073</v>
      </c>
      <c r="B3030" t="s">
        <v>1827</v>
      </c>
      <c r="C3030" t="s">
        <v>1837</v>
      </c>
      <c r="D3030" s="2">
        <v>7636</v>
      </c>
      <c r="E3030" s="2">
        <v>23291</v>
      </c>
      <c r="F3030" s="3">
        <v>2.4</v>
      </c>
      <c r="G3030" s="3">
        <v>2915</v>
      </c>
      <c r="H3030" s="3">
        <v>71.2</v>
      </c>
      <c r="I3030" s="3">
        <v>22.3</v>
      </c>
      <c r="J3030" s="3">
        <v>6.5</v>
      </c>
      <c r="K3030" s="3">
        <v>0</v>
      </c>
      <c r="L3030" s="3">
        <v>8.1999999999999993</v>
      </c>
      <c r="M3030" t="str">
        <f>IF(acs2015_county_data[[#This Row],[PublicWork]]&gt;='Описательные характеристики'!$F$5,"да","нет")</f>
        <v>да</v>
      </c>
      <c r="N3030" t="str">
        <f>IF(acs2015_county_data[[#This Row],[Unemployment]]&gt;='Описательные характеристики'!$I$5,"да","нет")</f>
        <v>да</v>
      </c>
    </row>
    <row r="3031" spans="1:14" x14ac:dyDescent="0.35">
      <c r="A3031">
        <v>54075</v>
      </c>
      <c r="B3031" t="s">
        <v>1827</v>
      </c>
      <c r="C3031" t="s">
        <v>631</v>
      </c>
      <c r="D3031" s="2">
        <v>8697</v>
      </c>
      <c r="E3031" s="2">
        <v>21847</v>
      </c>
      <c r="F3031" s="3">
        <v>5.2</v>
      </c>
      <c r="G3031" s="3">
        <v>3723</v>
      </c>
      <c r="H3031" s="3">
        <v>61.3</v>
      </c>
      <c r="I3031" s="3">
        <v>31.9</v>
      </c>
      <c r="J3031" s="3">
        <v>6.7</v>
      </c>
      <c r="K3031" s="3">
        <v>0.1</v>
      </c>
      <c r="L3031" s="3">
        <v>5.7</v>
      </c>
      <c r="M3031" t="str">
        <f>IF(acs2015_county_data[[#This Row],[PublicWork]]&gt;='Описательные характеристики'!$F$5,"да","нет")</f>
        <v>да</v>
      </c>
      <c r="N3031" t="str">
        <f>IF(acs2015_county_data[[#This Row],[Unemployment]]&gt;='Описательные характеристики'!$I$5,"да","нет")</f>
        <v>нет</v>
      </c>
    </row>
    <row r="3032" spans="1:14" x14ac:dyDescent="0.35">
      <c r="A3032">
        <v>54077</v>
      </c>
      <c r="B3032" t="s">
        <v>1827</v>
      </c>
      <c r="C3032" t="s">
        <v>1838</v>
      </c>
      <c r="D3032" s="2">
        <v>33809</v>
      </c>
      <c r="E3032" s="2">
        <v>21097</v>
      </c>
      <c r="F3032" s="3">
        <v>3.9</v>
      </c>
      <c r="G3032" s="3">
        <v>13842</v>
      </c>
      <c r="H3032" s="3">
        <v>76</v>
      </c>
      <c r="I3032" s="3">
        <v>18</v>
      </c>
      <c r="J3032" s="3">
        <v>5.8</v>
      </c>
      <c r="K3032" s="3">
        <v>0.2</v>
      </c>
      <c r="L3032" s="3">
        <v>7</v>
      </c>
      <c r="M3032" t="str">
        <f>IF(acs2015_county_data[[#This Row],[PublicWork]]&gt;='Описательные характеристики'!$F$5,"да","нет")</f>
        <v>да</v>
      </c>
      <c r="N3032" t="str">
        <f>IF(acs2015_county_data[[#This Row],[Unemployment]]&gt;='Описательные характеристики'!$I$5,"да","нет")</f>
        <v>нет</v>
      </c>
    </row>
    <row r="3033" spans="1:14" x14ac:dyDescent="0.35">
      <c r="A3033">
        <v>54079</v>
      </c>
      <c r="B3033" t="s">
        <v>1827</v>
      </c>
      <c r="C3033" t="s">
        <v>343</v>
      </c>
      <c r="D3033" s="2">
        <v>56596</v>
      </c>
      <c r="E3033" s="2">
        <v>29412</v>
      </c>
      <c r="F3033" s="3">
        <v>3.6</v>
      </c>
      <c r="G3033" s="3">
        <v>25964</v>
      </c>
      <c r="H3033" s="3">
        <v>80.7</v>
      </c>
      <c r="I3033" s="3">
        <v>16.7</v>
      </c>
      <c r="J3033" s="3">
        <v>2.6</v>
      </c>
      <c r="K3033" s="3">
        <v>0</v>
      </c>
      <c r="L3033" s="3">
        <v>3.7</v>
      </c>
      <c r="M3033" t="str">
        <f>IF(acs2015_county_data[[#This Row],[PublicWork]]&gt;='Описательные характеристики'!$F$5,"да","нет")</f>
        <v>да</v>
      </c>
      <c r="N3033" t="str">
        <f>IF(acs2015_county_data[[#This Row],[Unemployment]]&gt;='Описательные характеристики'!$I$5,"да","нет")</f>
        <v>нет</v>
      </c>
    </row>
    <row r="3034" spans="1:14" x14ac:dyDescent="0.35">
      <c r="A3034">
        <v>54081</v>
      </c>
      <c r="B3034" t="s">
        <v>1827</v>
      </c>
      <c r="C3034" t="s">
        <v>1839</v>
      </c>
      <c r="D3034" s="2">
        <v>78493</v>
      </c>
      <c r="E3034" s="2">
        <v>22405</v>
      </c>
      <c r="F3034" s="3">
        <v>2.7</v>
      </c>
      <c r="G3034" s="3">
        <v>29014</v>
      </c>
      <c r="H3034" s="3">
        <v>75.400000000000006</v>
      </c>
      <c r="I3034" s="3">
        <v>20.7</v>
      </c>
      <c r="J3034" s="3">
        <v>3.7</v>
      </c>
      <c r="K3034" s="3">
        <v>0.1</v>
      </c>
      <c r="L3034" s="3">
        <v>6.6</v>
      </c>
      <c r="M3034" t="str">
        <f>IF(acs2015_county_data[[#This Row],[PublicWork]]&gt;='Описательные характеристики'!$F$5,"да","нет")</f>
        <v>да</v>
      </c>
      <c r="N3034" t="str">
        <f>IF(acs2015_county_data[[#This Row],[Unemployment]]&gt;='Описательные характеристики'!$I$5,"да","нет")</f>
        <v>нет</v>
      </c>
    </row>
    <row r="3035" spans="1:14" x14ac:dyDescent="0.35">
      <c r="A3035">
        <v>54083</v>
      </c>
      <c r="B3035" t="s">
        <v>1827</v>
      </c>
      <c r="C3035" t="s">
        <v>67</v>
      </c>
      <c r="D3035" s="2">
        <v>29365</v>
      </c>
      <c r="E3035" s="2">
        <v>21139</v>
      </c>
      <c r="F3035" s="3">
        <v>2.4</v>
      </c>
      <c r="G3035" s="3">
        <v>11833</v>
      </c>
      <c r="H3035" s="3">
        <v>77.2</v>
      </c>
      <c r="I3035" s="3">
        <v>18.899999999999999</v>
      </c>
      <c r="J3035" s="3">
        <v>3.9</v>
      </c>
      <c r="K3035" s="3">
        <v>0</v>
      </c>
      <c r="L3035" s="3">
        <v>6.7</v>
      </c>
      <c r="M3035" t="str">
        <f>IF(acs2015_county_data[[#This Row],[PublicWork]]&gt;='Описательные характеристики'!$F$5,"да","нет")</f>
        <v>да</v>
      </c>
      <c r="N3035" t="str">
        <f>IF(acs2015_county_data[[#This Row],[Unemployment]]&gt;='Описательные характеристики'!$I$5,"да","нет")</f>
        <v>нет</v>
      </c>
    </row>
    <row r="3036" spans="1:14" x14ac:dyDescent="0.35">
      <c r="A3036">
        <v>54085</v>
      </c>
      <c r="B3036" t="s">
        <v>1827</v>
      </c>
      <c r="C3036" t="s">
        <v>1840</v>
      </c>
      <c r="D3036" s="2">
        <v>10140</v>
      </c>
      <c r="E3036" s="2">
        <v>19632</v>
      </c>
      <c r="F3036" s="3">
        <v>2.8</v>
      </c>
      <c r="G3036" s="3">
        <v>3730</v>
      </c>
      <c r="H3036" s="3">
        <v>76.3</v>
      </c>
      <c r="I3036" s="3">
        <v>20.2</v>
      </c>
      <c r="J3036" s="3">
        <v>3.5</v>
      </c>
      <c r="K3036" s="3">
        <v>0</v>
      </c>
      <c r="L3036" s="3">
        <v>10.6</v>
      </c>
      <c r="M3036" t="str">
        <f>IF(acs2015_county_data[[#This Row],[PublicWork]]&gt;='Описательные характеристики'!$F$5,"да","нет")</f>
        <v>да</v>
      </c>
      <c r="N3036" t="str">
        <f>IF(acs2015_county_data[[#This Row],[Unemployment]]&gt;='Описательные характеристики'!$I$5,"да","нет")</f>
        <v>да</v>
      </c>
    </row>
    <row r="3037" spans="1:14" x14ac:dyDescent="0.35">
      <c r="A3037">
        <v>54087</v>
      </c>
      <c r="B3037" t="s">
        <v>1827</v>
      </c>
      <c r="C3037" t="s">
        <v>1533</v>
      </c>
      <c r="D3037" s="2">
        <v>14636</v>
      </c>
      <c r="E3037" s="2">
        <v>18957</v>
      </c>
      <c r="F3037" s="3">
        <v>3.8</v>
      </c>
      <c r="G3037" s="3">
        <v>4892</v>
      </c>
      <c r="H3037" s="3">
        <v>76.3</v>
      </c>
      <c r="I3037" s="3">
        <v>16.2</v>
      </c>
      <c r="J3037" s="3">
        <v>7.4</v>
      </c>
      <c r="K3037" s="3">
        <v>0.2</v>
      </c>
      <c r="L3037" s="3">
        <v>8.9</v>
      </c>
      <c r="M3037" t="str">
        <f>IF(acs2015_county_data[[#This Row],[PublicWork]]&gt;='Описательные характеристики'!$F$5,"да","нет")</f>
        <v>да</v>
      </c>
      <c r="N3037" t="str">
        <f>IF(acs2015_county_data[[#This Row],[Unemployment]]&gt;='Описательные характеристики'!$I$5,"да","нет")</f>
        <v>да</v>
      </c>
    </row>
    <row r="3038" spans="1:14" x14ac:dyDescent="0.35">
      <c r="A3038">
        <v>54089</v>
      </c>
      <c r="B3038" t="s">
        <v>1827</v>
      </c>
      <c r="C3038" t="s">
        <v>1841</v>
      </c>
      <c r="D3038" s="2">
        <v>13544</v>
      </c>
      <c r="E3038" s="2">
        <v>20347</v>
      </c>
      <c r="F3038" s="3">
        <v>4.7</v>
      </c>
      <c r="G3038" s="3">
        <v>4857</v>
      </c>
      <c r="H3038" s="3">
        <v>69.8</v>
      </c>
      <c r="I3038" s="3">
        <v>22.4</v>
      </c>
      <c r="J3038" s="3">
        <v>7.7</v>
      </c>
      <c r="K3038" s="3">
        <v>0.1</v>
      </c>
      <c r="L3038" s="3">
        <v>10</v>
      </c>
      <c r="M3038" t="str">
        <f>IF(acs2015_county_data[[#This Row],[PublicWork]]&gt;='Описательные характеристики'!$F$5,"да","нет")</f>
        <v>да</v>
      </c>
      <c r="N3038" t="str">
        <f>IF(acs2015_county_data[[#This Row],[Unemployment]]&gt;='Описательные характеристики'!$I$5,"да","нет")</f>
        <v>да</v>
      </c>
    </row>
    <row r="3039" spans="1:14" x14ac:dyDescent="0.35">
      <c r="A3039">
        <v>54091</v>
      </c>
      <c r="B3039" t="s">
        <v>1827</v>
      </c>
      <c r="C3039" t="s">
        <v>350</v>
      </c>
      <c r="D3039" s="2">
        <v>16977</v>
      </c>
      <c r="E3039" s="2">
        <v>22799</v>
      </c>
      <c r="F3039" s="3">
        <v>2.7</v>
      </c>
      <c r="G3039" s="3">
        <v>6784</v>
      </c>
      <c r="H3039" s="3">
        <v>79.2</v>
      </c>
      <c r="I3039" s="3">
        <v>16.100000000000001</v>
      </c>
      <c r="J3039" s="3">
        <v>4.7</v>
      </c>
      <c r="K3039" s="3">
        <v>0</v>
      </c>
      <c r="L3039" s="3">
        <v>9.5</v>
      </c>
      <c r="M3039" t="str">
        <f>IF(acs2015_county_data[[#This Row],[PublicWork]]&gt;='Описательные характеристики'!$F$5,"да","нет")</f>
        <v>нет</v>
      </c>
      <c r="N3039" t="str">
        <f>IF(acs2015_county_data[[#This Row],[Unemployment]]&gt;='Описательные характеристики'!$I$5,"да","нет")</f>
        <v>да</v>
      </c>
    </row>
    <row r="3040" spans="1:14" x14ac:dyDescent="0.35">
      <c r="A3040">
        <v>54093</v>
      </c>
      <c r="B3040" t="s">
        <v>1827</v>
      </c>
      <c r="C3040" t="s">
        <v>1842</v>
      </c>
      <c r="D3040" s="2">
        <v>6972</v>
      </c>
      <c r="E3040" s="2">
        <v>22321</v>
      </c>
      <c r="F3040" s="3">
        <v>3.9</v>
      </c>
      <c r="G3040" s="3">
        <v>3052</v>
      </c>
      <c r="H3040" s="3">
        <v>63.8</v>
      </c>
      <c r="I3040" s="3">
        <v>31.5</v>
      </c>
      <c r="J3040" s="3">
        <v>4.7</v>
      </c>
      <c r="K3040" s="3">
        <v>0</v>
      </c>
      <c r="L3040" s="3">
        <v>7.6</v>
      </c>
      <c r="M3040" t="str">
        <f>IF(acs2015_county_data[[#This Row],[PublicWork]]&gt;='Описательные характеристики'!$F$5,"да","нет")</f>
        <v>да</v>
      </c>
      <c r="N3040" t="str">
        <f>IF(acs2015_county_data[[#This Row],[Unemployment]]&gt;='Описательные характеристики'!$I$5,"да","нет")</f>
        <v>да</v>
      </c>
    </row>
    <row r="3041" spans="1:14" x14ac:dyDescent="0.35">
      <c r="A3041">
        <v>54095</v>
      </c>
      <c r="B3041" t="s">
        <v>1827</v>
      </c>
      <c r="C3041" t="s">
        <v>1679</v>
      </c>
      <c r="D3041" s="2">
        <v>9033</v>
      </c>
      <c r="E3041" s="2">
        <v>21018</v>
      </c>
      <c r="F3041" s="3">
        <v>1.7</v>
      </c>
      <c r="G3041" s="3">
        <v>3296</v>
      </c>
      <c r="H3041" s="3">
        <v>75.8</v>
      </c>
      <c r="I3041" s="3">
        <v>18.899999999999999</v>
      </c>
      <c r="J3041" s="3">
        <v>5.2</v>
      </c>
      <c r="K3041" s="3">
        <v>0</v>
      </c>
      <c r="L3041" s="3">
        <v>10.9</v>
      </c>
      <c r="M3041" t="str">
        <f>IF(acs2015_county_data[[#This Row],[PublicWork]]&gt;='Описательные характеристики'!$F$5,"да","нет")</f>
        <v>да</v>
      </c>
      <c r="N3041" t="str">
        <f>IF(acs2015_county_data[[#This Row],[Unemployment]]&gt;='Описательные характеристики'!$I$5,"да","нет")</f>
        <v>да</v>
      </c>
    </row>
    <row r="3042" spans="1:14" x14ac:dyDescent="0.35">
      <c r="A3042">
        <v>54097</v>
      </c>
      <c r="B3042" t="s">
        <v>1827</v>
      </c>
      <c r="C3042" t="s">
        <v>1680</v>
      </c>
      <c r="D3042" s="2">
        <v>24560</v>
      </c>
      <c r="E3042" s="2">
        <v>20230</v>
      </c>
      <c r="F3042" s="3">
        <v>4</v>
      </c>
      <c r="G3042" s="3">
        <v>9682</v>
      </c>
      <c r="H3042" s="3">
        <v>76.900000000000006</v>
      </c>
      <c r="I3042" s="3">
        <v>17</v>
      </c>
      <c r="J3042" s="3">
        <v>5.7</v>
      </c>
      <c r="K3042" s="3">
        <v>0.3</v>
      </c>
      <c r="L3042" s="3">
        <v>8</v>
      </c>
      <c r="M3042" t="str">
        <f>IF(acs2015_county_data[[#This Row],[PublicWork]]&gt;='Описательные характеристики'!$F$5,"да","нет")</f>
        <v>да</v>
      </c>
      <c r="N3042" t="str">
        <f>IF(acs2015_county_data[[#This Row],[Unemployment]]&gt;='Описательные характеристики'!$I$5,"да","нет")</f>
        <v>да</v>
      </c>
    </row>
    <row r="3043" spans="1:14" x14ac:dyDescent="0.35">
      <c r="A3043">
        <v>54099</v>
      </c>
      <c r="B3043" t="s">
        <v>1827</v>
      </c>
      <c r="C3043" t="s">
        <v>457</v>
      </c>
      <c r="D3043" s="2">
        <v>41499</v>
      </c>
      <c r="E3043" s="2">
        <v>19867</v>
      </c>
      <c r="F3043" s="3">
        <v>2.7</v>
      </c>
      <c r="G3043" s="3">
        <v>14542</v>
      </c>
      <c r="H3043" s="3">
        <v>77.3</v>
      </c>
      <c r="I3043" s="3">
        <v>18.3</v>
      </c>
      <c r="J3043" s="3">
        <v>4.4000000000000004</v>
      </c>
      <c r="K3043" s="3">
        <v>0</v>
      </c>
      <c r="L3043" s="3">
        <v>9.9</v>
      </c>
      <c r="M3043" t="str">
        <f>IF(acs2015_county_data[[#This Row],[PublicWork]]&gt;='Описательные характеристики'!$F$5,"да","нет")</f>
        <v>да</v>
      </c>
      <c r="N3043" t="str">
        <f>IF(acs2015_county_data[[#This Row],[Unemployment]]&gt;='Описательные характеристики'!$I$5,"да","нет")</f>
        <v>да</v>
      </c>
    </row>
    <row r="3044" spans="1:14" x14ac:dyDescent="0.35">
      <c r="A3044">
        <v>54101</v>
      </c>
      <c r="B3044" t="s">
        <v>1827</v>
      </c>
      <c r="C3044" t="s">
        <v>458</v>
      </c>
      <c r="D3044" s="2">
        <v>8927</v>
      </c>
      <c r="E3044" s="2">
        <v>17864</v>
      </c>
      <c r="F3044" s="3">
        <v>3.5</v>
      </c>
      <c r="G3044" s="3">
        <v>2945</v>
      </c>
      <c r="H3044" s="3">
        <v>79.7</v>
      </c>
      <c r="I3044" s="3">
        <v>15.4</v>
      </c>
      <c r="J3044" s="3">
        <v>4.7</v>
      </c>
      <c r="K3044" s="3">
        <v>0.2</v>
      </c>
      <c r="L3044" s="3">
        <v>14.8</v>
      </c>
      <c r="M3044" t="str">
        <f>IF(acs2015_county_data[[#This Row],[PublicWork]]&gt;='Описательные характеристики'!$F$5,"да","нет")</f>
        <v>нет</v>
      </c>
      <c r="N3044" t="str">
        <f>IF(acs2015_county_data[[#This Row],[Unemployment]]&gt;='Описательные характеристики'!$I$5,"да","нет")</f>
        <v>да</v>
      </c>
    </row>
    <row r="3045" spans="1:14" x14ac:dyDescent="0.35">
      <c r="A3045">
        <v>54103</v>
      </c>
      <c r="B3045" t="s">
        <v>1827</v>
      </c>
      <c r="C3045" t="s">
        <v>1843</v>
      </c>
      <c r="D3045" s="2">
        <v>16157</v>
      </c>
      <c r="E3045" s="2">
        <v>21619</v>
      </c>
      <c r="F3045" s="3">
        <v>2.2000000000000002</v>
      </c>
      <c r="G3045" s="3">
        <v>5548</v>
      </c>
      <c r="H3045" s="3">
        <v>79.7</v>
      </c>
      <c r="I3045" s="3">
        <v>17.2</v>
      </c>
      <c r="J3045" s="3">
        <v>2.9</v>
      </c>
      <c r="K3045" s="3">
        <v>0.1</v>
      </c>
      <c r="L3045" s="3">
        <v>8.1</v>
      </c>
      <c r="M3045" t="str">
        <f>IF(acs2015_county_data[[#This Row],[PublicWork]]&gt;='Описательные характеристики'!$F$5,"да","нет")</f>
        <v>да</v>
      </c>
      <c r="N3045" t="str">
        <f>IF(acs2015_county_data[[#This Row],[Unemployment]]&gt;='Описательные характеристики'!$I$5,"да","нет")</f>
        <v>да</v>
      </c>
    </row>
    <row r="3046" spans="1:14" x14ac:dyDescent="0.35">
      <c r="A3046">
        <v>54105</v>
      </c>
      <c r="B3046" t="s">
        <v>1827</v>
      </c>
      <c r="C3046" t="s">
        <v>1844</v>
      </c>
      <c r="D3046" s="2">
        <v>5841</v>
      </c>
      <c r="E3046" s="2">
        <v>22125</v>
      </c>
      <c r="F3046" s="3">
        <v>4.5999999999999996</v>
      </c>
      <c r="G3046" s="3">
        <v>2265</v>
      </c>
      <c r="H3046" s="3">
        <v>77</v>
      </c>
      <c r="I3046" s="3">
        <v>19</v>
      </c>
      <c r="J3046" s="3">
        <v>4</v>
      </c>
      <c r="K3046" s="3">
        <v>0</v>
      </c>
      <c r="L3046" s="3">
        <v>8.4</v>
      </c>
      <c r="M3046" t="str">
        <f>IF(acs2015_county_data[[#This Row],[PublicWork]]&gt;='Описательные характеристики'!$F$5,"да","нет")</f>
        <v>да</v>
      </c>
      <c r="N3046" t="str">
        <f>IF(acs2015_county_data[[#This Row],[Unemployment]]&gt;='Описательные характеристики'!$I$5,"да","нет")</f>
        <v>да</v>
      </c>
    </row>
    <row r="3047" spans="1:14" x14ac:dyDescent="0.35">
      <c r="A3047">
        <v>54107</v>
      </c>
      <c r="B3047" t="s">
        <v>1827</v>
      </c>
      <c r="C3047" t="s">
        <v>1349</v>
      </c>
      <c r="D3047" s="2">
        <v>86559</v>
      </c>
      <c r="E3047" s="2">
        <v>24364</v>
      </c>
      <c r="F3047" s="3">
        <v>2.5</v>
      </c>
      <c r="G3047" s="3">
        <v>36778</v>
      </c>
      <c r="H3047" s="3">
        <v>81.8</v>
      </c>
      <c r="I3047" s="3">
        <v>14.3</v>
      </c>
      <c r="J3047" s="3">
        <v>3.8</v>
      </c>
      <c r="K3047" s="3">
        <v>0.1</v>
      </c>
      <c r="L3047" s="3">
        <v>8.6</v>
      </c>
      <c r="M3047" t="str">
        <f>IF(acs2015_county_data[[#This Row],[PublicWork]]&gt;='Описательные характеристики'!$F$5,"да","нет")</f>
        <v>нет</v>
      </c>
      <c r="N3047" t="str">
        <f>IF(acs2015_county_data[[#This Row],[Unemployment]]&gt;='Описательные характеристики'!$I$5,"да","нет")</f>
        <v>да</v>
      </c>
    </row>
    <row r="3048" spans="1:14" x14ac:dyDescent="0.35">
      <c r="A3048">
        <v>54109</v>
      </c>
      <c r="B3048" t="s">
        <v>1827</v>
      </c>
      <c r="C3048" t="s">
        <v>1216</v>
      </c>
      <c r="D3048" s="2">
        <v>22866</v>
      </c>
      <c r="E3048" s="2">
        <v>19009</v>
      </c>
      <c r="F3048" s="3">
        <v>2.7</v>
      </c>
      <c r="G3048" s="3">
        <v>6451</v>
      </c>
      <c r="H3048" s="3">
        <v>77.900000000000006</v>
      </c>
      <c r="I3048" s="3">
        <v>20.6</v>
      </c>
      <c r="J3048" s="3">
        <v>1.5</v>
      </c>
      <c r="K3048" s="3">
        <v>0</v>
      </c>
      <c r="L3048" s="3">
        <v>10.1</v>
      </c>
      <c r="M3048" t="str">
        <f>IF(acs2015_county_data[[#This Row],[PublicWork]]&gt;='Описательные характеристики'!$F$5,"да","нет")</f>
        <v>да</v>
      </c>
      <c r="N3048" t="str">
        <f>IF(acs2015_county_data[[#This Row],[Unemployment]]&gt;='Описательные характеристики'!$I$5,"да","нет")</f>
        <v>да</v>
      </c>
    </row>
    <row r="3049" spans="1:14" x14ac:dyDescent="0.35">
      <c r="A3049">
        <v>55001</v>
      </c>
      <c r="B3049" t="s">
        <v>1845</v>
      </c>
      <c r="C3049" t="s">
        <v>237</v>
      </c>
      <c r="D3049" s="2">
        <v>20451</v>
      </c>
      <c r="E3049" s="2">
        <v>22783</v>
      </c>
      <c r="F3049" s="3">
        <v>4.7</v>
      </c>
      <c r="G3049" s="3">
        <v>7457</v>
      </c>
      <c r="H3049" s="3">
        <v>80</v>
      </c>
      <c r="I3049" s="3">
        <v>12.6</v>
      </c>
      <c r="J3049" s="3">
        <v>7.3</v>
      </c>
      <c r="K3049" s="3">
        <v>0.2</v>
      </c>
      <c r="L3049" s="3">
        <v>10.1</v>
      </c>
      <c r="M3049" t="str">
        <f>IF(acs2015_county_data[[#This Row],[PublicWork]]&gt;='Описательные характеристики'!$F$5,"да","нет")</f>
        <v>нет</v>
      </c>
      <c r="N3049" t="str">
        <f>IF(acs2015_county_data[[#This Row],[Unemployment]]&gt;='Описательные характеристики'!$I$5,"да","нет")</f>
        <v>да</v>
      </c>
    </row>
    <row r="3050" spans="1:14" x14ac:dyDescent="0.35">
      <c r="A3050">
        <v>55003</v>
      </c>
      <c r="B3050" t="s">
        <v>1845</v>
      </c>
      <c r="C3050" t="s">
        <v>1316</v>
      </c>
      <c r="D3050" s="2">
        <v>15993</v>
      </c>
      <c r="E3050" s="2">
        <v>22196</v>
      </c>
      <c r="F3050" s="3">
        <v>4.7</v>
      </c>
      <c r="G3050" s="3">
        <v>7475</v>
      </c>
      <c r="H3050" s="3">
        <v>75.599999999999994</v>
      </c>
      <c r="I3050" s="3">
        <v>17.399999999999999</v>
      </c>
      <c r="J3050" s="3">
        <v>6.9</v>
      </c>
      <c r="K3050" s="3">
        <v>0.1</v>
      </c>
      <c r="L3050" s="3">
        <v>7.9</v>
      </c>
      <c r="M3050" t="str">
        <f>IF(acs2015_county_data[[#This Row],[PublicWork]]&gt;='Описательные характеристики'!$F$5,"да","нет")</f>
        <v>да</v>
      </c>
      <c r="N3050" t="str">
        <f>IF(acs2015_county_data[[#This Row],[Unemployment]]&gt;='Описательные характеристики'!$I$5,"да","нет")</f>
        <v>да</v>
      </c>
    </row>
    <row r="3051" spans="1:14" x14ac:dyDescent="0.35">
      <c r="A3051">
        <v>55005</v>
      </c>
      <c r="B3051" t="s">
        <v>1845</v>
      </c>
      <c r="C3051" t="s">
        <v>1846</v>
      </c>
      <c r="D3051" s="2">
        <v>45686</v>
      </c>
      <c r="E3051" s="2">
        <v>23852</v>
      </c>
      <c r="F3051" s="3">
        <v>6.2</v>
      </c>
      <c r="G3051" s="3">
        <v>22257</v>
      </c>
      <c r="H3051" s="3">
        <v>80.8</v>
      </c>
      <c r="I3051" s="3">
        <v>10.9</v>
      </c>
      <c r="J3051" s="3">
        <v>8.1</v>
      </c>
      <c r="K3051" s="3">
        <v>0.2</v>
      </c>
      <c r="L3051" s="3">
        <v>6</v>
      </c>
      <c r="M3051" t="str">
        <f>IF(acs2015_county_data[[#This Row],[PublicWork]]&gt;='Описательные характеристики'!$F$5,"да","нет")</f>
        <v>нет</v>
      </c>
      <c r="N3051" t="str">
        <f>IF(acs2015_county_data[[#This Row],[Unemployment]]&gt;='Описательные характеристики'!$I$5,"да","нет")</f>
        <v>нет</v>
      </c>
    </row>
    <row r="3052" spans="1:14" x14ac:dyDescent="0.35">
      <c r="A3052">
        <v>55007</v>
      </c>
      <c r="B3052" t="s">
        <v>1845</v>
      </c>
      <c r="C3052" t="s">
        <v>1847</v>
      </c>
      <c r="D3052" s="2">
        <v>15050</v>
      </c>
      <c r="E3052" s="2">
        <v>26485</v>
      </c>
      <c r="F3052" s="3">
        <v>6.8</v>
      </c>
      <c r="G3052" s="3">
        <v>6859</v>
      </c>
      <c r="H3052" s="3">
        <v>68.400000000000006</v>
      </c>
      <c r="I3052" s="3">
        <v>20.8</v>
      </c>
      <c r="J3052" s="3">
        <v>10.4</v>
      </c>
      <c r="K3052" s="3">
        <v>0.4</v>
      </c>
      <c r="L3052" s="3">
        <v>7.2</v>
      </c>
      <c r="M3052" t="str">
        <f>IF(acs2015_county_data[[#This Row],[PublicWork]]&gt;='Описательные характеристики'!$F$5,"да","нет")</f>
        <v>да</v>
      </c>
      <c r="N3052" t="str">
        <f>IF(acs2015_county_data[[#This Row],[Unemployment]]&gt;='Описательные характеристики'!$I$5,"да","нет")</f>
        <v>нет</v>
      </c>
    </row>
    <row r="3053" spans="1:14" x14ac:dyDescent="0.35">
      <c r="A3053">
        <v>55009</v>
      </c>
      <c r="B3053" t="s">
        <v>1845</v>
      </c>
      <c r="C3053" t="s">
        <v>506</v>
      </c>
      <c r="D3053" s="2">
        <v>254717</v>
      </c>
      <c r="E3053" s="2">
        <v>27876</v>
      </c>
      <c r="F3053" s="3">
        <v>3.6</v>
      </c>
      <c r="G3053" s="3">
        <v>130354</v>
      </c>
      <c r="H3053" s="3">
        <v>84.6</v>
      </c>
      <c r="I3053" s="3">
        <v>11</v>
      </c>
      <c r="J3053" s="3">
        <v>4.3</v>
      </c>
      <c r="K3053" s="3">
        <v>0.1</v>
      </c>
      <c r="L3053" s="3">
        <v>6.1</v>
      </c>
      <c r="M3053" t="str">
        <f>IF(acs2015_county_data[[#This Row],[PublicWork]]&gt;='Описательные характеристики'!$F$5,"да","нет")</f>
        <v>нет</v>
      </c>
      <c r="N3053" t="str">
        <f>IF(acs2015_county_data[[#This Row],[Unemployment]]&gt;='Описательные характеристики'!$I$5,"да","нет")</f>
        <v>нет</v>
      </c>
    </row>
    <row r="3054" spans="1:14" x14ac:dyDescent="0.35">
      <c r="A3054">
        <v>55011</v>
      </c>
      <c r="B3054" t="s">
        <v>1845</v>
      </c>
      <c r="C3054" t="s">
        <v>1096</v>
      </c>
      <c r="D3054" s="2">
        <v>13319</v>
      </c>
      <c r="E3054" s="2">
        <v>26170</v>
      </c>
      <c r="F3054" s="3">
        <v>7.1</v>
      </c>
      <c r="G3054" s="3">
        <v>7013</v>
      </c>
      <c r="H3054" s="3">
        <v>77.900000000000006</v>
      </c>
      <c r="I3054" s="3">
        <v>11</v>
      </c>
      <c r="J3054" s="3">
        <v>10.7</v>
      </c>
      <c r="K3054" s="3">
        <v>0.5</v>
      </c>
      <c r="L3054" s="3">
        <v>3.7</v>
      </c>
      <c r="M3054" t="str">
        <f>IF(acs2015_county_data[[#This Row],[PublicWork]]&gt;='Описательные характеристики'!$F$5,"да","нет")</f>
        <v>нет</v>
      </c>
      <c r="N3054" t="str">
        <f>IF(acs2015_county_data[[#This Row],[Unemployment]]&gt;='Описательные характеристики'!$I$5,"да","нет")</f>
        <v>нет</v>
      </c>
    </row>
    <row r="3055" spans="1:14" x14ac:dyDescent="0.35">
      <c r="A3055">
        <v>55013</v>
      </c>
      <c r="B3055" t="s">
        <v>1845</v>
      </c>
      <c r="C3055" t="s">
        <v>1848</v>
      </c>
      <c r="D3055" s="2">
        <v>15334</v>
      </c>
      <c r="E3055" s="2">
        <v>23963</v>
      </c>
      <c r="F3055" s="3">
        <v>6.8</v>
      </c>
      <c r="G3055" s="3">
        <v>6464</v>
      </c>
      <c r="H3055" s="3">
        <v>75.8</v>
      </c>
      <c r="I3055" s="3">
        <v>14.5</v>
      </c>
      <c r="J3055" s="3">
        <v>9.3000000000000007</v>
      </c>
      <c r="K3055" s="3">
        <v>0.4</v>
      </c>
      <c r="L3055" s="3">
        <v>7.5</v>
      </c>
      <c r="M3055" t="str">
        <f>IF(acs2015_county_data[[#This Row],[PublicWork]]&gt;='Описательные характеристики'!$F$5,"да","нет")</f>
        <v>нет</v>
      </c>
      <c r="N3055" t="str">
        <f>IF(acs2015_county_data[[#This Row],[Unemployment]]&gt;='Описательные характеристики'!$I$5,"да","нет")</f>
        <v>нет</v>
      </c>
    </row>
    <row r="3056" spans="1:14" x14ac:dyDescent="0.35">
      <c r="A3056">
        <v>55015</v>
      </c>
      <c r="B3056" t="s">
        <v>1845</v>
      </c>
      <c r="C3056" t="s">
        <v>1849</v>
      </c>
      <c r="D3056" s="2">
        <v>49678</v>
      </c>
      <c r="E3056" s="2">
        <v>29479</v>
      </c>
      <c r="F3056" s="3">
        <v>4.2</v>
      </c>
      <c r="G3056" s="3">
        <v>26679</v>
      </c>
      <c r="H3056" s="3">
        <v>86</v>
      </c>
      <c r="I3056" s="3">
        <v>9.5</v>
      </c>
      <c r="J3056" s="3">
        <v>4.3</v>
      </c>
      <c r="K3056" s="3">
        <v>0.2</v>
      </c>
      <c r="L3056" s="3">
        <v>3.1</v>
      </c>
      <c r="M3056" t="str">
        <f>IF(acs2015_county_data[[#This Row],[PublicWork]]&gt;='Описательные характеристики'!$F$5,"да","нет")</f>
        <v>нет</v>
      </c>
      <c r="N3056" t="str">
        <f>IF(acs2015_county_data[[#This Row],[Unemployment]]&gt;='Описательные характеристики'!$I$5,"да","нет")</f>
        <v>нет</v>
      </c>
    </row>
    <row r="3057" spans="1:14" x14ac:dyDescent="0.35">
      <c r="A3057">
        <v>55017</v>
      </c>
      <c r="B3057" t="s">
        <v>1845</v>
      </c>
      <c r="C3057" t="s">
        <v>867</v>
      </c>
      <c r="D3057" s="2">
        <v>63209</v>
      </c>
      <c r="E3057" s="2">
        <v>25651</v>
      </c>
      <c r="F3057" s="3">
        <v>6.4</v>
      </c>
      <c r="G3057" s="3">
        <v>31085</v>
      </c>
      <c r="H3057" s="3">
        <v>81.2</v>
      </c>
      <c r="I3057" s="3">
        <v>10.8</v>
      </c>
      <c r="J3057" s="3">
        <v>7.7</v>
      </c>
      <c r="K3057" s="3">
        <v>0.3</v>
      </c>
      <c r="L3057" s="3">
        <v>5.0999999999999996</v>
      </c>
      <c r="M3057" t="str">
        <f>IF(acs2015_county_data[[#This Row],[PublicWork]]&gt;='Описательные характеристики'!$F$5,"да","нет")</f>
        <v>нет</v>
      </c>
      <c r="N3057" t="str">
        <f>IF(acs2015_county_data[[#This Row],[Unemployment]]&gt;='Описательные характеристики'!$I$5,"да","нет")</f>
        <v>нет</v>
      </c>
    </row>
    <row r="3058" spans="1:14" x14ac:dyDescent="0.35">
      <c r="A3058">
        <v>55019</v>
      </c>
      <c r="B3058" t="s">
        <v>1845</v>
      </c>
      <c r="C3058" t="s">
        <v>131</v>
      </c>
      <c r="D3058" s="2">
        <v>34518</v>
      </c>
      <c r="E3058" s="2">
        <v>21699</v>
      </c>
      <c r="F3058" s="3">
        <v>10.7</v>
      </c>
      <c r="G3058" s="3">
        <v>15579</v>
      </c>
      <c r="H3058" s="3">
        <v>75.8</v>
      </c>
      <c r="I3058" s="3">
        <v>9</v>
      </c>
      <c r="J3058" s="3">
        <v>14.7</v>
      </c>
      <c r="K3058" s="3">
        <v>0.6</v>
      </c>
      <c r="L3058" s="3">
        <v>4.8</v>
      </c>
      <c r="M3058" t="str">
        <f>IF(acs2015_county_data[[#This Row],[PublicWork]]&gt;='Описательные характеристики'!$F$5,"да","нет")</f>
        <v>нет</v>
      </c>
      <c r="N3058" t="str">
        <f>IF(acs2015_county_data[[#This Row],[Unemployment]]&gt;='Описательные характеристики'!$I$5,"да","нет")</f>
        <v>нет</v>
      </c>
    </row>
    <row r="3059" spans="1:14" x14ac:dyDescent="0.35">
      <c r="A3059">
        <v>55021</v>
      </c>
      <c r="B3059" t="s">
        <v>1845</v>
      </c>
      <c r="C3059" t="s">
        <v>133</v>
      </c>
      <c r="D3059" s="2">
        <v>56607</v>
      </c>
      <c r="E3059" s="2">
        <v>28967</v>
      </c>
      <c r="F3059" s="3">
        <v>3.5</v>
      </c>
      <c r="G3059" s="3">
        <v>29483</v>
      </c>
      <c r="H3059" s="3">
        <v>79.3</v>
      </c>
      <c r="I3059" s="3">
        <v>14.7</v>
      </c>
      <c r="J3059" s="3">
        <v>5.6</v>
      </c>
      <c r="K3059" s="3">
        <v>0.4</v>
      </c>
      <c r="L3059" s="3">
        <v>5.8</v>
      </c>
      <c r="M3059" t="str">
        <f>IF(acs2015_county_data[[#This Row],[PublicWork]]&gt;='Описательные характеристики'!$F$5,"да","нет")</f>
        <v>нет</v>
      </c>
      <c r="N3059" t="str">
        <f>IF(acs2015_county_data[[#This Row],[Unemployment]]&gt;='Описательные характеристики'!$I$5,"да","нет")</f>
        <v>нет</v>
      </c>
    </row>
    <row r="3060" spans="1:14" x14ac:dyDescent="0.35">
      <c r="A3060">
        <v>55023</v>
      </c>
      <c r="B3060" t="s">
        <v>1845</v>
      </c>
      <c r="C3060" t="s">
        <v>136</v>
      </c>
      <c r="D3060" s="2">
        <v>16483</v>
      </c>
      <c r="E3060" s="2">
        <v>23020</v>
      </c>
      <c r="F3060" s="3">
        <v>5.0999999999999996</v>
      </c>
      <c r="G3060" s="3">
        <v>7491</v>
      </c>
      <c r="H3060" s="3">
        <v>77.5</v>
      </c>
      <c r="I3060" s="3">
        <v>13.3</v>
      </c>
      <c r="J3060" s="3">
        <v>9.1</v>
      </c>
      <c r="K3060" s="3">
        <v>0</v>
      </c>
      <c r="L3060" s="3">
        <v>6.5</v>
      </c>
      <c r="M3060" t="str">
        <f>IF(acs2015_county_data[[#This Row],[PublicWork]]&gt;='Описательные характеристики'!$F$5,"да","нет")</f>
        <v>нет</v>
      </c>
      <c r="N3060" t="str">
        <f>IF(acs2015_county_data[[#This Row],[Unemployment]]&gt;='Описательные характеристики'!$I$5,"да","нет")</f>
        <v>нет</v>
      </c>
    </row>
    <row r="3061" spans="1:14" x14ac:dyDescent="0.35">
      <c r="A3061">
        <v>55025</v>
      </c>
      <c r="B3061" t="s">
        <v>1845</v>
      </c>
      <c r="C3061" t="s">
        <v>1850</v>
      </c>
      <c r="D3061" s="2">
        <v>510198</v>
      </c>
      <c r="E3061" s="2">
        <v>34562</v>
      </c>
      <c r="F3061" s="3">
        <v>4.5999999999999996</v>
      </c>
      <c r="G3061" s="3">
        <v>287151</v>
      </c>
      <c r="H3061" s="3">
        <v>74.2</v>
      </c>
      <c r="I3061" s="3">
        <v>21.1</v>
      </c>
      <c r="J3061" s="3">
        <v>4.5</v>
      </c>
      <c r="K3061" s="3">
        <v>0.1</v>
      </c>
      <c r="L3061" s="3">
        <v>4.9000000000000004</v>
      </c>
      <c r="M3061" t="str">
        <f>IF(acs2015_county_data[[#This Row],[PublicWork]]&gt;='Описательные характеристики'!$F$5,"да","нет")</f>
        <v>да</v>
      </c>
      <c r="N3061" t="str">
        <f>IF(acs2015_county_data[[#This Row],[Unemployment]]&gt;='Описательные характеристики'!$I$5,"да","нет")</f>
        <v>нет</v>
      </c>
    </row>
    <row r="3062" spans="1:14" x14ac:dyDescent="0.35">
      <c r="A3062">
        <v>55027</v>
      </c>
      <c r="B3062" t="s">
        <v>1845</v>
      </c>
      <c r="C3062" t="s">
        <v>387</v>
      </c>
      <c r="D3062" s="2">
        <v>88547</v>
      </c>
      <c r="E3062" s="2">
        <v>25372</v>
      </c>
      <c r="F3062" s="3">
        <v>3.7</v>
      </c>
      <c r="G3062" s="3">
        <v>43362</v>
      </c>
      <c r="H3062" s="3">
        <v>83.5</v>
      </c>
      <c r="I3062" s="3">
        <v>10.9</v>
      </c>
      <c r="J3062" s="3">
        <v>5.2</v>
      </c>
      <c r="K3062" s="3">
        <v>0.4</v>
      </c>
      <c r="L3062" s="3">
        <v>6</v>
      </c>
      <c r="M3062" t="str">
        <f>IF(acs2015_county_data[[#This Row],[PublicWork]]&gt;='Описательные характеристики'!$F$5,"да","нет")</f>
        <v>нет</v>
      </c>
      <c r="N3062" t="str">
        <f>IF(acs2015_county_data[[#This Row],[Unemployment]]&gt;='Описательные характеристики'!$I$5,"да","нет")</f>
        <v>нет</v>
      </c>
    </row>
    <row r="3063" spans="1:14" x14ac:dyDescent="0.35">
      <c r="A3063">
        <v>55029</v>
      </c>
      <c r="B3063" t="s">
        <v>1845</v>
      </c>
      <c r="C3063" t="s">
        <v>1851</v>
      </c>
      <c r="D3063" s="2">
        <v>27731</v>
      </c>
      <c r="E3063" s="2">
        <v>30920</v>
      </c>
      <c r="F3063" s="3">
        <v>5.0999999999999996</v>
      </c>
      <c r="G3063" s="3">
        <v>13169</v>
      </c>
      <c r="H3063" s="3">
        <v>79.2</v>
      </c>
      <c r="I3063" s="3">
        <v>11.9</v>
      </c>
      <c r="J3063" s="3">
        <v>8.6</v>
      </c>
      <c r="K3063" s="3">
        <v>0.3</v>
      </c>
      <c r="L3063" s="3">
        <v>6.2</v>
      </c>
      <c r="M3063" t="str">
        <f>IF(acs2015_county_data[[#This Row],[PublicWork]]&gt;='Описательные характеристики'!$F$5,"да","нет")</f>
        <v>нет</v>
      </c>
      <c r="N3063" t="str">
        <f>IF(acs2015_county_data[[#This Row],[Unemployment]]&gt;='Описательные характеристики'!$I$5,"да","нет")</f>
        <v>нет</v>
      </c>
    </row>
    <row r="3064" spans="1:14" x14ac:dyDescent="0.35">
      <c r="A3064">
        <v>55031</v>
      </c>
      <c r="B3064" t="s">
        <v>1845</v>
      </c>
      <c r="C3064" t="s">
        <v>254</v>
      </c>
      <c r="D3064" s="2">
        <v>43799</v>
      </c>
      <c r="E3064" s="2">
        <v>25191</v>
      </c>
      <c r="F3064" s="3">
        <v>3.7</v>
      </c>
      <c r="G3064" s="3">
        <v>21340</v>
      </c>
      <c r="H3064" s="3">
        <v>80.900000000000006</v>
      </c>
      <c r="I3064" s="3">
        <v>14.4</v>
      </c>
      <c r="J3064" s="3">
        <v>4.5999999999999996</v>
      </c>
      <c r="K3064" s="3">
        <v>0.1</v>
      </c>
      <c r="L3064" s="3">
        <v>7</v>
      </c>
      <c r="M3064" t="str">
        <f>IF(acs2015_county_data[[#This Row],[PublicWork]]&gt;='Описательные характеристики'!$F$5,"да","нет")</f>
        <v>нет</v>
      </c>
      <c r="N3064" t="str">
        <f>IF(acs2015_county_data[[#This Row],[Unemployment]]&gt;='Описательные характеристики'!$I$5,"да","нет")</f>
        <v>нет</v>
      </c>
    </row>
    <row r="3065" spans="1:14" x14ac:dyDescent="0.35">
      <c r="A3065">
        <v>55033</v>
      </c>
      <c r="B3065" t="s">
        <v>1845</v>
      </c>
      <c r="C3065" t="s">
        <v>1293</v>
      </c>
      <c r="D3065" s="2">
        <v>44159</v>
      </c>
      <c r="E3065" s="2">
        <v>24098</v>
      </c>
      <c r="F3065" s="3">
        <v>5.9</v>
      </c>
      <c r="G3065" s="3">
        <v>22494</v>
      </c>
      <c r="H3065" s="3">
        <v>77.5</v>
      </c>
      <c r="I3065" s="3">
        <v>15.2</v>
      </c>
      <c r="J3065" s="3">
        <v>7.1</v>
      </c>
      <c r="K3065" s="3">
        <v>0.2</v>
      </c>
      <c r="L3065" s="3">
        <v>6.1</v>
      </c>
      <c r="M3065" t="str">
        <f>IF(acs2015_county_data[[#This Row],[PublicWork]]&gt;='Описательные характеристики'!$F$5,"да","нет")</f>
        <v>нет</v>
      </c>
      <c r="N3065" t="str">
        <f>IF(acs2015_county_data[[#This Row],[Unemployment]]&gt;='Описательные характеристики'!$I$5,"да","нет")</f>
        <v>нет</v>
      </c>
    </row>
    <row r="3066" spans="1:14" x14ac:dyDescent="0.35">
      <c r="A3066">
        <v>55035</v>
      </c>
      <c r="B3066" t="s">
        <v>1845</v>
      </c>
      <c r="C3066" t="s">
        <v>1852</v>
      </c>
      <c r="D3066" s="2">
        <v>101281</v>
      </c>
      <c r="E3066" s="2">
        <v>26034</v>
      </c>
      <c r="F3066" s="3">
        <v>5.7</v>
      </c>
      <c r="G3066" s="3">
        <v>54079</v>
      </c>
      <c r="H3066" s="3">
        <v>81.599999999999994</v>
      </c>
      <c r="I3066" s="3">
        <v>13.1</v>
      </c>
      <c r="J3066" s="3">
        <v>5.2</v>
      </c>
      <c r="K3066" s="3">
        <v>0.1</v>
      </c>
      <c r="L3066" s="3">
        <v>5.8</v>
      </c>
      <c r="M3066" t="str">
        <f>IF(acs2015_county_data[[#This Row],[PublicWork]]&gt;='Описательные характеристики'!$F$5,"да","нет")</f>
        <v>нет</v>
      </c>
      <c r="N3066" t="str">
        <f>IF(acs2015_county_data[[#This Row],[Unemployment]]&gt;='Описательные характеристики'!$I$5,"да","нет")</f>
        <v>нет</v>
      </c>
    </row>
    <row r="3067" spans="1:14" x14ac:dyDescent="0.35">
      <c r="A3067">
        <v>55037</v>
      </c>
      <c r="B3067" t="s">
        <v>1845</v>
      </c>
      <c r="C3067" t="s">
        <v>1457</v>
      </c>
      <c r="D3067" s="2">
        <v>4476</v>
      </c>
      <c r="E3067" s="2">
        <v>25142</v>
      </c>
      <c r="F3067" s="3">
        <v>5.9</v>
      </c>
      <c r="G3067" s="3">
        <v>1942</v>
      </c>
      <c r="H3067" s="3">
        <v>75.3</v>
      </c>
      <c r="I3067" s="3">
        <v>16.2</v>
      </c>
      <c r="J3067" s="3">
        <v>8.1</v>
      </c>
      <c r="K3067" s="3">
        <v>0.4</v>
      </c>
      <c r="L3067" s="3">
        <v>7.2</v>
      </c>
      <c r="M3067" t="str">
        <f>IF(acs2015_county_data[[#This Row],[PublicWork]]&gt;='Описательные характеристики'!$F$5,"да","нет")</f>
        <v>да</v>
      </c>
      <c r="N3067" t="str">
        <f>IF(acs2015_county_data[[#This Row],[Unemployment]]&gt;='Описательные характеристики'!$I$5,"да","нет")</f>
        <v>нет</v>
      </c>
    </row>
    <row r="3068" spans="1:14" x14ac:dyDescent="0.35">
      <c r="A3068">
        <v>55039</v>
      </c>
      <c r="B3068" t="s">
        <v>1845</v>
      </c>
      <c r="C3068" t="s">
        <v>1853</v>
      </c>
      <c r="D3068" s="2">
        <v>101920</v>
      </c>
      <c r="E3068" s="2">
        <v>27474</v>
      </c>
      <c r="F3068" s="3">
        <v>3.7</v>
      </c>
      <c r="G3068" s="3">
        <v>52846</v>
      </c>
      <c r="H3068" s="3">
        <v>84</v>
      </c>
      <c r="I3068" s="3">
        <v>10.7</v>
      </c>
      <c r="J3068" s="3">
        <v>5</v>
      </c>
      <c r="K3068" s="3">
        <v>0.3</v>
      </c>
      <c r="L3068" s="3">
        <v>5.3</v>
      </c>
      <c r="M3068" t="str">
        <f>IF(acs2015_county_data[[#This Row],[PublicWork]]&gt;='Описательные характеристики'!$F$5,"да","нет")</f>
        <v>нет</v>
      </c>
      <c r="N3068" t="str">
        <f>IF(acs2015_county_data[[#This Row],[Unemployment]]&gt;='Описательные характеристики'!$I$5,"да","нет")</f>
        <v>нет</v>
      </c>
    </row>
    <row r="3069" spans="1:14" x14ac:dyDescent="0.35">
      <c r="A3069">
        <v>55041</v>
      </c>
      <c r="B3069" t="s">
        <v>1845</v>
      </c>
      <c r="C3069" t="s">
        <v>1421</v>
      </c>
      <c r="D3069" s="2">
        <v>9150</v>
      </c>
      <c r="E3069" s="2">
        <v>21623</v>
      </c>
      <c r="F3069" s="3">
        <v>6.5</v>
      </c>
      <c r="G3069" s="3">
        <v>3559</v>
      </c>
      <c r="H3069" s="3">
        <v>64</v>
      </c>
      <c r="I3069" s="3">
        <v>25.3</v>
      </c>
      <c r="J3069" s="3">
        <v>10.6</v>
      </c>
      <c r="K3069" s="3">
        <v>0</v>
      </c>
      <c r="L3069" s="3">
        <v>10.1</v>
      </c>
      <c r="M3069" t="str">
        <f>IF(acs2015_county_data[[#This Row],[PublicWork]]&gt;='Описательные характеристики'!$F$5,"да","нет")</f>
        <v>да</v>
      </c>
      <c r="N3069" t="str">
        <f>IF(acs2015_county_data[[#This Row],[Unemployment]]&gt;='Описательные характеристики'!$I$5,"да","нет")</f>
        <v>да</v>
      </c>
    </row>
    <row r="3070" spans="1:14" x14ac:dyDescent="0.35">
      <c r="A3070">
        <v>55043</v>
      </c>
      <c r="B3070" t="s">
        <v>1845</v>
      </c>
      <c r="C3070" t="s">
        <v>144</v>
      </c>
      <c r="D3070" s="2">
        <v>51489</v>
      </c>
      <c r="E3070" s="2">
        <v>22937</v>
      </c>
      <c r="F3070" s="3">
        <v>5.4</v>
      </c>
      <c r="G3070" s="3">
        <v>26157</v>
      </c>
      <c r="H3070" s="3">
        <v>74.7</v>
      </c>
      <c r="I3070" s="3">
        <v>16.600000000000001</v>
      </c>
      <c r="J3070" s="3">
        <v>8</v>
      </c>
      <c r="K3070" s="3">
        <v>0.7</v>
      </c>
      <c r="L3070" s="3">
        <v>4.5999999999999996</v>
      </c>
      <c r="M3070" t="str">
        <f>IF(acs2015_county_data[[#This Row],[PublicWork]]&gt;='Описательные характеристики'!$F$5,"да","нет")</f>
        <v>да</v>
      </c>
      <c r="N3070" t="str">
        <f>IF(acs2015_county_data[[#This Row],[Unemployment]]&gt;='Описательные характеристики'!$I$5,"да","нет")</f>
        <v>нет</v>
      </c>
    </row>
    <row r="3071" spans="1:14" x14ac:dyDescent="0.35">
      <c r="A3071">
        <v>55045</v>
      </c>
      <c r="B3071" t="s">
        <v>1845</v>
      </c>
      <c r="C3071" t="s">
        <v>734</v>
      </c>
      <c r="D3071" s="2">
        <v>37044</v>
      </c>
      <c r="E3071" s="2">
        <v>28187</v>
      </c>
      <c r="F3071" s="3">
        <v>5.7</v>
      </c>
      <c r="G3071" s="3">
        <v>19815</v>
      </c>
      <c r="H3071" s="3">
        <v>79</v>
      </c>
      <c r="I3071" s="3">
        <v>12.4</v>
      </c>
      <c r="J3071" s="3">
        <v>8.1999999999999993</v>
      </c>
      <c r="K3071" s="3">
        <v>0.4</v>
      </c>
      <c r="L3071" s="3">
        <v>3.5</v>
      </c>
      <c r="M3071" t="str">
        <f>IF(acs2015_county_data[[#This Row],[PublicWork]]&gt;='Описательные характеристики'!$F$5,"да","нет")</f>
        <v>нет</v>
      </c>
      <c r="N3071" t="str">
        <f>IF(acs2015_county_data[[#This Row],[Unemployment]]&gt;='Описательные характеристики'!$I$5,"да","нет")</f>
        <v>нет</v>
      </c>
    </row>
    <row r="3072" spans="1:14" x14ac:dyDescent="0.35">
      <c r="A3072">
        <v>55047</v>
      </c>
      <c r="B3072" t="s">
        <v>1845</v>
      </c>
      <c r="C3072" t="s">
        <v>1854</v>
      </c>
      <c r="D3072" s="2">
        <v>18966</v>
      </c>
      <c r="E3072" s="2">
        <v>25466</v>
      </c>
      <c r="F3072" s="3">
        <v>5.5</v>
      </c>
      <c r="G3072" s="3">
        <v>9016</v>
      </c>
      <c r="H3072" s="3">
        <v>79.7</v>
      </c>
      <c r="I3072" s="3">
        <v>11.2</v>
      </c>
      <c r="J3072" s="3">
        <v>8.9</v>
      </c>
      <c r="K3072" s="3">
        <v>0.2</v>
      </c>
      <c r="L3072" s="3">
        <v>5.7</v>
      </c>
      <c r="M3072" t="str">
        <f>IF(acs2015_county_data[[#This Row],[PublicWork]]&gt;='Описательные характеристики'!$F$5,"да","нет")</f>
        <v>нет</v>
      </c>
      <c r="N3072" t="str">
        <f>IF(acs2015_county_data[[#This Row],[Unemployment]]&gt;='Описательные характеристики'!$I$5,"да","нет")</f>
        <v>нет</v>
      </c>
    </row>
    <row r="3073" spans="1:14" x14ac:dyDescent="0.35">
      <c r="A3073">
        <v>55049</v>
      </c>
      <c r="B3073" t="s">
        <v>1845</v>
      </c>
      <c r="C3073" t="s">
        <v>598</v>
      </c>
      <c r="D3073" s="2">
        <v>23769</v>
      </c>
      <c r="E3073" s="2">
        <v>27664</v>
      </c>
      <c r="F3073" s="3">
        <v>6.4</v>
      </c>
      <c r="G3073" s="3">
        <v>12424</v>
      </c>
      <c r="H3073" s="3">
        <v>76.5</v>
      </c>
      <c r="I3073" s="3">
        <v>13.7</v>
      </c>
      <c r="J3073" s="3">
        <v>9.4</v>
      </c>
      <c r="K3073" s="3">
        <v>0.4</v>
      </c>
      <c r="L3073" s="3">
        <v>4.7</v>
      </c>
      <c r="M3073" t="str">
        <f>IF(acs2015_county_data[[#This Row],[PublicWork]]&gt;='Описательные характеристики'!$F$5,"да","нет")</f>
        <v>нет</v>
      </c>
      <c r="N3073" t="str">
        <f>IF(acs2015_county_data[[#This Row],[Unemployment]]&gt;='Описательные характеристики'!$I$5,"да","нет")</f>
        <v>нет</v>
      </c>
    </row>
    <row r="3074" spans="1:14" x14ac:dyDescent="0.35">
      <c r="A3074">
        <v>55051</v>
      </c>
      <c r="B3074" t="s">
        <v>1845</v>
      </c>
      <c r="C3074" t="s">
        <v>881</v>
      </c>
      <c r="D3074" s="2">
        <v>5907</v>
      </c>
      <c r="E3074" s="2">
        <v>25435</v>
      </c>
      <c r="F3074" s="3">
        <v>4.7</v>
      </c>
      <c r="G3074" s="3">
        <v>2560</v>
      </c>
      <c r="H3074" s="3">
        <v>74.400000000000006</v>
      </c>
      <c r="I3074" s="3">
        <v>18.899999999999999</v>
      </c>
      <c r="J3074" s="3">
        <v>6.6</v>
      </c>
      <c r="K3074" s="3">
        <v>0.1</v>
      </c>
      <c r="L3074" s="3">
        <v>7</v>
      </c>
      <c r="M3074" t="str">
        <f>IF(acs2015_county_data[[#This Row],[PublicWork]]&gt;='Описательные характеристики'!$F$5,"да","нет")</f>
        <v>да</v>
      </c>
      <c r="N3074" t="str">
        <f>IF(acs2015_county_data[[#This Row],[Unemployment]]&gt;='Описательные характеристики'!$I$5,"да","нет")</f>
        <v>нет</v>
      </c>
    </row>
    <row r="3075" spans="1:14" x14ac:dyDescent="0.35">
      <c r="A3075">
        <v>55053</v>
      </c>
      <c r="B3075" t="s">
        <v>1845</v>
      </c>
      <c r="C3075" t="s">
        <v>49</v>
      </c>
      <c r="D3075" s="2">
        <v>20543</v>
      </c>
      <c r="E3075" s="2">
        <v>23299</v>
      </c>
      <c r="F3075" s="3">
        <v>5.3</v>
      </c>
      <c r="G3075" s="3">
        <v>9294</v>
      </c>
      <c r="H3075" s="3">
        <v>73</v>
      </c>
      <c r="I3075" s="3">
        <v>18.100000000000001</v>
      </c>
      <c r="J3075" s="3">
        <v>8.5</v>
      </c>
      <c r="K3075" s="3">
        <v>0.4</v>
      </c>
      <c r="L3075" s="3">
        <v>5.6</v>
      </c>
      <c r="M3075" t="str">
        <f>IF(acs2015_county_data[[#This Row],[PublicWork]]&gt;='Описательные характеристики'!$F$5,"да","нет")</f>
        <v>да</v>
      </c>
      <c r="N3075" t="str">
        <f>IF(acs2015_county_data[[#This Row],[Unemployment]]&gt;='Описательные характеристики'!$I$5,"да","нет")</f>
        <v>нет</v>
      </c>
    </row>
    <row r="3076" spans="1:14" x14ac:dyDescent="0.35">
      <c r="A3076">
        <v>55055</v>
      </c>
      <c r="B3076" t="s">
        <v>1845</v>
      </c>
      <c r="C3076" t="s">
        <v>50</v>
      </c>
      <c r="D3076" s="2">
        <v>84345</v>
      </c>
      <c r="E3076" s="2">
        <v>26935</v>
      </c>
      <c r="F3076" s="3">
        <v>3.8</v>
      </c>
      <c r="G3076" s="3">
        <v>44424</v>
      </c>
      <c r="H3076" s="3">
        <v>83.8</v>
      </c>
      <c r="I3076" s="3">
        <v>11.2</v>
      </c>
      <c r="J3076" s="3">
        <v>4.9000000000000004</v>
      </c>
      <c r="K3076" s="3">
        <v>0.1</v>
      </c>
      <c r="L3076" s="3">
        <v>5.5</v>
      </c>
      <c r="M3076" t="str">
        <f>IF(acs2015_county_data[[#This Row],[PublicWork]]&gt;='Описательные характеристики'!$F$5,"да","нет")</f>
        <v>нет</v>
      </c>
      <c r="N3076" t="str">
        <f>IF(acs2015_county_data[[#This Row],[Unemployment]]&gt;='Описательные характеристики'!$I$5,"да","нет")</f>
        <v>нет</v>
      </c>
    </row>
    <row r="3077" spans="1:14" x14ac:dyDescent="0.35">
      <c r="A3077">
        <v>55057</v>
      </c>
      <c r="B3077" t="s">
        <v>1845</v>
      </c>
      <c r="C3077" t="s">
        <v>1855</v>
      </c>
      <c r="D3077" s="2">
        <v>26494</v>
      </c>
      <c r="E3077" s="2">
        <v>22363</v>
      </c>
      <c r="F3077" s="3">
        <v>3.9</v>
      </c>
      <c r="G3077" s="3">
        <v>11520</v>
      </c>
      <c r="H3077" s="3">
        <v>77.3</v>
      </c>
      <c r="I3077" s="3">
        <v>16.3</v>
      </c>
      <c r="J3077" s="3">
        <v>6.1</v>
      </c>
      <c r="K3077" s="3">
        <v>0.4</v>
      </c>
      <c r="L3077" s="3">
        <v>7.1</v>
      </c>
      <c r="M3077" t="str">
        <f>IF(acs2015_county_data[[#This Row],[PublicWork]]&gt;='Описательные характеристики'!$F$5,"да","нет")</f>
        <v>да</v>
      </c>
      <c r="N3077" t="str">
        <f>IF(acs2015_county_data[[#This Row],[Unemployment]]&gt;='Описательные характеристики'!$I$5,"да","нет")</f>
        <v>нет</v>
      </c>
    </row>
    <row r="3078" spans="1:14" x14ac:dyDescent="0.35">
      <c r="A3078">
        <v>55059</v>
      </c>
      <c r="B3078" t="s">
        <v>1845</v>
      </c>
      <c r="C3078" t="s">
        <v>1856</v>
      </c>
      <c r="D3078" s="2">
        <v>167738</v>
      </c>
      <c r="E3078" s="2">
        <v>26514</v>
      </c>
      <c r="F3078" s="3">
        <v>2.6</v>
      </c>
      <c r="G3078" s="3">
        <v>79753</v>
      </c>
      <c r="H3078" s="3">
        <v>84.4</v>
      </c>
      <c r="I3078" s="3">
        <v>11.8</v>
      </c>
      <c r="J3078" s="3">
        <v>3.6</v>
      </c>
      <c r="K3078" s="3">
        <v>0.1</v>
      </c>
      <c r="L3078" s="3">
        <v>9.6999999999999993</v>
      </c>
      <c r="M3078" t="str">
        <f>IF(acs2015_county_data[[#This Row],[PublicWork]]&gt;='Описательные характеристики'!$F$5,"да","нет")</f>
        <v>нет</v>
      </c>
      <c r="N3078" t="str">
        <f>IF(acs2015_county_data[[#This Row],[Unemployment]]&gt;='Описательные характеристики'!$I$5,"да","нет")</f>
        <v>да</v>
      </c>
    </row>
    <row r="3079" spans="1:14" x14ac:dyDescent="0.35">
      <c r="A3079">
        <v>55061</v>
      </c>
      <c r="B3079" t="s">
        <v>1845</v>
      </c>
      <c r="C3079" t="s">
        <v>1857</v>
      </c>
      <c r="D3079" s="2">
        <v>20483</v>
      </c>
      <c r="E3079" s="2">
        <v>26655</v>
      </c>
      <c r="F3079" s="3">
        <v>5</v>
      </c>
      <c r="G3079" s="3">
        <v>10404</v>
      </c>
      <c r="H3079" s="3">
        <v>82.3</v>
      </c>
      <c r="I3079" s="3">
        <v>8.8000000000000007</v>
      </c>
      <c r="J3079" s="3">
        <v>8.6999999999999993</v>
      </c>
      <c r="K3079" s="3">
        <v>0.2</v>
      </c>
      <c r="L3079" s="3">
        <v>4.7</v>
      </c>
      <c r="M3079" t="str">
        <f>IF(acs2015_county_data[[#This Row],[PublicWork]]&gt;='Описательные характеристики'!$F$5,"да","нет")</f>
        <v>нет</v>
      </c>
      <c r="N3079" t="str">
        <f>IF(acs2015_county_data[[#This Row],[Unemployment]]&gt;='Описательные характеристики'!$I$5,"да","нет")</f>
        <v>нет</v>
      </c>
    </row>
    <row r="3080" spans="1:14" x14ac:dyDescent="0.35">
      <c r="A3080">
        <v>55063</v>
      </c>
      <c r="B3080" t="s">
        <v>1845</v>
      </c>
      <c r="C3080" t="s">
        <v>1858</v>
      </c>
      <c r="D3080" s="2">
        <v>117048</v>
      </c>
      <c r="E3080" s="2">
        <v>27550</v>
      </c>
      <c r="F3080" s="3">
        <v>3</v>
      </c>
      <c r="G3080" s="3">
        <v>62292</v>
      </c>
      <c r="H3080" s="3">
        <v>82.1</v>
      </c>
      <c r="I3080" s="3">
        <v>13.7</v>
      </c>
      <c r="J3080" s="3">
        <v>4.0999999999999996</v>
      </c>
      <c r="K3080" s="3">
        <v>0.1</v>
      </c>
      <c r="L3080" s="3">
        <v>5.4</v>
      </c>
      <c r="M3080" t="str">
        <f>IF(acs2015_county_data[[#This Row],[PublicWork]]&gt;='Описательные характеристики'!$F$5,"да","нет")</f>
        <v>нет</v>
      </c>
      <c r="N3080" t="str">
        <f>IF(acs2015_county_data[[#This Row],[Unemployment]]&gt;='Описательные характеристики'!$I$5,"да","нет")</f>
        <v>нет</v>
      </c>
    </row>
    <row r="3081" spans="1:14" x14ac:dyDescent="0.35">
      <c r="A3081">
        <v>55065</v>
      </c>
      <c r="B3081" t="s">
        <v>1845</v>
      </c>
      <c r="C3081" t="s">
        <v>151</v>
      </c>
      <c r="D3081" s="2">
        <v>16835</v>
      </c>
      <c r="E3081" s="2">
        <v>25258</v>
      </c>
      <c r="F3081" s="3">
        <v>8.6</v>
      </c>
      <c r="G3081" s="3">
        <v>8705</v>
      </c>
      <c r="H3081" s="3">
        <v>75.2</v>
      </c>
      <c r="I3081" s="3">
        <v>12.1</v>
      </c>
      <c r="J3081" s="3">
        <v>12.1</v>
      </c>
      <c r="K3081" s="3">
        <v>0.6</v>
      </c>
      <c r="L3081" s="3">
        <v>3.6</v>
      </c>
      <c r="M3081" t="str">
        <f>IF(acs2015_county_data[[#This Row],[PublicWork]]&gt;='Описательные характеристики'!$F$5,"да","нет")</f>
        <v>нет</v>
      </c>
      <c r="N3081" t="str">
        <f>IF(acs2015_county_data[[#This Row],[Unemployment]]&gt;='Описательные характеристики'!$I$5,"да","нет")</f>
        <v>нет</v>
      </c>
    </row>
    <row r="3082" spans="1:14" x14ac:dyDescent="0.35">
      <c r="A3082">
        <v>55067</v>
      </c>
      <c r="B3082" t="s">
        <v>1845</v>
      </c>
      <c r="C3082" t="s">
        <v>1859</v>
      </c>
      <c r="D3082" s="2">
        <v>19551</v>
      </c>
      <c r="E3082" s="2">
        <v>23857</v>
      </c>
      <c r="F3082" s="3">
        <v>4</v>
      </c>
      <c r="G3082" s="3">
        <v>8779</v>
      </c>
      <c r="H3082" s="3">
        <v>81.599999999999994</v>
      </c>
      <c r="I3082" s="3">
        <v>11.7</v>
      </c>
      <c r="J3082" s="3">
        <v>6.3</v>
      </c>
      <c r="K3082" s="3">
        <v>0.4</v>
      </c>
      <c r="L3082" s="3">
        <v>8.1999999999999993</v>
      </c>
      <c r="M3082" t="str">
        <f>IF(acs2015_county_data[[#This Row],[PublicWork]]&gt;='Описательные характеристики'!$F$5,"да","нет")</f>
        <v>нет</v>
      </c>
      <c r="N3082" t="str">
        <f>IF(acs2015_county_data[[#This Row],[Unemployment]]&gt;='Описательные характеристики'!$I$5,"да","нет")</f>
        <v>да</v>
      </c>
    </row>
    <row r="3083" spans="1:14" x14ac:dyDescent="0.35">
      <c r="A3083">
        <v>55069</v>
      </c>
      <c r="B3083" t="s">
        <v>1845</v>
      </c>
      <c r="C3083" t="s">
        <v>152</v>
      </c>
      <c r="D3083" s="2">
        <v>28286</v>
      </c>
      <c r="E3083" s="2">
        <v>25856</v>
      </c>
      <c r="F3083" s="3">
        <v>2.6</v>
      </c>
      <c r="G3083" s="3">
        <v>13973</v>
      </c>
      <c r="H3083" s="3">
        <v>82.6</v>
      </c>
      <c r="I3083" s="3">
        <v>11.1</v>
      </c>
      <c r="J3083" s="3">
        <v>6.1</v>
      </c>
      <c r="K3083" s="3">
        <v>0.2</v>
      </c>
      <c r="L3083" s="3">
        <v>6.1</v>
      </c>
      <c r="M3083" t="str">
        <f>IF(acs2015_county_data[[#This Row],[PublicWork]]&gt;='Описательные характеристики'!$F$5,"да","нет")</f>
        <v>нет</v>
      </c>
      <c r="N3083" t="str">
        <f>IF(acs2015_county_data[[#This Row],[Unemployment]]&gt;='Описательные характеристики'!$I$5,"да","нет")</f>
        <v>нет</v>
      </c>
    </row>
    <row r="3084" spans="1:14" x14ac:dyDescent="0.35">
      <c r="A3084">
        <v>55071</v>
      </c>
      <c r="B3084" t="s">
        <v>1845</v>
      </c>
      <c r="C3084" t="s">
        <v>1860</v>
      </c>
      <c r="D3084" s="2">
        <v>80521</v>
      </c>
      <c r="E3084" s="2">
        <v>26096</v>
      </c>
      <c r="F3084" s="3">
        <v>2.9</v>
      </c>
      <c r="G3084" s="3">
        <v>40799</v>
      </c>
      <c r="H3084" s="3">
        <v>86</v>
      </c>
      <c r="I3084" s="3">
        <v>9</v>
      </c>
      <c r="J3084" s="3">
        <v>4.9000000000000004</v>
      </c>
      <c r="K3084" s="3">
        <v>0.1</v>
      </c>
      <c r="L3084" s="3">
        <v>5.7</v>
      </c>
      <c r="M3084" t="str">
        <f>IF(acs2015_county_data[[#This Row],[PublicWork]]&gt;='Описательные характеристики'!$F$5,"да","нет")</f>
        <v>нет</v>
      </c>
      <c r="N3084" t="str">
        <f>IF(acs2015_county_data[[#This Row],[Unemployment]]&gt;='Описательные характеристики'!$I$5,"да","нет")</f>
        <v>нет</v>
      </c>
    </row>
    <row r="3085" spans="1:14" x14ac:dyDescent="0.35">
      <c r="A3085">
        <v>55073</v>
      </c>
      <c r="B3085" t="s">
        <v>1845</v>
      </c>
      <c r="C3085" t="s">
        <v>1861</v>
      </c>
      <c r="D3085" s="2">
        <v>135177</v>
      </c>
      <c r="E3085" s="2">
        <v>28457</v>
      </c>
      <c r="F3085" s="3">
        <v>4.5999999999999996</v>
      </c>
      <c r="G3085" s="3">
        <v>69834</v>
      </c>
      <c r="H3085" s="3">
        <v>84.5</v>
      </c>
      <c r="I3085" s="3">
        <v>9.6999999999999993</v>
      </c>
      <c r="J3085" s="3">
        <v>5.5</v>
      </c>
      <c r="K3085" s="3">
        <v>0.3</v>
      </c>
      <c r="L3085" s="3">
        <v>5.7</v>
      </c>
      <c r="M3085" t="str">
        <f>IF(acs2015_county_data[[#This Row],[PublicWork]]&gt;='Описательные характеристики'!$F$5,"да","нет")</f>
        <v>нет</v>
      </c>
      <c r="N3085" t="str">
        <f>IF(acs2015_county_data[[#This Row],[Unemployment]]&gt;='Описательные характеристики'!$I$5,"да","нет")</f>
        <v>нет</v>
      </c>
    </row>
    <row r="3086" spans="1:14" x14ac:dyDescent="0.35">
      <c r="A3086">
        <v>55075</v>
      </c>
      <c r="B3086" t="s">
        <v>1845</v>
      </c>
      <c r="C3086" t="s">
        <v>1862</v>
      </c>
      <c r="D3086" s="2">
        <v>41287</v>
      </c>
      <c r="E3086" s="2">
        <v>24450</v>
      </c>
      <c r="F3086" s="3">
        <v>2.7</v>
      </c>
      <c r="G3086" s="3">
        <v>18969</v>
      </c>
      <c r="H3086" s="3">
        <v>82.5</v>
      </c>
      <c r="I3086" s="3">
        <v>10.1</v>
      </c>
      <c r="J3086" s="3">
        <v>6.9</v>
      </c>
      <c r="K3086" s="3">
        <v>0.5</v>
      </c>
      <c r="L3086" s="3">
        <v>7.5</v>
      </c>
      <c r="M3086" t="str">
        <f>IF(acs2015_county_data[[#This Row],[PublicWork]]&gt;='Описательные характеристики'!$F$5,"да","нет")</f>
        <v>нет</v>
      </c>
      <c r="N3086" t="str">
        <f>IF(acs2015_county_data[[#This Row],[Unemployment]]&gt;='Описательные характеристики'!$I$5,"да","нет")</f>
        <v>нет</v>
      </c>
    </row>
    <row r="3087" spans="1:14" x14ac:dyDescent="0.35">
      <c r="A3087">
        <v>55077</v>
      </c>
      <c r="B3087" t="s">
        <v>1845</v>
      </c>
      <c r="C3087" t="s">
        <v>892</v>
      </c>
      <c r="D3087" s="2">
        <v>15140</v>
      </c>
      <c r="E3087" s="2">
        <v>24054</v>
      </c>
      <c r="F3087" s="3">
        <v>3.7</v>
      </c>
      <c r="G3087" s="3">
        <v>6809</v>
      </c>
      <c r="H3087" s="3">
        <v>78.8</v>
      </c>
      <c r="I3087" s="3">
        <v>13.8</v>
      </c>
      <c r="J3087" s="3">
        <v>7.2</v>
      </c>
      <c r="K3087" s="3">
        <v>0.2</v>
      </c>
      <c r="L3087" s="3">
        <v>7.6</v>
      </c>
      <c r="M3087" t="str">
        <f>IF(acs2015_county_data[[#This Row],[PublicWork]]&gt;='Описательные характеристики'!$F$5,"да","нет")</f>
        <v>нет</v>
      </c>
      <c r="N3087" t="str">
        <f>IF(acs2015_county_data[[#This Row],[Unemployment]]&gt;='Описательные характеристики'!$I$5,"да","нет")</f>
        <v>да</v>
      </c>
    </row>
    <row r="3088" spans="1:14" x14ac:dyDescent="0.35">
      <c r="A3088">
        <v>55078</v>
      </c>
      <c r="B3088" t="s">
        <v>1845</v>
      </c>
      <c r="C3088" t="s">
        <v>894</v>
      </c>
      <c r="D3088" s="2">
        <v>4451</v>
      </c>
      <c r="E3088" s="2">
        <v>14482</v>
      </c>
      <c r="F3088" s="3">
        <v>4.9000000000000004</v>
      </c>
      <c r="G3088" s="3">
        <v>1403</v>
      </c>
      <c r="H3088" s="3">
        <v>36.799999999999997</v>
      </c>
      <c r="I3088" s="3">
        <v>59.1</v>
      </c>
      <c r="J3088" s="3">
        <v>3.7</v>
      </c>
      <c r="K3088" s="3">
        <v>0.4</v>
      </c>
      <c r="L3088" s="3">
        <v>14.8</v>
      </c>
      <c r="M3088" t="str">
        <f>IF(acs2015_county_data[[#This Row],[PublicWork]]&gt;='Описательные характеристики'!$F$5,"да","нет")</f>
        <v>да</v>
      </c>
      <c r="N3088" t="str">
        <f>IF(acs2015_county_data[[#This Row],[Unemployment]]&gt;='Описательные характеристики'!$I$5,"да","нет")</f>
        <v>да</v>
      </c>
    </row>
    <row r="3089" spans="1:14" x14ac:dyDescent="0.35">
      <c r="A3089">
        <v>55079</v>
      </c>
      <c r="B3089" t="s">
        <v>1845</v>
      </c>
      <c r="C3089" t="s">
        <v>1863</v>
      </c>
      <c r="D3089" s="2">
        <v>955939</v>
      </c>
      <c r="E3089" s="2">
        <v>24984</v>
      </c>
      <c r="F3089" s="3">
        <v>3</v>
      </c>
      <c r="G3089" s="3">
        <v>445174</v>
      </c>
      <c r="H3089" s="3">
        <v>84.8</v>
      </c>
      <c r="I3089" s="3">
        <v>11.7</v>
      </c>
      <c r="J3089" s="3">
        <v>3.4</v>
      </c>
      <c r="K3089" s="3">
        <v>0.1</v>
      </c>
      <c r="L3089" s="3">
        <v>9.3000000000000007</v>
      </c>
      <c r="M3089" t="str">
        <f>IF(acs2015_county_data[[#This Row],[PublicWork]]&gt;='Описательные характеристики'!$F$5,"да","нет")</f>
        <v>нет</v>
      </c>
      <c r="N3089" t="str">
        <f>IF(acs2015_county_data[[#This Row],[Unemployment]]&gt;='Описательные характеристики'!$I$5,"да","нет")</f>
        <v>да</v>
      </c>
    </row>
    <row r="3090" spans="1:14" x14ac:dyDescent="0.35">
      <c r="A3090">
        <v>55081</v>
      </c>
      <c r="B3090" t="s">
        <v>1845</v>
      </c>
      <c r="C3090" t="s">
        <v>62</v>
      </c>
      <c r="D3090" s="2">
        <v>45274</v>
      </c>
      <c r="E3090" s="2">
        <v>23709</v>
      </c>
      <c r="F3090" s="3">
        <v>3.7</v>
      </c>
      <c r="G3090" s="3">
        <v>20936</v>
      </c>
      <c r="H3090" s="3">
        <v>71.900000000000006</v>
      </c>
      <c r="I3090" s="3">
        <v>20.6</v>
      </c>
      <c r="J3090" s="3">
        <v>7.2</v>
      </c>
      <c r="K3090" s="3">
        <v>0.3</v>
      </c>
      <c r="L3090" s="3">
        <v>6.5</v>
      </c>
      <c r="M3090" t="str">
        <f>IF(acs2015_county_data[[#This Row],[PublicWork]]&gt;='Описательные характеристики'!$F$5,"да","нет")</f>
        <v>да</v>
      </c>
      <c r="N3090" t="str">
        <f>IF(acs2015_county_data[[#This Row],[Unemployment]]&gt;='Описательные характеристики'!$I$5,"да","нет")</f>
        <v>нет</v>
      </c>
    </row>
    <row r="3091" spans="1:14" x14ac:dyDescent="0.35">
      <c r="A3091">
        <v>55083</v>
      </c>
      <c r="B3091" t="s">
        <v>1845</v>
      </c>
      <c r="C3091" t="s">
        <v>1864</v>
      </c>
      <c r="D3091" s="2">
        <v>37476</v>
      </c>
      <c r="E3091" s="2">
        <v>26914</v>
      </c>
      <c r="F3091" s="3">
        <v>5</v>
      </c>
      <c r="G3091" s="3">
        <v>19075</v>
      </c>
      <c r="H3091" s="3">
        <v>81</v>
      </c>
      <c r="I3091" s="3">
        <v>12</v>
      </c>
      <c r="J3091" s="3">
        <v>6.6</v>
      </c>
      <c r="K3091" s="3">
        <v>0.3</v>
      </c>
      <c r="L3091" s="3">
        <v>5.5</v>
      </c>
      <c r="M3091" t="str">
        <f>IF(acs2015_county_data[[#This Row],[PublicWork]]&gt;='Описательные характеристики'!$F$5,"да","нет")</f>
        <v>нет</v>
      </c>
      <c r="N3091" t="str">
        <f>IF(acs2015_county_data[[#This Row],[Unemployment]]&gt;='Описательные характеристики'!$I$5,"да","нет")</f>
        <v>нет</v>
      </c>
    </row>
    <row r="3092" spans="1:14" x14ac:dyDescent="0.35">
      <c r="A3092">
        <v>55085</v>
      </c>
      <c r="B3092" t="s">
        <v>1845</v>
      </c>
      <c r="C3092" t="s">
        <v>495</v>
      </c>
      <c r="D3092" s="2">
        <v>35653</v>
      </c>
      <c r="E3092" s="2">
        <v>26432</v>
      </c>
      <c r="F3092" s="3">
        <v>5.3</v>
      </c>
      <c r="G3092" s="3">
        <v>16557</v>
      </c>
      <c r="H3092" s="3">
        <v>79</v>
      </c>
      <c r="I3092" s="3">
        <v>13.1</v>
      </c>
      <c r="J3092" s="3">
        <v>7.7</v>
      </c>
      <c r="K3092" s="3">
        <v>0.2</v>
      </c>
      <c r="L3092" s="3">
        <v>6.3</v>
      </c>
      <c r="M3092" t="str">
        <f>IF(acs2015_county_data[[#This Row],[PublicWork]]&gt;='Описательные характеристики'!$F$5,"да","нет")</f>
        <v>нет</v>
      </c>
      <c r="N3092" t="str">
        <f>IF(acs2015_county_data[[#This Row],[Unemployment]]&gt;='Описательные характеристики'!$I$5,"да","нет")</f>
        <v>нет</v>
      </c>
    </row>
    <row r="3093" spans="1:14" x14ac:dyDescent="0.35">
      <c r="A3093">
        <v>55087</v>
      </c>
      <c r="B3093" t="s">
        <v>1845</v>
      </c>
      <c r="C3093" t="s">
        <v>1865</v>
      </c>
      <c r="D3093" s="2">
        <v>180430</v>
      </c>
      <c r="E3093" s="2">
        <v>28679</v>
      </c>
      <c r="F3093" s="3">
        <v>3.5</v>
      </c>
      <c r="G3093" s="3">
        <v>96532</v>
      </c>
      <c r="H3093" s="3">
        <v>87</v>
      </c>
      <c r="I3093" s="3">
        <v>8.6</v>
      </c>
      <c r="J3093" s="3">
        <v>4.3</v>
      </c>
      <c r="K3093" s="3">
        <v>0.2</v>
      </c>
      <c r="L3093" s="3">
        <v>3.9</v>
      </c>
      <c r="M3093" t="str">
        <f>IF(acs2015_county_data[[#This Row],[PublicWork]]&gt;='Описательные характеристики'!$F$5,"да","нет")</f>
        <v>нет</v>
      </c>
      <c r="N3093" t="str">
        <f>IF(acs2015_county_data[[#This Row],[Unemployment]]&gt;='Описательные характеристики'!$I$5,"да","нет")</f>
        <v>нет</v>
      </c>
    </row>
    <row r="3094" spans="1:14" x14ac:dyDescent="0.35">
      <c r="A3094">
        <v>55089</v>
      </c>
      <c r="B3094" t="s">
        <v>1845</v>
      </c>
      <c r="C3094" t="s">
        <v>1866</v>
      </c>
      <c r="D3094" s="2">
        <v>87273</v>
      </c>
      <c r="E3094" s="2">
        <v>43543</v>
      </c>
      <c r="F3094" s="3">
        <v>5.7</v>
      </c>
      <c r="G3094" s="3">
        <v>45522</v>
      </c>
      <c r="H3094" s="3">
        <v>85.5</v>
      </c>
      <c r="I3094" s="3">
        <v>8.5</v>
      </c>
      <c r="J3094" s="3">
        <v>5.7</v>
      </c>
      <c r="K3094" s="3">
        <v>0.2</v>
      </c>
      <c r="L3094" s="3">
        <v>4.5</v>
      </c>
      <c r="M3094" t="str">
        <f>IF(acs2015_county_data[[#This Row],[PublicWork]]&gt;='Описательные характеристики'!$F$5,"да","нет")</f>
        <v>нет</v>
      </c>
      <c r="N3094" t="str">
        <f>IF(acs2015_county_data[[#This Row],[Unemployment]]&gt;='Описательные характеристики'!$I$5,"да","нет")</f>
        <v>нет</v>
      </c>
    </row>
    <row r="3095" spans="1:14" x14ac:dyDescent="0.35">
      <c r="A3095">
        <v>55091</v>
      </c>
      <c r="B3095" t="s">
        <v>1845</v>
      </c>
      <c r="C3095" t="s">
        <v>1867</v>
      </c>
      <c r="D3095" s="2">
        <v>7372</v>
      </c>
      <c r="E3095" s="2">
        <v>24951</v>
      </c>
      <c r="F3095" s="3">
        <v>8.4</v>
      </c>
      <c r="G3095" s="3">
        <v>3618</v>
      </c>
      <c r="H3095" s="3">
        <v>75</v>
      </c>
      <c r="I3095" s="3">
        <v>12.8</v>
      </c>
      <c r="J3095" s="3">
        <v>11.9</v>
      </c>
      <c r="K3095" s="3">
        <v>0.2</v>
      </c>
      <c r="L3095" s="3">
        <v>4.5999999999999996</v>
      </c>
      <c r="M3095" t="str">
        <f>IF(acs2015_county_data[[#This Row],[PublicWork]]&gt;='Описательные характеристики'!$F$5,"да","нет")</f>
        <v>нет</v>
      </c>
      <c r="N3095" t="str">
        <f>IF(acs2015_county_data[[#This Row],[Unemployment]]&gt;='Описательные характеристики'!$I$5,"да","нет")</f>
        <v>нет</v>
      </c>
    </row>
    <row r="3096" spans="1:14" x14ac:dyDescent="0.35">
      <c r="A3096">
        <v>55093</v>
      </c>
      <c r="B3096" t="s">
        <v>1845</v>
      </c>
      <c r="C3096" t="s">
        <v>430</v>
      </c>
      <c r="D3096" s="2">
        <v>40799</v>
      </c>
      <c r="E3096" s="2">
        <v>29068</v>
      </c>
      <c r="F3096" s="3">
        <v>5.0999999999999996</v>
      </c>
      <c r="G3096" s="3">
        <v>22567</v>
      </c>
      <c r="H3096" s="3">
        <v>78.2</v>
      </c>
      <c r="I3096" s="3">
        <v>15</v>
      </c>
      <c r="J3096" s="3">
        <v>6.4</v>
      </c>
      <c r="K3096" s="3">
        <v>0.4</v>
      </c>
      <c r="L3096" s="3">
        <v>3.6</v>
      </c>
      <c r="M3096" t="str">
        <f>IF(acs2015_county_data[[#This Row],[PublicWork]]&gt;='Описательные характеристики'!$F$5,"да","нет")</f>
        <v>нет</v>
      </c>
      <c r="N3096" t="str">
        <f>IF(acs2015_county_data[[#This Row],[Unemployment]]&gt;='Описательные характеристики'!$I$5,"да","нет")</f>
        <v>нет</v>
      </c>
    </row>
    <row r="3097" spans="1:14" x14ac:dyDescent="0.35">
      <c r="A3097">
        <v>55095</v>
      </c>
      <c r="B3097" t="s">
        <v>1845</v>
      </c>
      <c r="C3097" t="s">
        <v>164</v>
      </c>
      <c r="D3097" s="2">
        <v>43572</v>
      </c>
      <c r="E3097" s="2">
        <v>26450</v>
      </c>
      <c r="F3097" s="3">
        <v>5.9</v>
      </c>
      <c r="G3097" s="3">
        <v>21085</v>
      </c>
      <c r="H3097" s="3">
        <v>79.2</v>
      </c>
      <c r="I3097" s="3">
        <v>12.1</v>
      </c>
      <c r="J3097" s="3">
        <v>8.1999999999999993</v>
      </c>
      <c r="K3097" s="3">
        <v>0.5</v>
      </c>
      <c r="L3097" s="3">
        <v>6.8</v>
      </c>
      <c r="M3097" t="str">
        <f>IF(acs2015_county_data[[#This Row],[PublicWork]]&gt;='Описательные характеристики'!$F$5,"да","нет")</f>
        <v>нет</v>
      </c>
      <c r="N3097" t="str">
        <f>IF(acs2015_county_data[[#This Row],[Unemployment]]&gt;='Описательные характеристики'!$I$5,"да","нет")</f>
        <v>нет</v>
      </c>
    </row>
    <row r="3098" spans="1:14" x14ac:dyDescent="0.35">
      <c r="A3098">
        <v>55097</v>
      </c>
      <c r="B3098" t="s">
        <v>1845</v>
      </c>
      <c r="C3098" t="s">
        <v>1340</v>
      </c>
      <c r="D3098" s="2">
        <v>70432</v>
      </c>
      <c r="E3098" s="2">
        <v>26071</v>
      </c>
      <c r="F3098" s="3">
        <v>3.6</v>
      </c>
      <c r="G3098" s="3">
        <v>36371</v>
      </c>
      <c r="H3098" s="3">
        <v>80.2</v>
      </c>
      <c r="I3098" s="3">
        <v>14.5</v>
      </c>
      <c r="J3098" s="3">
        <v>5.0999999999999996</v>
      </c>
      <c r="K3098" s="3">
        <v>0.2</v>
      </c>
      <c r="L3098" s="3">
        <v>7.2</v>
      </c>
      <c r="M3098" t="str">
        <f>IF(acs2015_county_data[[#This Row],[PublicWork]]&gt;='Описательные характеристики'!$F$5,"да","нет")</f>
        <v>нет</v>
      </c>
      <c r="N3098" t="str">
        <f>IF(acs2015_county_data[[#This Row],[Unemployment]]&gt;='Описательные характеристики'!$I$5,"да","нет")</f>
        <v>нет</v>
      </c>
    </row>
    <row r="3099" spans="1:14" x14ac:dyDescent="0.35">
      <c r="A3099">
        <v>55099</v>
      </c>
      <c r="B3099" t="s">
        <v>1845</v>
      </c>
      <c r="C3099" t="s">
        <v>1868</v>
      </c>
      <c r="D3099" s="2">
        <v>13800</v>
      </c>
      <c r="E3099" s="2">
        <v>25055</v>
      </c>
      <c r="F3099" s="3">
        <v>4.7</v>
      </c>
      <c r="G3099" s="3">
        <v>6662</v>
      </c>
      <c r="H3099" s="3">
        <v>77.2</v>
      </c>
      <c r="I3099" s="3">
        <v>13.4</v>
      </c>
      <c r="J3099" s="3">
        <v>9.1</v>
      </c>
      <c r="K3099" s="3">
        <v>0.4</v>
      </c>
      <c r="L3099" s="3">
        <v>4.5999999999999996</v>
      </c>
      <c r="M3099" t="str">
        <f>IF(acs2015_county_data[[#This Row],[PublicWork]]&gt;='Описательные характеристики'!$F$5,"да","нет")</f>
        <v>нет</v>
      </c>
      <c r="N3099" t="str">
        <f>IF(acs2015_county_data[[#This Row],[Unemployment]]&gt;='Описательные характеристики'!$I$5,"да","нет")</f>
        <v>нет</v>
      </c>
    </row>
    <row r="3100" spans="1:14" x14ac:dyDescent="0.35">
      <c r="A3100">
        <v>55101</v>
      </c>
      <c r="B3100" t="s">
        <v>1845</v>
      </c>
      <c r="C3100" t="s">
        <v>1869</v>
      </c>
      <c r="D3100" s="2">
        <v>194895</v>
      </c>
      <c r="E3100" s="2">
        <v>27895</v>
      </c>
      <c r="F3100" s="3">
        <v>3.3</v>
      </c>
      <c r="G3100" s="3">
        <v>91796</v>
      </c>
      <c r="H3100" s="3">
        <v>84.8</v>
      </c>
      <c r="I3100" s="3">
        <v>10.8</v>
      </c>
      <c r="J3100" s="3">
        <v>4.3</v>
      </c>
      <c r="K3100" s="3">
        <v>0.1</v>
      </c>
      <c r="L3100" s="3">
        <v>8.4</v>
      </c>
      <c r="M3100" t="str">
        <f>IF(acs2015_county_data[[#This Row],[PublicWork]]&gt;='Описательные характеристики'!$F$5,"да","нет")</f>
        <v>нет</v>
      </c>
      <c r="N3100" t="str">
        <f>IF(acs2015_county_data[[#This Row],[Unemployment]]&gt;='Описательные характеристики'!$I$5,"да","нет")</f>
        <v>да</v>
      </c>
    </row>
    <row r="3101" spans="1:14" x14ac:dyDescent="0.35">
      <c r="A3101">
        <v>55103</v>
      </c>
      <c r="B3101" t="s">
        <v>1845</v>
      </c>
      <c r="C3101" t="s">
        <v>544</v>
      </c>
      <c r="D3101" s="2">
        <v>17746</v>
      </c>
      <c r="E3101" s="2">
        <v>23765</v>
      </c>
      <c r="F3101" s="3">
        <v>6.1</v>
      </c>
      <c r="G3101" s="3">
        <v>8332</v>
      </c>
      <c r="H3101" s="3">
        <v>78.400000000000006</v>
      </c>
      <c r="I3101" s="3">
        <v>12.3</v>
      </c>
      <c r="J3101" s="3">
        <v>9.1</v>
      </c>
      <c r="K3101" s="3">
        <v>0.2</v>
      </c>
      <c r="L3101" s="3">
        <v>4.8</v>
      </c>
      <c r="M3101" t="str">
        <f>IF(acs2015_county_data[[#This Row],[PublicWork]]&gt;='Описательные характеристики'!$F$5,"да","нет")</f>
        <v>нет</v>
      </c>
      <c r="N3101" t="str">
        <f>IF(acs2015_county_data[[#This Row],[Unemployment]]&gt;='Описательные характеристики'!$I$5,"да","нет")</f>
        <v>нет</v>
      </c>
    </row>
    <row r="3102" spans="1:14" x14ac:dyDescent="0.35">
      <c r="A3102">
        <v>55105</v>
      </c>
      <c r="B3102" t="s">
        <v>1845</v>
      </c>
      <c r="C3102" t="s">
        <v>962</v>
      </c>
      <c r="D3102" s="2">
        <v>160727</v>
      </c>
      <c r="E3102" s="2">
        <v>25219</v>
      </c>
      <c r="F3102" s="3">
        <v>4.0999999999999996</v>
      </c>
      <c r="G3102" s="3">
        <v>75824</v>
      </c>
      <c r="H3102" s="3">
        <v>83.6</v>
      </c>
      <c r="I3102" s="3">
        <v>11.7</v>
      </c>
      <c r="J3102" s="3">
        <v>4.5</v>
      </c>
      <c r="K3102" s="3">
        <v>0.1</v>
      </c>
      <c r="L3102" s="3">
        <v>8.5</v>
      </c>
      <c r="M3102" t="str">
        <f>IF(acs2015_county_data[[#This Row],[PublicWork]]&gt;='Описательные характеристики'!$F$5,"да","нет")</f>
        <v>нет</v>
      </c>
      <c r="N3102" t="str">
        <f>IF(acs2015_county_data[[#This Row],[Unemployment]]&gt;='Описательные характеристики'!$I$5,"да","нет")</f>
        <v>да</v>
      </c>
    </row>
    <row r="3103" spans="1:14" x14ac:dyDescent="0.35">
      <c r="A3103">
        <v>55107</v>
      </c>
      <c r="B3103" t="s">
        <v>1845</v>
      </c>
      <c r="C3103" t="s">
        <v>1659</v>
      </c>
      <c r="D3103" s="2">
        <v>14357</v>
      </c>
      <c r="E3103" s="2">
        <v>21975</v>
      </c>
      <c r="F3103" s="3">
        <v>7.6</v>
      </c>
      <c r="G3103" s="3">
        <v>6462</v>
      </c>
      <c r="H3103" s="3">
        <v>76</v>
      </c>
      <c r="I3103" s="3">
        <v>13.3</v>
      </c>
      <c r="J3103" s="3">
        <v>10</v>
      </c>
      <c r="K3103" s="3">
        <v>0.7</v>
      </c>
      <c r="L3103" s="3">
        <v>5.9</v>
      </c>
      <c r="M3103" t="str">
        <f>IF(acs2015_county_data[[#This Row],[PublicWork]]&gt;='Описательные характеристики'!$F$5,"да","нет")</f>
        <v>нет</v>
      </c>
      <c r="N3103" t="str">
        <f>IF(acs2015_county_data[[#This Row],[Unemployment]]&gt;='Описательные характеристики'!$I$5,"да","нет")</f>
        <v>нет</v>
      </c>
    </row>
    <row r="3104" spans="1:14" x14ac:dyDescent="0.35">
      <c r="A3104">
        <v>55109</v>
      </c>
      <c r="B3104" t="s">
        <v>1845</v>
      </c>
      <c r="C3104" t="s">
        <v>1870</v>
      </c>
      <c r="D3104" s="2">
        <v>86118</v>
      </c>
      <c r="E3104" s="2">
        <v>32955</v>
      </c>
      <c r="F3104" s="3">
        <v>5.5</v>
      </c>
      <c r="G3104" s="3">
        <v>45882</v>
      </c>
      <c r="H3104" s="3">
        <v>81.8</v>
      </c>
      <c r="I3104" s="3">
        <v>12.4</v>
      </c>
      <c r="J3104" s="3">
        <v>5.7</v>
      </c>
      <c r="K3104" s="3">
        <v>0.1</v>
      </c>
      <c r="L3104" s="3">
        <v>4.5999999999999996</v>
      </c>
      <c r="M3104" t="str">
        <f>IF(acs2015_county_data[[#This Row],[PublicWork]]&gt;='Описательные характеристики'!$F$5,"да","нет")</f>
        <v>нет</v>
      </c>
      <c r="N3104" t="str">
        <f>IF(acs2015_county_data[[#This Row],[Unemployment]]&gt;='Описательные характеристики'!$I$5,"да","нет")</f>
        <v>нет</v>
      </c>
    </row>
    <row r="3105" spans="1:14" x14ac:dyDescent="0.35">
      <c r="A3105">
        <v>55111</v>
      </c>
      <c r="B3105" t="s">
        <v>1845</v>
      </c>
      <c r="C3105" t="s">
        <v>1871</v>
      </c>
      <c r="D3105" s="2">
        <v>62992</v>
      </c>
      <c r="E3105" s="2">
        <v>26335</v>
      </c>
      <c r="F3105" s="3">
        <v>3.7</v>
      </c>
      <c r="G3105" s="3">
        <v>32534</v>
      </c>
      <c r="H3105" s="3">
        <v>81.599999999999994</v>
      </c>
      <c r="I3105" s="3">
        <v>12</v>
      </c>
      <c r="J3105" s="3">
        <v>6</v>
      </c>
      <c r="K3105" s="3">
        <v>0.3</v>
      </c>
      <c r="L3105" s="3">
        <v>5.5</v>
      </c>
      <c r="M3105" t="str">
        <f>IF(acs2015_county_data[[#This Row],[PublicWork]]&gt;='Описательные характеристики'!$F$5,"да","нет")</f>
        <v>нет</v>
      </c>
      <c r="N3105" t="str">
        <f>IF(acs2015_county_data[[#This Row],[Unemployment]]&gt;='Описательные характеристики'!$I$5,"да","нет")</f>
        <v>нет</v>
      </c>
    </row>
    <row r="3106" spans="1:14" x14ac:dyDescent="0.35">
      <c r="A3106">
        <v>55113</v>
      </c>
      <c r="B3106" t="s">
        <v>1845</v>
      </c>
      <c r="C3106" t="s">
        <v>1872</v>
      </c>
      <c r="D3106" s="2">
        <v>16483</v>
      </c>
      <c r="E3106" s="2">
        <v>25284</v>
      </c>
      <c r="F3106" s="3">
        <v>5.6</v>
      </c>
      <c r="G3106" s="3">
        <v>6957</v>
      </c>
      <c r="H3106" s="3">
        <v>69.099999999999994</v>
      </c>
      <c r="I3106" s="3">
        <v>19.899999999999999</v>
      </c>
      <c r="J3106" s="3">
        <v>10.3</v>
      </c>
      <c r="K3106" s="3">
        <v>0.7</v>
      </c>
      <c r="L3106" s="3">
        <v>9.8000000000000007</v>
      </c>
      <c r="M3106" t="str">
        <f>IF(acs2015_county_data[[#This Row],[PublicWork]]&gt;='Описательные характеристики'!$F$5,"да","нет")</f>
        <v>да</v>
      </c>
      <c r="N3106" t="str">
        <f>IF(acs2015_county_data[[#This Row],[Unemployment]]&gt;='Описательные характеристики'!$I$5,"да","нет")</f>
        <v>да</v>
      </c>
    </row>
    <row r="3107" spans="1:14" x14ac:dyDescent="0.35">
      <c r="A3107">
        <v>55115</v>
      </c>
      <c r="B3107" t="s">
        <v>1845</v>
      </c>
      <c r="C3107" t="s">
        <v>1873</v>
      </c>
      <c r="D3107" s="2">
        <v>41563</v>
      </c>
      <c r="E3107" s="2">
        <v>24638</v>
      </c>
      <c r="F3107" s="3">
        <v>6.5</v>
      </c>
      <c r="G3107" s="3">
        <v>20281</v>
      </c>
      <c r="H3107" s="3">
        <v>76.8</v>
      </c>
      <c r="I3107" s="3">
        <v>14.2</v>
      </c>
      <c r="J3107" s="3">
        <v>8.8000000000000007</v>
      </c>
      <c r="K3107" s="3">
        <v>0.2</v>
      </c>
      <c r="L3107" s="3">
        <v>5.4</v>
      </c>
      <c r="M3107" t="str">
        <f>IF(acs2015_county_data[[#This Row],[PublicWork]]&gt;='Описательные характеристики'!$F$5,"да","нет")</f>
        <v>нет</v>
      </c>
      <c r="N3107" t="str">
        <f>IF(acs2015_county_data[[#This Row],[Unemployment]]&gt;='Описательные характеристики'!$I$5,"да","нет")</f>
        <v>нет</v>
      </c>
    </row>
    <row r="3108" spans="1:14" x14ac:dyDescent="0.35">
      <c r="A3108">
        <v>55117</v>
      </c>
      <c r="B3108" t="s">
        <v>1845</v>
      </c>
      <c r="C3108" t="s">
        <v>1874</v>
      </c>
      <c r="D3108" s="2">
        <v>115226</v>
      </c>
      <c r="E3108" s="2">
        <v>27034</v>
      </c>
      <c r="F3108" s="3">
        <v>3.2</v>
      </c>
      <c r="G3108" s="3">
        <v>59133</v>
      </c>
      <c r="H3108" s="3">
        <v>86.8</v>
      </c>
      <c r="I3108" s="3">
        <v>8.6999999999999993</v>
      </c>
      <c r="J3108" s="3">
        <v>4.4000000000000004</v>
      </c>
      <c r="K3108" s="3">
        <v>0.1</v>
      </c>
      <c r="L3108" s="3">
        <v>5.8</v>
      </c>
      <c r="M3108" t="str">
        <f>IF(acs2015_county_data[[#This Row],[PublicWork]]&gt;='Описательные характеристики'!$F$5,"да","нет")</f>
        <v>нет</v>
      </c>
      <c r="N3108" t="str">
        <f>IF(acs2015_county_data[[#This Row],[Unemployment]]&gt;='Описательные характеристики'!$I$5,"да","нет")</f>
        <v>нет</v>
      </c>
    </row>
    <row r="3109" spans="1:14" x14ac:dyDescent="0.35">
      <c r="A3109">
        <v>55119</v>
      </c>
      <c r="B3109" t="s">
        <v>1845</v>
      </c>
      <c r="C3109" t="s">
        <v>350</v>
      </c>
      <c r="D3109" s="2">
        <v>20569</v>
      </c>
      <c r="E3109" s="2">
        <v>24300</v>
      </c>
      <c r="F3109" s="3">
        <v>7.1</v>
      </c>
      <c r="G3109" s="3">
        <v>10090</v>
      </c>
      <c r="H3109" s="3">
        <v>79.099999999999994</v>
      </c>
      <c r="I3109" s="3">
        <v>8.6</v>
      </c>
      <c r="J3109" s="3">
        <v>11.9</v>
      </c>
      <c r="K3109" s="3">
        <v>0.4</v>
      </c>
      <c r="L3109" s="3">
        <v>5.5</v>
      </c>
      <c r="M3109" t="str">
        <f>IF(acs2015_county_data[[#This Row],[PublicWork]]&gt;='Описательные характеристики'!$F$5,"да","нет")</f>
        <v>нет</v>
      </c>
      <c r="N3109" t="str">
        <f>IF(acs2015_county_data[[#This Row],[Unemployment]]&gt;='Описательные характеристики'!$I$5,"да","нет")</f>
        <v>нет</v>
      </c>
    </row>
    <row r="3110" spans="1:14" x14ac:dyDescent="0.35">
      <c r="A3110">
        <v>55121</v>
      </c>
      <c r="B3110" t="s">
        <v>1845</v>
      </c>
      <c r="C3110" t="s">
        <v>1875</v>
      </c>
      <c r="D3110" s="2">
        <v>29412</v>
      </c>
      <c r="E3110" s="2">
        <v>25502</v>
      </c>
      <c r="F3110" s="3">
        <v>4.5999999999999996</v>
      </c>
      <c r="G3110" s="3">
        <v>15166</v>
      </c>
      <c r="H3110" s="3">
        <v>78.7</v>
      </c>
      <c r="I3110" s="3">
        <v>12</v>
      </c>
      <c r="J3110" s="3">
        <v>9</v>
      </c>
      <c r="K3110" s="3">
        <v>0.3</v>
      </c>
      <c r="L3110" s="3">
        <v>3.6</v>
      </c>
      <c r="M3110" t="str">
        <f>IF(acs2015_county_data[[#This Row],[PublicWork]]&gt;='Описательные характеристики'!$F$5,"да","нет")</f>
        <v>нет</v>
      </c>
      <c r="N3110" t="str">
        <f>IF(acs2015_county_data[[#This Row],[Unemployment]]&gt;='Описательные характеристики'!$I$5,"да","нет")</f>
        <v>нет</v>
      </c>
    </row>
    <row r="3111" spans="1:14" x14ac:dyDescent="0.35">
      <c r="A3111">
        <v>55123</v>
      </c>
      <c r="B3111" t="s">
        <v>1845</v>
      </c>
      <c r="C3111" t="s">
        <v>809</v>
      </c>
      <c r="D3111" s="2">
        <v>30279</v>
      </c>
      <c r="E3111" s="2">
        <v>23985</v>
      </c>
      <c r="F3111" s="3">
        <v>7.1</v>
      </c>
      <c r="G3111" s="3">
        <v>13450</v>
      </c>
      <c r="H3111" s="3">
        <v>76.3</v>
      </c>
      <c r="I3111" s="3">
        <v>12.5</v>
      </c>
      <c r="J3111" s="3">
        <v>10.8</v>
      </c>
      <c r="K3111" s="3">
        <v>0.4</v>
      </c>
      <c r="L3111" s="3">
        <v>4</v>
      </c>
      <c r="M3111" t="str">
        <f>IF(acs2015_county_data[[#This Row],[PublicWork]]&gt;='Описательные характеристики'!$F$5,"да","нет")</f>
        <v>нет</v>
      </c>
      <c r="N3111" t="str">
        <f>IF(acs2015_county_data[[#This Row],[Unemployment]]&gt;='Описательные характеристики'!$I$5,"да","нет")</f>
        <v>нет</v>
      </c>
    </row>
    <row r="3112" spans="1:14" x14ac:dyDescent="0.35">
      <c r="A3112">
        <v>55125</v>
      </c>
      <c r="B3112" t="s">
        <v>1845</v>
      </c>
      <c r="C3112" t="s">
        <v>1876</v>
      </c>
      <c r="D3112" s="2">
        <v>21355</v>
      </c>
      <c r="E3112" s="2">
        <v>26304</v>
      </c>
      <c r="F3112" s="3">
        <v>6.5</v>
      </c>
      <c r="G3112" s="3">
        <v>8986</v>
      </c>
      <c r="H3112" s="3">
        <v>70.8</v>
      </c>
      <c r="I3112" s="3">
        <v>15.9</v>
      </c>
      <c r="J3112" s="3">
        <v>13</v>
      </c>
      <c r="K3112" s="3">
        <v>0.2</v>
      </c>
      <c r="L3112" s="3">
        <v>8</v>
      </c>
      <c r="M3112" t="str">
        <f>IF(acs2015_county_data[[#This Row],[PublicWork]]&gt;='Описательные характеристики'!$F$5,"да","нет")</f>
        <v>нет</v>
      </c>
      <c r="N3112" t="str">
        <f>IF(acs2015_county_data[[#This Row],[Unemployment]]&gt;='Описательные характеристики'!$I$5,"да","нет")</f>
        <v>да</v>
      </c>
    </row>
    <row r="3113" spans="1:14" x14ac:dyDescent="0.35">
      <c r="A3113">
        <v>55127</v>
      </c>
      <c r="B3113" t="s">
        <v>1845</v>
      </c>
      <c r="C3113" t="s">
        <v>1507</v>
      </c>
      <c r="D3113" s="2">
        <v>103039</v>
      </c>
      <c r="E3113" s="2">
        <v>27410</v>
      </c>
      <c r="F3113" s="3">
        <v>4.2</v>
      </c>
      <c r="G3113" s="3">
        <v>52048</v>
      </c>
      <c r="H3113" s="3">
        <v>81.400000000000006</v>
      </c>
      <c r="I3113" s="3">
        <v>12</v>
      </c>
      <c r="J3113" s="3">
        <v>6.2</v>
      </c>
      <c r="K3113" s="3">
        <v>0.3</v>
      </c>
      <c r="L3113" s="3">
        <v>7.2</v>
      </c>
      <c r="M3113" t="str">
        <f>IF(acs2015_county_data[[#This Row],[PublicWork]]&gt;='Описательные характеристики'!$F$5,"да","нет")</f>
        <v>нет</v>
      </c>
      <c r="N3113" t="str">
        <f>IF(acs2015_county_data[[#This Row],[Unemployment]]&gt;='Описательные характеристики'!$I$5,"да","нет")</f>
        <v>нет</v>
      </c>
    </row>
    <row r="3114" spans="1:14" x14ac:dyDescent="0.35">
      <c r="A3114">
        <v>55129</v>
      </c>
      <c r="B3114" t="s">
        <v>1845</v>
      </c>
      <c r="C3114" t="s">
        <v>1877</v>
      </c>
      <c r="D3114" s="2">
        <v>15700</v>
      </c>
      <c r="E3114" s="2">
        <v>25575</v>
      </c>
      <c r="F3114" s="3">
        <v>5.6</v>
      </c>
      <c r="G3114" s="3">
        <v>6880</v>
      </c>
      <c r="H3114" s="3">
        <v>75.3</v>
      </c>
      <c r="I3114" s="3">
        <v>14.7</v>
      </c>
      <c r="J3114" s="3">
        <v>9.8000000000000007</v>
      </c>
      <c r="K3114" s="3">
        <v>0.2</v>
      </c>
      <c r="L3114" s="3">
        <v>6.6</v>
      </c>
      <c r="M3114" t="str">
        <f>IF(acs2015_county_data[[#This Row],[PublicWork]]&gt;='Описательные характеристики'!$F$5,"да","нет")</f>
        <v>нет</v>
      </c>
      <c r="N3114" t="str">
        <f>IF(acs2015_county_data[[#This Row],[Unemployment]]&gt;='Описательные характеристики'!$I$5,"да","нет")</f>
        <v>нет</v>
      </c>
    </row>
    <row r="3115" spans="1:14" x14ac:dyDescent="0.35">
      <c r="A3115">
        <v>55131</v>
      </c>
      <c r="B3115" t="s">
        <v>1845</v>
      </c>
      <c r="C3115" t="s">
        <v>75</v>
      </c>
      <c r="D3115" s="2">
        <v>132921</v>
      </c>
      <c r="E3115" s="2">
        <v>33744</v>
      </c>
      <c r="F3115" s="3">
        <v>3.2</v>
      </c>
      <c r="G3115" s="3">
        <v>72365</v>
      </c>
      <c r="H3115" s="3">
        <v>87.7</v>
      </c>
      <c r="I3115" s="3">
        <v>8.1999999999999993</v>
      </c>
      <c r="J3115" s="3">
        <v>4.0999999999999996</v>
      </c>
      <c r="K3115" s="3">
        <v>0.1</v>
      </c>
      <c r="L3115" s="3">
        <v>4.5</v>
      </c>
      <c r="M3115" t="str">
        <f>IF(acs2015_county_data[[#This Row],[PublicWork]]&gt;='Описательные характеристики'!$F$5,"да","нет")</f>
        <v>нет</v>
      </c>
      <c r="N3115" t="str">
        <f>IF(acs2015_county_data[[#This Row],[Unemployment]]&gt;='Описательные характеристики'!$I$5,"да","нет")</f>
        <v>нет</v>
      </c>
    </row>
    <row r="3116" spans="1:14" x14ac:dyDescent="0.35">
      <c r="A3116">
        <v>55133</v>
      </c>
      <c r="B3116" t="s">
        <v>1845</v>
      </c>
      <c r="C3116" t="s">
        <v>1878</v>
      </c>
      <c r="D3116" s="2">
        <v>393873</v>
      </c>
      <c r="E3116" s="2">
        <v>38684</v>
      </c>
      <c r="F3116" s="3">
        <v>4.2</v>
      </c>
      <c r="G3116" s="3">
        <v>209461</v>
      </c>
      <c r="H3116" s="3">
        <v>87.4</v>
      </c>
      <c r="I3116" s="3">
        <v>8.3000000000000007</v>
      </c>
      <c r="J3116" s="3">
        <v>4.2</v>
      </c>
      <c r="K3116" s="3">
        <v>0.1</v>
      </c>
      <c r="L3116" s="3">
        <v>4.2</v>
      </c>
      <c r="M3116" t="str">
        <f>IF(acs2015_county_data[[#This Row],[PublicWork]]&gt;='Описательные характеристики'!$F$5,"да","нет")</f>
        <v>нет</v>
      </c>
      <c r="N3116" t="str">
        <f>IF(acs2015_county_data[[#This Row],[Unemployment]]&gt;='Описательные характеристики'!$I$5,"да","нет")</f>
        <v>нет</v>
      </c>
    </row>
    <row r="3117" spans="1:14" x14ac:dyDescent="0.35">
      <c r="A3117">
        <v>55135</v>
      </c>
      <c r="B3117" t="s">
        <v>1845</v>
      </c>
      <c r="C3117" t="s">
        <v>1879</v>
      </c>
      <c r="D3117" s="2">
        <v>52125</v>
      </c>
      <c r="E3117" s="2">
        <v>27257</v>
      </c>
      <c r="F3117" s="3">
        <v>3.7</v>
      </c>
      <c r="G3117" s="3">
        <v>25703</v>
      </c>
      <c r="H3117" s="3">
        <v>82.3</v>
      </c>
      <c r="I3117" s="3">
        <v>11.8</v>
      </c>
      <c r="J3117" s="3">
        <v>5.6</v>
      </c>
      <c r="K3117" s="3">
        <v>0.3</v>
      </c>
      <c r="L3117" s="3">
        <v>5.7</v>
      </c>
      <c r="M3117" t="str">
        <f>IF(acs2015_county_data[[#This Row],[PublicWork]]&gt;='Описательные характеристики'!$F$5,"да","нет")</f>
        <v>нет</v>
      </c>
      <c r="N3117" t="str">
        <f>IF(acs2015_county_data[[#This Row],[Unemployment]]&gt;='Описательные характеристики'!$I$5,"да","нет")</f>
        <v>нет</v>
      </c>
    </row>
    <row r="3118" spans="1:14" x14ac:dyDescent="0.35">
      <c r="A3118">
        <v>55137</v>
      </c>
      <c r="B3118" t="s">
        <v>1845</v>
      </c>
      <c r="C3118" t="s">
        <v>1880</v>
      </c>
      <c r="D3118" s="2">
        <v>24321</v>
      </c>
      <c r="E3118" s="2">
        <v>23977</v>
      </c>
      <c r="F3118" s="3">
        <v>4.9000000000000004</v>
      </c>
      <c r="G3118" s="3">
        <v>10458</v>
      </c>
      <c r="H3118" s="3">
        <v>76.900000000000006</v>
      </c>
      <c r="I3118" s="3">
        <v>14.5</v>
      </c>
      <c r="J3118" s="3">
        <v>8.1999999999999993</v>
      </c>
      <c r="K3118" s="3">
        <v>0.4</v>
      </c>
      <c r="L3118" s="3">
        <v>7.2</v>
      </c>
      <c r="M3118" t="str">
        <f>IF(acs2015_county_data[[#This Row],[PublicWork]]&gt;='Описательные характеристики'!$F$5,"да","нет")</f>
        <v>нет</v>
      </c>
      <c r="N3118" t="str">
        <f>IF(acs2015_county_data[[#This Row],[Unemployment]]&gt;='Описательные характеристики'!$I$5,"да","нет")</f>
        <v>нет</v>
      </c>
    </row>
    <row r="3119" spans="1:14" x14ac:dyDescent="0.35">
      <c r="A3119">
        <v>55139</v>
      </c>
      <c r="B3119" t="s">
        <v>1845</v>
      </c>
      <c r="C3119" t="s">
        <v>556</v>
      </c>
      <c r="D3119" s="2">
        <v>169004</v>
      </c>
      <c r="E3119" s="2">
        <v>27770</v>
      </c>
      <c r="F3119" s="3">
        <v>3</v>
      </c>
      <c r="G3119" s="3">
        <v>85970</v>
      </c>
      <c r="H3119" s="3">
        <v>84.9</v>
      </c>
      <c r="I3119" s="3">
        <v>11.4</v>
      </c>
      <c r="J3119" s="3">
        <v>3.6</v>
      </c>
      <c r="K3119" s="3">
        <v>0.1</v>
      </c>
      <c r="L3119" s="3">
        <v>4.7</v>
      </c>
      <c r="M3119" t="str">
        <f>IF(acs2015_county_data[[#This Row],[PublicWork]]&gt;='Описательные характеристики'!$F$5,"да","нет")</f>
        <v>нет</v>
      </c>
      <c r="N3119" t="str">
        <f>IF(acs2015_county_data[[#This Row],[Unemployment]]&gt;='Описательные характеристики'!$I$5,"да","нет")</f>
        <v>нет</v>
      </c>
    </row>
    <row r="3120" spans="1:14" x14ac:dyDescent="0.35">
      <c r="A3120">
        <v>55141</v>
      </c>
      <c r="B3120" t="s">
        <v>1845</v>
      </c>
      <c r="C3120" t="s">
        <v>1349</v>
      </c>
      <c r="D3120" s="2">
        <v>74012</v>
      </c>
      <c r="E3120" s="2">
        <v>26516</v>
      </c>
      <c r="F3120" s="3">
        <v>3.6</v>
      </c>
      <c r="G3120" s="3">
        <v>36445</v>
      </c>
      <c r="H3120" s="3">
        <v>83.5</v>
      </c>
      <c r="I3120" s="3">
        <v>10.8</v>
      </c>
      <c r="J3120" s="3">
        <v>5.5</v>
      </c>
      <c r="K3120" s="3">
        <v>0.2</v>
      </c>
      <c r="L3120" s="3">
        <v>6.6</v>
      </c>
      <c r="M3120" t="str">
        <f>IF(acs2015_county_data[[#This Row],[PublicWork]]&gt;='Описательные характеристики'!$F$5,"да","нет")</f>
        <v>нет</v>
      </c>
      <c r="N3120" t="str">
        <f>IF(acs2015_county_data[[#This Row],[Unemployment]]&gt;='Описательные характеристики'!$I$5,"да","нет")</f>
        <v>нет</v>
      </c>
    </row>
    <row r="3121" spans="1:14" x14ac:dyDescent="0.35">
      <c r="A3121">
        <v>56001</v>
      </c>
      <c r="B3121" t="s">
        <v>1216</v>
      </c>
      <c r="C3121" t="s">
        <v>1189</v>
      </c>
      <c r="D3121" s="2">
        <v>37565</v>
      </c>
      <c r="E3121" s="2">
        <v>24946</v>
      </c>
      <c r="F3121" s="3">
        <v>5.9</v>
      </c>
      <c r="G3121" s="3">
        <v>20577</v>
      </c>
      <c r="H3121" s="3">
        <v>58.7</v>
      </c>
      <c r="I3121" s="3">
        <v>34.200000000000003</v>
      </c>
      <c r="J3121" s="3">
        <v>6.9</v>
      </c>
      <c r="K3121" s="3">
        <v>0.2</v>
      </c>
      <c r="L3121" s="3">
        <v>4.7</v>
      </c>
      <c r="M3121" t="str">
        <f>IF(acs2015_county_data[[#This Row],[PublicWork]]&gt;='Описательные характеристики'!$F$5,"да","нет")</f>
        <v>да</v>
      </c>
      <c r="N3121" t="str">
        <f>IF(acs2015_county_data[[#This Row],[Unemployment]]&gt;='Описательные характеристики'!$I$5,"да","нет")</f>
        <v>нет</v>
      </c>
    </row>
    <row r="3122" spans="1:14" x14ac:dyDescent="0.35">
      <c r="A3122">
        <v>56003</v>
      </c>
      <c r="B3122" t="s">
        <v>1216</v>
      </c>
      <c r="C3122" t="s">
        <v>1055</v>
      </c>
      <c r="D3122" s="2">
        <v>11895</v>
      </c>
      <c r="E3122" s="2">
        <v>23812</v>
      </c>
      <c r="F3122" s="3">
        <v>5.7</v>
      </c>
      <c r="G3122" s="3">
        <v>5288</v>
      </c>
      <c r="H3122" s="3">
        <v>70.2</v>
      </c>
      <c r="I3122" s="3">
        <v>20.8</v>
      </c>
      <c r="J3122" s="3">
        <v>8.6999999999999993</v>
      </c>
      <c r="K3122" s="3">
        <v>0.3</v>
      </c>
      <c r="L3122" s="3">
        <v>4.4000000000000004</v>
      </c>
      <c r="M3122" t="str">
        <f>IF(acs2015_county_data[[#This Row],[PublicWork]]&gt;='Описательные характеристики'!$F$5,"да","нет")</f>
        <v>да</v>
      </c>
      <c r="N3122" t="str">
        <f>IF(acs2015_county_data[[#This Row],[Unemployment]]&gt;='Описательные характеристики'!$I$5,"да","нет")</f>
        <v>нет</v>
      </c>
    </row>
    <row r="3123" spans="1:14" x14ac:dyDescent="0.35">
      <c r="A3123">
        <v>56005</v>
      </c>
      <c r="B3123" t="s">
        <v>1216</v>
      </c>
      <c r="C3123" t="s">
        <v>723</v>
      </c>
      <c r="D3123" s="2">
        <v>48013</v>
      </c>
      <c r="E3123" s="2">
        <v>33925</v>
      </c>
      <c r="F3123" s="3">
        <v>2.2000000000000002</v>
      </c>
      <c r="G3123" s="3">
        <v>26387</v>
      </c>
      <c r="H3123" s="3">
        <v>80.8</v>
      </c>
      <c r="I3123" s="3">
        <v>14.6</v>
      </c>
      <c r="J3123" s="3">
        <v>4.3</v>
      </c>
      <c r="K3123" s="3">
        <v>0.3</v>
      </c>
      <c r="L3123" s="3">
        <v>4</v>
      </c>
      <c r="M3123" t="str">
        <f>IF(acs2015_county_data[[#This Row],[PublicWork]]&gt;='Описательные характеристики'!$F$5,"да","нет")</f>
        <v>нет</v>
      </c>
      <c r="N3123" t="str">
        <f>IF(acs2015_county_data[[#This Row],[Unemployment]]&gt;='Описательные характеристики'!$I$5,"да","нет")</f>
        <v>нет</v>
      </c>
    </row>
    <row r="3124" spans="1:14" x14ac:dyDescent="0.35">
      <c r="A3124">
        <v>56007</v>
      </c>
      <c r="B3124" t="s">
        <v>1216</v>
      </c>
      <c r="C3124" t="s">
        <v>1057</v>
      </c>
      <c r="D3124" s="2">
        <v>15739</v>
      </c>
      <c r="E3124" s="2">
        <v>26706</v>
      </c>
      <c r="F3124" s="3">
        <v>5.4</v>
      </c>
      <c r="G3124" s="3">
        <v>7851</v>
      </c>
      <c r="H3124" s="3">
        <v>72.5</v>
      </c>
      <c r="I3124" s="3">
        <v>21.8</v>
      </c>
      <c r="J3124" s="3">
        <v>5.3</v>
      </c>
      <c r="K3124" s="3">
        <v>0.4</v>
      </c>
      <c r="L3124" s="3">
        <v>4.3</v>
      </c>
      <c r="M3124" t="str">
        <f>IF(acs2015_county_data[[#This Row],[PublicWork]]&gt;='Описательные характеристики'!$F$5,"да","нет")</f>
        <v>да</v>
      </c>
      <c r="N3124" t="str">
        <f>IF(acs2015_county_data[[#This Row],[Unemployment]]&gt;='Описательные характеристики'!$I$5,"да","нет")</f>
        <v>нет</v>
      </c>
    </row>
    <row r="3125" spans="1:14" x14ac:dyDescent="0.35">
      <c r="A3125">
        <v>56009</v>
      </c>
      <c r="B3125" t="s">
        <v>1216</v>
      </c>
      <c r="C3125" t="s">
        <v>1881</v>
      </c>
      <c r="D3125" s="2">
        <v>14101</v>
      </c>
      <c r="E3125" s="2">
        <v>30249</v>
      </c>
      <c r="F3125" s="3">
        <v>4.8</v>
      </c>
      <c r="G3125" s="3">
        <v>7303</v>
      </c>
      <c r="H3125" s="3">
        <v>75</v>
      </c>
      <c r="I3125" s="3">
        <v>17.7</v>
      </c>
      <c r="J3125" s="3">
        <v>7</v>
      </c>
      <c r="K3125" s="3">
        <v>0.3</v>
      </c>
      <c r="L3125" s="3">
        <v>5.0999999999999996</v>
      </c>
      <c r="M3125" t="str">
        <f>IF(acs2015_county_data[[#This Row],[PublicWork]]&gt;='Описательные характеристики'!$F$5,"да","нет")</f>
        <v>да</v>
      </c>
      <c r="N3125" t="str">
        <f>IF(acs2015_county_data[[#This Row],[Unemployment]]&gt;='Описательные характеристики'!$I$5,"да","нет")</f>
        <v>нет</v>
      </c>
    </row>
    <row r="3126" spans="1:14" x14ac:dyDescent="0.35">
      <c r="A3126">
        <v>56011</v>
      </c>
      <c r="B3126" t="s">
        <v>1216</v>
      </c>
      <c r="C3126" t="s">
        <v>1394</v>
      </c>
      <c r="D3126" s="2">
        <v>7229</v>
      </c>
      <c r="E3126" s="2">
        <v>32083</v>
      </c>
      <c r="F3126" s="3">
        <v>12.5</v>
      </c>
      <c r="G3126" s="3">
        <v>3754</v>
      </c>
      <c r="H3126" s="3">
        <v>72.599999999999994</v>
      </c>
      <c r="I3126" s="3">
        <v>15.5</v>
      </c>
      <c r="J3126" s="3">
        <v>11.7</v>
      </c>
      <c r="K3126" s="3">
        <v>0.2</v>
      </c>
      <c r="L3126" s="3">
        <v>4.0999999999999996</v>
      </c>
      <c r="M3126" t="str">
        <f>IF(acs2015_county_data[[#This Row],[PublicWork]]&gt;='Описательные характеристики'!$F$5,"да","нет")</f>
        <v>нет</v>
      </c>
      <c r="N3126" t="str">
        <f>IF(acs2015_county_data[[#This Row],[Unemployment]]&gt;='Описательные характеристики'!$I$5,"да","нет")</f>
        <v>нет</v>
      </c>
    </row>
    <row r="3127" spans="1:14" x14ac:dyDescent="0.35">
      <c r="A3127">
        <v>56013</v>
      </c>
      <c r="B3127" t="s">
        <v>1216</v>
      </c>
      <c r="C3127" t="s">
        <v>258</v>
      </c>
      <c r="D3127" s="2">
        <v>40755</v>
      </c>
      <c r="E3127" s="2">
        <v>25293</v>
      </c>
      <c r="F3127" s="3">
        <v>6.3</v>
      </c>
      <c r="G3127" s="3">
        <v>18736</v>
      </c>
      <c r="H3127" s="3">
        <v>61.8</v>
      </c>
      <c r="I3127" s="3">
        <v>28.3</v>
      </c>
      <c r="J3127" s="3">
        <v>9.4</v>
      </c>
      <c r="K3127" s="3">
        <v>0.5</v>
      </c>
      <c r="L3127" s="3">
        <v>7.8</v>
      </c>
      <c r="M3127" t="str">
        <f>IF(acs2015_county_data[[#This Row],[PublicWork]]&gt;='Описательные характеристики'!$F$5,"да","нет")</f>
        <v>да</v>
      </c>
      <c r="N3127" t="str">
        <f>IF(acs2015_county_data[[#This Row],[Unemployment]]&gt;='Описательные характеристики'!$I$5,"да","нет")</f>
        <v>да</v>
      </c>
    </row>
    <row r="3128" spans="1:14" x14ac:dyDescent="0.35">
      <c r="A3128">
        <v>56015</v>
      </c>
      <c r="B3128" t="s">
        <v>1216</v>
      </c>
      <c r="C3128" t="s">
        <v>1882</v>
      </c>
      <c r="D3128" s="2">
        <v>13544</v>
      </c>
      <c r="E3128" s="2">
        <v>25105</v>
      </c>
      <c r="F3128" s="3">
        <v>7.2</v>
      </c>
      <c r="G3128" s="3">
        <v>6080</v>
      </c>
      <c r="H3128" s="3">
        <v>61.1</v>
      </c>
      <c r="I3128" s="3">
        <v>27.8</v>
      </c>
      <c r="J3128" s="3">
        <v>10.9</v>
      </c>
      <c r="K3128" s="3">
        <v>0.3</v>
      </c>
      <c r="L3128" s="3">
        <v>6.8</v>
      </c>
      <c r="M3128" t="str">
        <f>IF(acs2015_county_data[[#This Row],[PublicWork]]&gt;='Описательные характеристики'!$F$5,"да","нет")</f>
        <v>да</v>
      </c>
      <c r="N3128" t="str">
        <f>IF(acs2015_county_data[[#This Row],[Unemployment]]&gt;='Описательные характеристики'!$I$5,"да","нет")</f>
        <v>нет</v>
      </c>
    </row>
    <row r="3129" spans="1:14" x14ac:dyDescent="0.35">
      <c r="A3129">
        <v>56017</v>
      </c>
      <c r="B3129" t="s">
        <v>1216</v>
      </c>
      <c r="C3129" t="s">
        <v>1883</v>
      </c>
      <c r="D3129" s="2">
        <v>4809</v>
      </c>
      <c r="E3129" s="2">
        <v>27259</v>
      </c>
      <c r="F3129" s="3">
        <v>5.2</v>
      </c>
      <c r="G3129" s="3">
        <v>2292</v>
      </c>
      <c r="H3129" s="3">
        <v>70.5</v>
      </c>
      <c r="I3129" s="3">
        <v>19</v>
      </c>
      <c r="J3129" s="3">
        <v>9.9</v>
      </c>
      <c r="K3129" s="3">
        <v>0.7</v>
      </c>
      <c r="L3129" s="3">
        <v>3.3</v>
      </c>
      <c r="M3129" t="str">
        <f>IF(acs2015_county_data[[#This Row],[PublicWork]]&gt;='Описательные характеристики'!$F$5,"да","нет")</f>
        <v>да</v>
      </c>
      <c r="N3129" t="str">
        <f>IF(acs2015_county_data[[#This Row],[Unemployment]]&gt;='Описательные характеристики'!$I$5,"да","нет")</f>
        <v>нет</v>
      </c>
    </row>
    <row r="3130" spans="1:14" x14ac:dyDescent="0.35">
      <c r="A3130">
        <v>56019</v>
      </c>
      <c r="B3130" t="s">
        <v>1216</v>
      </c>
      <c r="C3130" t="s">
        <v>150</v>
      </c>
      <c r="D3130" s="2">
        <v>8600</v>
      </c>
      <c r="E3130" s="2">
        <v>30144</v>
      </c>
      <c r="F3130" s="3">
        <v>7.3</v>
      </c>
      <c r="G3130" s="3">
        <v>4300</v>
      </c>
      <c r="H3130" s="3">
        <v>71.7</v>
      </c>
      <c r="I3130" s="3">
        <v>19.2</v>
      </c>
      <c r="J3130" s="3">
        <v>8.1999999999999993</v>
      </c>
      <c r="K3130" s="3">
        <v>0.9</v>
      </c>
      <c r="L3130" s="3">
        <v>3.6</v>
      </c>
      <c r="M3130" t="str">
        <f>IF(acs2015_county_data[[#This Row],[PublicWork]]&gt;='Описательные характеристики'!$F$5,"да","нет")</f>
        <v>да</v>
      </c>
      <c r="N3130" t="str">
        <f>IF(acs2015_county_data[[#This Row],[Unemployment]]&gt;='Описательные характеристики'!$I$5,"да","нет")</f>
        <v>нет</v>
      </c>
    </row>
    <row r="3131" spans="1:14" x14ac:dyDescent="0.35">
      <c r="A3131">
        <v>56021</v>
      </c>
      <c r="B3131" t="s">
        <v>1216</v>
      </c>
      <c r="C3131" t="s">
        <v>1884</v>
      </c>
      <c r="D3131" s="2">
        <v>95431</v>
      </c>
      <c r="E3131" s="2">
        <v>30047</v>
      </c>
      <c r="F3131" s="3">
        <v>3</v>
      </c>
      <c r="G3131" s="3">
        <v>46206</v>
      </c>
      <c r="H3131" s="3">
        <v>67.599999999999994</v>
      </c>
      <c r="I3131" s="3">
        <v>27.7</v>
      </c>
      <c r="J3131" s="3">
        <v>4.5</v>
      </c>
      <c r="K3131" s="3">
        <v>0.2</v>
      </c>
      <c r="L3131" s="3">
        <v>5</v>
      </c>
      <c r="M3131" t="str">
        <f>IF(acs2015_county_data[[#This Row],[PublicWork]]&gt;='Описательные характеристики'!$F$5,"да","нет")</f>
        <v>да</v>
      </c>
      <c r="N3131" t="str">
        <f>IF(acs2015_county_data[[#This Row],[Unemployment]]&gt;='Описательные характеристики'!$I$5,"да","нет")</f>
        <v>нет</v>
      </c>
    </row>
    <row r="3132" spans="1:14" x14ac:dyDescent="0.35">
      <c r="A3132">
        <v>56023</v>
      </c>
      <c r="B3132" t="s">
        <v>1216</v>
      </c>
      <c r="C3132" t="s">
        <v>152</v>
      </c>
      <c r="D3132" s="2">
        <v>18316</v>
      </c>
      <c r="E3132" s="2">
        <v>29915</v>
      </c>
      <c r="F3132" s="3">
        <v>7.1</v>
      </c>
      <c r="G3132" s="3">
        <v>8724</v>
      </c>
      <c r="H3132" s="3">
        <v>73.599999999999994</v>
      </c>
      <c r="I3132" s="3">
        <v>19.8</v>
      </c>
      <c r="J3132" s="3">
        <v>6.2</v>
      </c>
      <c r="K3132" s="3">
        <v>0.3</v>
      </c>
      <c r="L3132" s="3">
        <v>6.4</v>
      </c>
      <c r="M3132" t="str">
        <f>IF(acs2015_county_data[[#This Row],[PublicWork]]&gt;='Описательные характеристики'!$F$5,"да","нет")</f>
        <v>да</v>
      </c>
      <c r="N3132" t="str">
        <f>IF(acs2015_county_data[[#This Row],[Unemployment]]&gt;='Описательные характеристики'!$I$5,"да","нет")</f>
        <v>нет</v>
      </c>
    </row>
    <row r="3133" spans="1:14" x14ac:dyDescent="0.35">
      <c r="A3133">
        <v>56025</v>
      </c>
      <c r="B3133" t="s">
        <v>1216</v>
      </c>
      <c r="C3133" t="s">
        <v>1885</v>
      </c>
      <c r="D3133" s="2">
        <v>80011</v>
      </c>
      <c r="E3133" s="2">
        <v>30783</v>
      </c>
      <c r="F3133" s="3">
        <v>3.1</v>
      </c>
      <c r="G3133" s="3">
        <v>41415</v>
      </c>
      <c r="H3133" s="3">
        <v>79</v>
      </c>
      <c r="I3133" s="3">
        <v>15.1</v>
      </c>
      <c r="J3133" s="3">
        <v>5.8</v>
      </c>
      <c r="K3133" s="3">
        <v>0.1</v>
      </c>
      <c r="L3133" s="3">
        <v>5.0999999999999996</v>
      </c>
      <c r="M3133" t="str">
        <f>IF(acs2015_county_data[[#This Row],[PublicWork]]&gt;='Описательные характеристики'!$F$5,"да","нет")</f>
        <v>нет</v>
      </c>
      <c r="N3133" t="str">
        <f>IF(acs2015_county_data[[#This Row],[Unemployment]]&gt;='Описательные характеристики'!$I$5,"да","нет")</f>
        <v>нет</v>
      </c>
    </row>
    <row r="3134" spans="1:14" x14ac:dyDescent="0.35">
      <c r="A3134">
        <v>56027</v>
      </c>
      <c r="B3134" t="s">
        <v>1216</v>
      </c>
      <c r="C3134" t="s">
        <v>1886</v>
      </c>
      <c r="D3134" s="2">
        <v>2516</v>
      </c>
      <c r="E3134" s="2">
        <v>25272</v>
      </c>
      <c r="F3134" s="3">
        <v>11.6</v>
      </c>
      <c r="G3134" s="3">
        <v>1114</v>
      </c>
      <c r="H3134" s="3">
        <v>42.2</v>
      </c>
      <c r="I3134" s="3">
        <v>38</v>
      </c>
      <c r="J3134" s="3">
        <v>18.7</v>
      </c>
      <c r="K3134" s="3">
        <v>1.2</v>
      </c>
      <c r="L3134" s="3">
        <v>1.6</v>
      </c>
      <c r="M3134" t="str">
        <f>IF(acs2015_county_data[[#This Row],[PublicWork]]&gt;='Описательные характеристики'!$F$5,"да","нет")</f>
        <v>да</v>
      </c>
      <c r="N3134" t="str">
        <f>IF(acs2015_county_data[[#This Row],[Unemployment]]&gt;='Описательные характеристики'!$I$5,"да","нет")</f>
        <v>нет</v>
      </c>
    </row>
    <row r="3135" spans="1:14" x14ac:dyDescent="0.35">
      <c r="A3135">
        <v>56029</v>
      </c>
      <c r="B3135" t="s">
        <v>1216</v>
      </c>
      <c r="C3135" t="s">
        <v>277</v>
      </c>
      <c r="D3135" s="2">
        <v>28985</v>
      </c>
      <c r="E3135" s="2">
        <v>29411</v>
      </c>
      <c r="F3135" s="3">
        <v>6.3</v>
      </c>
      <c r="G3135" s="3">
        <v>15305</v>
      </c>
      <c r="H3135" s="3">
        <v>75.7</v>
      </c>
      <c r="I3135" s="3">
        <v>16.899999999999999</v>
      </c>
      <c r="J3135" s="3">
        <v>7.3</v>
      </c>
      <c r="K3135" s="3">
        <v>0.1</v>
      </c>
      <c r="L3135" s="3">
        <v>3.8</v>
      </c>
      <c r="M3135" t="str">
        <f>IF(acs2015_county_data[[#This Row],[PublicWork]]&gt;='Описательные характеристики'!$F$5,"да","нет")</f>
        <v>да</v>
      </c>
      <c r="N3135" t="str">
        <f>IF(acs2015_county_data[[#This Row],[Unemployment]]&gt;='Описательные характеристики'!$I$5,"да","нет")</f>
        <v>нет</v>
      </c>
    </row>
    <row r="3136" spans="1:14" x14ac:dyDescent="0.35">
      <c r="A3136">
        <v>56031</v>
      </c>
      <c r="B3136" t="s">
        <v>1216</v>
      </c>
      <c r="C3136" t="s">
        <v>1041</v>
      </c>
      <c r="D3136" s="2">
        <v>8750</v>
      </c>
      <c r="E3136" s="2">
        <v>25899</v>
      </c>
      <c r="F3136" s="3">
        <v>10.4</v>
      </c>
      <c r="G3136" s="3">
        <v>4133</v>
      </c>
      <c r="H3136" s="3">
        <v>63.4</v>
      </c>
      <c r="I3136" s="3">
        <v>21.8</v>
      </c>
      <c r="J3136" s="3">
        <v>14.8</v>
      </c>
      <c r="K3136" s="3">
        <v>0</v>
      </c>
      <c r="L3136" s="3">
        <v>2.4</v>
      </c>
      <c r="M3136" t="str">
        <f>IF(acs2015_county_data[[#This Row],[PublicWork]]&gt;='Описательные характеристики'!$F$5,"да","нет")</f>
        <v>да</v>
      </c>
      <c r="N3136" t="str">
        <f>IF(acs2015_county_data[[#This Row],[Unemployment]]&gt;='Описательные характеристики'!$I$5,"да","нет")</f>
        <v>нет</v>
      </c>
    </row>
    <row r="3137" spans="1:14" x14ac:dyDescent="0.35">
      <c r="A3137">
        <v>56033</v>
      </c>
      <c r="B3137" t="s">
        <v>1216</v>
      </c>
      <c r="C3137" t="s">
        <v>696</v>
      </c>
      <c r="D3137" s="2">
        <v>29738</v>
      </c>
      <c r="E3137" s="2">
        <v>29892</v>
      </c>
      <c r="F3137" s="3">
        <v>5.5</v>
      </c>
      <c r="G3137" s="3">
        <v>14336</v>
      </c>
      <c r="H3137" s="3">
        <v>70.7</v>
      </c>
      <c r="I3137" s="3">
        <v>21</v>
      </c>
      <c r="J3137" s="3">
        <v>7.7</v>
      </c>
      <c r="K3137" s="3">
        <v>0.5</v>
      </c>
      <c r="L3137" s="3">
        <v>3.4</v>
      </c>
      <c r="M3137" t="str">
        <f>IF(acs2015_county_data[[#This Row],[PublicWork]]&gt;='Описательные характеристики'!$F$5,"да","нет")</f>
        <v>да</v>
      </c>
      <c r="N3137" t="str">
        <f>IF(acs2015_county_data[[#This Row],[Unemployment]]&gt;='Описательные характеристики'!$I$5,"да","нет")</f>
        <v>нет</v>
      </c>
    </row>
    <row r="3138" spans="1:14" x14ac:dyDescent="0.35">
      <c r="A3138">
        <v>56035</v>
      </c>
      <c r="B3138" t="s">
        <v>1216</v>
      </c>
      <c r="C3138" t="s">
        <v>1887</v>
      </c>
      <c r="D3138" s="2">
        <v>10117</v>
      </c>
      <c r="E3138" s="2">
        <v>33193</v>
      </c>
      <c r="F3138" s="3">
        <v>5.2</v>
      </c>
      <c r="G3138" s="3">
        <v>5541</v>
      </c>
      <c r="H3138" s="3">
        <v>73.099999999999994</v>
      </c>
      <c r="I3138" s="3">
        <v>22.8</v>
      </c>
      <c r="J3138" s="3">
        <v>3.9</v>
      </c>
      <c r="K3138" s="3">
        <v>0.1</v>
      </c>
      <c r="L3138" s="3">
        <v>5.4</v>
      </c>
      <c r="M3138" t="str">
        <f>IF(acs2015_county_data[[#This Row],[PublicWork]]&gt;='Описательные характеристики'!$F$5,"да","нет")</f>
        <v>да</v>
      </c>
      <c r="N3138" t="str">
        <f>IF(acs2015_county_data[[#This Row],[Unemployment]]&gt;='Описательные характеристики'!$I$5,"да","нет")</f>
        <v>нет</v>
      </c>
    </row>
    <row r="3139" spans="1:14" x14ac:dyDescent="0.35">
      <c r="A3139">
        <v>56037</v>
      </c>
      <c r="B3139" t="s">
        <v>1216</v>
      </c>
      <c r="C3139" t="s">
        <v>1888</v>
      </c>
      <c r="D3139" s="2">
        <v>44772</v>
      </c>
      <c r="E3139" s="2">
        <v>30568</v>
      </c>
      <c r="F3139" s="3">
        <v>1.6</v>
      </c>
      <c r="G3139" s="3">
        <v>23010</v>
      </c>
      <c r="H3139" s="3">
        <v>78.599999999999994</v>
      </c>
      <c r="I3139" s="3">
        <v>17.7</v>
      </c>
      <c r="J3139" s="3">
        <v>3.7</v>
      </c>
      <c r="K3139" s="3">
        <v>0</v>
      </c>
      <c r="L3139" s="3">
        <v>5.4</v>
      </c>
      <c r="M3139" t="str">
        <f>IF(acs2015_county_data[[#This Row],[PublicWork]]&gt;='Описательные характеристики'!$F$5,"да","нет")</f>
        <v>да</v>
      </c>
      <c r="N3139" t="str">
        <f>IF(acs2015_county_data[[#This Row],[Unemployment]]&gt;='Описательные характеристики'!$I$5,"да","нет")</f>
        <v>нет</v>
      </c>
    </row>
    <row r="3140" spans="1:14" x14ac:dyDescent="0.35">
      <c r="A3140">
        <v>56039</v>
      </c>
      <c r="B3140" t="s">
        <v>1216</v>
      </c>
      <c r="C3140" t="s">
        <v>500</v>
      </c>
      <c r="D3140" s="2">
        <v>22311</v>
      </c>
      <c r="E3140" s="2">
        <v>44231</v>
      </c>
      <c r="F3140" s="3">
        <v>5.5</v>
      </c>
      <c r="G3140" s="3">
        <v>14298</v>
      </c>
      <c r="H3140" s="3">
        <v>81.3</v>
      </c>
      <c r="I3140" s="3">
        <v>11.2</v>
      </c>
      <c r="J3140" s="3">
        <v>7.5</v>
      </c>
      <c r="K3140" s="3">
        <v>0</v>
      </c>
      <c r="L3140" s="3">
        <v>2.6</v>
      </c>
      <c r="M3140" t="str">
        <f>IF(acs2015_county_data[[#This Row],[PublicWork]]&gt;='Описательные характеристики'!$F$5,"да","нет")</f>
        <v>нет</v>
      </c>
      <c r="N3140" t="str">
        <f>IF(acs2015_county_data[[#This Row],[Unemployment]]&gt;='Описательные характеристики'!$I$5,"да","нет")</f>
        <v>нет</v>
      </c>
    </row>
    <row r="3141" spans="1:14" x14ac:dyDescent="0.35">
      <c r="A3141">
        <v>56041</v>
      </c>
      <c r="B3141" t="s">
        <v>1216</v>
      </c>
      <c r="C3141" t="s">
        <v>1889</v>
      </c>
      <c r="D3141" s="2">
        <v>20930</v>
      </c>
      <c r="E3141" s="2">
        <v>25772</v>
      </c>
      <c r="F3141" s="3">
        <v>3</v>
      </c>
      <c r="G3141" s="3">
        <v>10064</v>
      </c>
      <c r="H3141" s="3">
        <v>75.400000000000006</v>
      </c>
      <c r="I3141" s="3">
        <v>19</v>
      </c>
      <c r="J3141" s="3">
        <v>5.6</v>
      </c>
      <c r="K3141" s="3">
        <v>0</v>
      </c>
      <c r="L3141" s="3">
        <v>4.4000000000000004</v>
      </c>
      <c r="M3141" t="str">
        <f>IF(acs2015_county_data[[#This Row],[PublicWork]]&gt;='Описательные характеристики'!$F$5,"да","нет")</f>
        <v>да</v>
      </c>
      <c r="N3141" t="str">
        <f>IF(acs2015_county_data[[#This Row],[Unemployment]]&gt;='Описательные характеристики'!$I$5,"да","нет")</f>
        <v>нет</v>
      </c>
    </row>
    <row r="3142" spans="1:14" x14ac:dyDescent="0.35">
      <c r="A3142">
        <v>56043</v>
      </c>
      <c r="B3142" t="s">
        <v>1216</v>
      </c>
      <c r="C3142" t="s">
        <v>1890</v>
      </c>
      <c r="D3142" s="2">
        <v>8400</v>
      </c>
      <c r="E3142" s="2">
        <v>27394</v>
      </c>
      <c r="F3142" s="3">
        <v>4.5</v>
      </c>
      <c r="G3142" s="3">
        <v>3892</v>
      </c>
      <c r="H3142" s="3">
        <v>70.5</v>
      </c>
      <c r="I3142" s="3">
        <v>21.5</v>
      </c>
      <c r="J3142" s="3">
        <v>7.6</v>
      </c>
      <c r="K3142" s="3">
        <v>0.5</v>
      </c>
      <c r="L3142" s="3">
        <v>6.8</v>
      </c>
      <c r="M3142" t="str">
        <f>IF(acs2015_county_data[[#This Row],[PublicWork]]&gt;='Описательные характеристики'!$F$5,"да","нет")</f>
        <v>да</v>
      </c>
      <c r="N3142" t="str">
        <f>IF(acs2015_county_data[[#This Row],[Unemployment]]&gt;='Описательные характеристики'!$I$5,"да","нет")</f>
        <v>нет</v>
      </c>
    </row>
    <row r="3143" spans="1:14" x14ac:dyDescent="0.35">
      <c r="A3143">
        <v>56045</v>
      </c>
      <c r="B3143" t="s">
        <v>1216</v>
      </c>
      <c r="C3143" t="s">
        <v>1891</v>
      </c>
      <c r="D3143" s="2">
        <v>7152</v>
      </c>
      <c r="E3143" s="2">
        <v>30245</v>
      </c>
      <c r="F3143" s="3">
        <v>5.5</v>
      </c>
      <c r="G3143" s="3">
        <v>3343</v>
      </c>
      <c r="H3143" s="3">
        <v>70.2</v>
      </c>
      <c r="I3143" s="3">
        <v>20.2</v>
      </c>
      <c r="J3143" s="3">
        <v>8.3000000000000007</v>
      </c>
      <c r="K3143" s="3">
        <v>1.3</v>
      </c>
      <c r="L3143" s="3">
        <v>5.2</v>
      </c>
      <c r="M3143" t="str">
        <f>IF(acs2015_county_data[[#This Row],[PublicWork]]&gt;='Описательные характеристики'!$F$5,"да","нет")</f>
        <v>да</v>
      </c>
      <c r="N3143" t="str">
        <f>IF(acs2015_county_data[[#This Row],[Unemployment]]&gt;='Описательные характеристики'!$I$5,"да","нет")</f>
        <v>нет</v>
      </c>
    </row>
    <row r="3144" spans="1:14" x14ac:dyDescent="0.35">
      <c r="A3144">
        <v>72001</v>
      </c>
      <c r="B3144" t="s">
        <v>1892</v>
      </c>
      <c r="C3144" t="s">
        <v>1893</v>
      </c>
      <c r="D3144" s="2">
        <v>18962</v>
      </c>
      <c r="E3144" s="2">
        <v>7270</v>
      </c>
      <c r="F3144" s="3">
        <v>1</v>
      </c>
      <c r="G3144" s="3">
        <v>4093</v>
      </c>
      <c r="H3144" s="3">
        <v>63</v>
      </c>
      <c r="I3144" s="3">
        <v>28.7</v>
      </c>
      <c r="J3144" s="3">
        <v>8</v>
      </c>
      <c r="K3144" s="3">
        <v>0.3</v>
      </c>
      <c r="L3144" s="3">
        <v>36.5</v>
      </c>
      <c r="M3144" t="str">
        <f>IF(acs2015_county_data[[#This Row],[PublicWork]]&gt;='Описательные характеристики'!$F$5,"да","нет")</f>
        <v>да</v>
      </c>
      <c r="N3144" t="str">
        <f>IF(acs2015_county_data[[#This Row],[Unemployment]]&gt;='Описательные характеристики'!$I$5,"да","нет")</f>
        <v>да</v>
      </c>
    </row>
    <row r="3145" spans="1:14" x14ac:dyDescent="0.35">
      <c r="A3145">
        <v>72003</v>
      </c>
      <c r="B3145" t="s">
        <v>1892</v>
      </c>
      <c r="C3145" t="s">
        <v>1894</v>
      </c>
      <c r="D3145" s="2">
        <v>40603</v>
      </c>
      <c r="E3145" s="2">
        <v>8465</v>
      </c>
      <c r="F3145" s="3">
        <v>4.3</v>
      </c>
      <c r="G3145" s="3">
        <v>11540</v>
      </c>
      <c r="H3145" s="3">
        <v>67.400000000000006</v>
      </c>
      <c r="I3145" s="3">
        <v>21.9</v>
      </c>
      <c r="J3145" s="3">
        <v>10.6</v>
      </c>
      <c r="K3145" s="3">
        <v>0</v>
      </c>
      <c r="L3145" s="3">
        <v>25.1</v>
      </c>
      <c r="M3145" t="str">
        <f>IF(acs2015_county_data[[#This Row],[PublicWork]]&gt;='Описательные характеристики'!$F$5,"да","нет")</f>
        <v>да</v>
      </c>
      <c r="N3145" t="str">
        <f>IF(acs2015_county_data[[#This Row],[Unemployment]]&gt;='Описательные характеристики'!$I$5,"да","нет")</f>
        <v>да</v>
      </c>
    </row>
    <row r="3146" spans="1:14" x14ac:dyDescent="0.35">
      <c r="A3146">
        <v>72005</v>
      </c>
      <c r="B3146" t="s">
        <v>1892</v>
      </c>
      <c r="C3146" t="s">
        <v>1895</v>
      </c>
      <c r="D3146" s="2">
        <v>57973</v>
      </c>
      <c r="E3146" s="2">
        <v>10297</v>
      </c>
      <c r="F3146" s="3">
        <v>1.6</v>
      </c>
      <c r="G3146" s="3">
        <v>14616</v>
      </c>
      <c r="H3146" s="3">
        <v>63.8</v>
      </c>
      <c r="I3146" s="3">
        <v>27.4</v>
      </c>
      <c r="J3146" s="3">
        <v>8.6999999999999993</v>
      </c>
      <c r="K3146" s="3">
        <v>0.1</v>
      </c>
      <c r="L3146" s="3">
        <v>23.2</v>
      </c>
      <c r="M3146" t="str">
        <f>IF(acs2015_county_data[[#This Row],[PublicWork]]&gt;='Описательные характеристики'!$F$5,"да","нет")</f>
        <v>да</v>
      </c>
      <c r="N3146" t="str">
        <f>IF(acs2015_county_data[[#This Row],[Unemployment]]&gt;='Описательные характеристики'!$I$5,"да","нет")</f>
        <v>да</v>
      </c>
    </row>
    <row r="3147" spans="1:14" x14ac:dyDescent="0.35">
      <c r="A3147">
        <v>72007</v>
      </c>
      <c r="B3147" t="s">
        <v>1892</v>
      </c>
      <c r="C3147" t="s">
        <v>1896</v>
      </c>
      <c r="D3147" s="2">
        <v>27693</v>
      </c>
      <c r="E3147" s="2">
        <v>8441</v>
      </c>
      <c r="F3147" s="3">
        <v>2.2999999999999998</v>
      </c>
      <c r="G3147" s="3">
        <v>6459</v>
      </c>
      <c r="H3147" s="3">
        <v>68.5</v>
      </c>
      <c r="I3147" s="3">
        <v>20.5</v>
      </c>
      <c r="J3147" s="3">
        <v>11</v>
      </c>
      <c r="K3147" s="3">
        <v>0</v>
      </c>
      <c r="L3147" s="3">
        <v>24.6</v>
      </c>
      <c r="M3147" t="str">
        <f>IF(acs2015_county_data[[#This Row],[PublicWork]]&gt;='Описательные характеристики'!$F$5,"да","нет")</f>
        <v>да</v>
      </c>
      <c r="N3147" t="str">
        <f>IF(acs2015_county_data[[#This Row],[Unemployment]]&gt;='Описательные характеристики'!$I$5,"да","нет")</f>
        <v>да</v>
      </c>
    </row>
    <row r="3148" spans="1:14" x14ac:dyDescent="0.35">
      <c r="A3148">
        <v>72009</v>
      </c>
      <c r="B3148" t="s">
        <v>1892</v>
      </c>
      <c r="C3148" t="s">
        <v>1897</v>
      </c>
      <c r="D3148" s="2">
        <v>24829</v>
      </c>
      <c r="E3148" s="2">
        <v>8867</v>
      </c>
      <c r="F3148" s="3">
        <v>0.8</v>
      </c>
      <c r="G3148" s="3">
        <v>5902</v>
      </c>
      <c r="H3148" s="3">
        <v>71.5</v>
      </c>
      <c r="I3148" s="3">
        <v>23.6</v>
      </c>
      <c r="J3148" s="3">
        <v>4.5999999999999996</v>
      </c>
      <c r="K3148" s="3">
        <v>0.3</v>
      </c>
      <c r="L3148" s="3">
        <v>6</v>
      </c>
      <c r="M3148" t="str">
        <f>IF(acs2015_county_data[[#This Row],[PublicWork]]&gt;='Описательные характеристики'!$F$5,"да","нет")</f>
        <v>да</v>
      </c>
      <c r="N3148" t="str">
        <f>IF(acs2015_county_data[[#This Row],[Unemployment]]&gt;='Описательные характеристики'!$I$5,"да","нет")</f>
        <v>нет</v>
      </c>
    </row>
    <row r="3149" spans="1:14" x14ac:dyDescent="0.35">
      <c r="A3149">
        <v>72011</v>
      </c>
      <c r="B3149" t="s">
        <v>1892</v>
      </c>
      <c r="C3149" t="s">
        <v>1898</v>
      </c>
      <c r="D3149" s="2">
        <v>28579</v>
      </c>
      <c r="E3149" s="2">
        <v>8536</v>
      </c>
      <c r="F3149" s="3">
        <v>3.3</v>
      </c>
      <c r="G3149" s="3">
        <v>8286</v>
      </c>
      <c r="H3149" s="3">
        <v>70</v>
      </c>
      <c r="I3149" s="3">
        <v>20.6</v>
      </c>
      <c r="J3149" s="3">
        <v>9.4</v>
      </c>
      <c r="K3149" s="3">
        <v>0</v>
      </c>
      <c r="L3149" s="3">
        <v>15</v>
      </c>
      <c r="M3149" t="str">
        <f>IF(acs2015_county_data[[#This Row],[PublicWork]]&gt;='Описательные характеристики'!$F$5,"да","нет")</f>
        <v>да</v>
      </c>
      <c r="N3149" t="str">
        <f>IF(acs2015_county_data[[#This Row],[Unemployment]]&gt;='Описательные характеристики'!$I$5,"да","нет")</f>
        <v>да</v>
      </c>
    </row>
    <row r="3150" spans="1:14" x14ac:dyDescent="0.35">
      <c r="A3150">
        <v>72013</v>
      </c>
      <c r="B3150" t="s">
        <v>1892</v>
      </c>
      <c r="C3150" t="s">
        <v>1899</v>
      </c>
      <c r="D3150" s="2">
        <v>92511</v>
      </c>
      <c r="E3150" s="2">
        <v>9461</v>
      </c>
      <c r="F3150" s="3">
        <v>1.7</v>
      </c>
      <c r="G3150" s="3">
        <v>23545</v>
      </c>
      <c r="H3150" s="3">
        <v>67.5</v>
      </c>
      <c r="I3150" s="3">
        <v>25</v>
      </c>
      <c r="J3150" s="3">
        <v>7.4</v>
      </c>
      <c r="K3150" s="3">
        <v>0.2</v>
      </c>
      <c r="L3150" s="3">
        <v>17.7</v>
      </c>
      <c r="M3150" t="str">
        <f>IF(acs2015_county_data[[#This Row],[PublicWork]]&gt;='Описательные характеристики'!$F$5,"да","нет")</f>
        <v>да</v>
      </c>
      <c r="N3150" t="str">
        <f>IF(acs2015_county_data[[#This Row],[Unemployment]]&gt;='Описательные характеристики'!$I$5,"да","нет")</f>
        <v>да</v>
      </c>
    </row>
    <row r="3151" spans="1:14" x14ac:dyDescent="0.35">
      <c r="A3151">
        <v>72015</v>
      </c>
      <c r="B3151" t="s">
        <v>1892</v>
      </c>
      <c r="C3151" t="s">
        <v>1900</v>
      </c>
      <c r="D3151" s="2">
        <v>19018</v>
      </c>
      <c r="E3151" s="2">
        <v>7562</v>
      </c>
      <c r="F3151" s="3">
        <v>1</v>
      </c>
      <c r="G3151" s="3">
        <v>4000</v>
      </c>
      <c r="H3151" s="3">
        <v>62.7</v>
      </c>
      <c r="I3151" s="3">
        <v>30.5</v>
      </c>
      <c r="J3151" s="3">
        <v>6.9</v>
      </c>
      <c r="K3151" s="3">
        <v>0</v>
      </c>
      <c r="L3151" s="3">
        <v>22.9</v>
      </c>
      <c r="M3151" t="str">
        <f>IF(acs2015_county_data[[#This Row],[PublicWork]]&gt;='Описательные характеристики'!$F$5,"да","нет")</f>
        <v>да</v>
      </c>
      <c r="N3151" t="str">
        <f>IF(acs2015_county_data[[#This Row],[Unemployment]]&gt;='Описательные характеристики'!$I$5,"да","нет")</f>
        <v>да</v>
      </c>
    </row>
    <row r="3152" spans="1:14" x14ac:dyDescent="0.35">
      <c r="A3152">
        <v>72017</v>
      </c>
      <c r="B3152" t="s">
        <v>1892</v>
      </c>
      <c r="C3152" t="s">
        <v>1901</v>
      </c>
      <c r="D3152" s="2">
        <v>24775</v>
      </c>
      <c r="E3152" s="2">
        <v>7849</v>
      </c>
      <c r="F3152" s="3">
        <v>0</v>
      </c>
      <c r="G3152" s="3">
        <v>5392</v>
      </c>
      <c r="H3152" s="3">
        <v>71.099999999999994</v>
      </c>
      <c r="I3152" s="3">
        <v>25.2</v>
      </c>
      <c r="J3152" s="3">
        <v>3.7</v>
      </c>
      <c r="K3152" s="3">
        <v>0</v>
      </c>
      <c r="L3152" s="3">
        <v>17.100000000000001</v>
      </c>
      <c r="M3152" t="str">
        <f>IF(acs2015_county_data[[#This Row],[PublicWork]]&gt;='Описательные характеристики'!$F$5,"да","нет")</f>
        <v>да</v>
      </c>
      <c r="N3152" t="str">
        <f>IF(acs2015_county_data[[#This Row],[Unemployment]]&gt;='Описательные характеристики'!$I$5,"да","нет")</f>
        <v>да</v>
      </c>
    </row>
    <row r="3153" spans="1:14" x14ac:dyDescent="0.35">
      <c r="A3153">
        <v>72019</v>
      </c>
      <c r="B3153" t="s">
        <v>1892</v>
      </c>
      <c r="C3153" t="s">
        <v>1902</v>
      </c>
      <c r="D3153" s="2">
        <v>29805</v>
      </c>
      <c r="E3153" s="2">
        <v>7361</v>
      </c>
      <c r="F3153" s="3">
        <v>1.8</v>
      </c>
      <c r="G3153" s="3">
        <v>6235</v>
      </c>
      <c r="H3153" s="3">
        <v>62</v>
      </c>
      <c r="I3153" s="3">
        <v>30</v>
      </c>
      <c r="J3153" s="3">
        <v>8</v>
      </c>
      <c r="K3153" s="3">
        <v>0</v>
      </c>
      <c r="L3153" s="3">
        <v>6.8</v>
      </c>
      <c r="M3153" t="str">
        <f>IF(acs2015_county_data[[#This Row],[PublicWork]]&gt;='Описательные характеристики'!$F$5,"да","нет")</f>
        <v>да</v>
      </c>
      <c r="N3153" t="str">
        <f>IF(acs2015_county_data[[#This Row],[Unemployment]]&gt;='Описательные характеристики'!$I$5,"да","нет")</f>
        <v>нет</v>
      </c>
    </row>
    <row r="3154" spans="1:14" x14ac:dyDescent="0.35">
      <c r="A3154">
        <v>72021</v>
      </c>
      <c r="B3154" t="s">
        <v>1892</v>
      </c>
      <c r="C3154" t="s">
        <v>1903</v>
      </c>
      <c r="D3154" s="2">
        <v>197287</v>
      </c>
      <c r="E3154" s="2">
        <v>13068</v>
      </c>
      <c r="F3154" s="3">
        <v>1.9</v>
      </c>
      <c r="G3154" s="3">
        <v>68598</v>
      </c>
      <c r="H3154" s="3">
        <v>70.900000000000006</v>
      </c>
      <c r="I3154" s="3">
        <v>20.8</v>
      </c>
      <c r="J3154" s="3">
        <v>8.1999999999999993</v>
      </c>
      <c r="K3154" s="3">
        <v>0.2</v>
      </c>
      <c r="L3154" s="3">
        <v>16.100000000000001</v>
      </c>
      <c r="M3154" t="str">
        <f>IF(acs2015_county_data[[#This Row],[PublicWork]]&gt;='Описательные характеристики'!$F$5,"да","нет")</f>
        <v>да</v>
      </c>
      <c r="N3154" t="str">
        <f>IF(acs2015_county_data[[#This Row],[Unemployment]]&gt;='Описательные характеристики'!$I$5,"да","нет")</f>
        <v>да</v>
      </c>
    </row>
    <row r="3155" spans="1:14" x14ac:dyDescent="0.35">
      <c r="A3155">
        <v>72023</v>
      </c>
      <c r="B3155" t="s">
        <v>1892</v>
      </c>
      <c r="C3155" t="s">
        <v>1904</v>
      </c>
      <c r="D3155" s="2">
        <v>50380</v>
      </c>
      <c r="E3155" s="2">
        <v>9500</v>
      </c>
      <c r="F3155" s="3">
        <v>5.2</v>
      </c>
      <c r="G3155" s="3">
        <v>12421</v>
      </c>
      <c r="H3155" s="3">
        <v>65.900000000000006</v>
      </c>
      <c r="I3155" s="3">
        <v>26.1</v>
      </c>
      <c r="J3155" s="3">
        <v>8</v>
      </c>
      <c r="K3155" s="3">
        <v>0</v>
      </c>
      <c r="L3155" s="3">
        <v>11.8</v>
      </c>
      <c r="M3155" t="str">
        <f>IF(acs2015_county_data[[#This Row],[PublicWork]]&gt;='Описательные характеристики'!$F$5,"да","нет")</f>
        <v>да</v>
      </c>
      <c r="N3155" t="str">
        <f>IF(acs2015_county_data[[#This Row],[Unemployment]]&gt;='Описательные характеристики'!$I$5,"да","нет")</f>
        <v>да</v>
      </c>
    </row>
    <row r="3156" spans="1:14" x14ac:dyDescent="0.35">
      <c r="A3156">
        <v>72025</v>
      </c>
      <c r="B3156" t="s">
        <v>1892</v>
      </c>
      <c r="C3156" t="s">
        <v>1905</v>
      </c>
      <c r="D3156" s="2">
        <v>138262</v>
      </c>
      <c r="E3156" s="2">
        <v>13486</v>
      </c>
      <c r="F3156" s="3">
        <v>1.9</v>
      </c>
      <c r="G3156" s="3">
        <v>48083</v>
      </c>
      <c r="H3156" s="3">
        <v>71.099999999999994</v>
      </c>
      <c r="I3156" s="3">
        <v>20.100000000000001</v>
      </c>
      <c r="J3156" s="3">
        <v>8.6999999999999993</v>
      </c>
      <c r="K3156" s="3">
        <v>0.1</v>
      </c>
      <c r="L3156" s="3">
        <v>15.9</v>
      </c>
      <c r="M3156" t="str">
        <f>IF(acs2015_county_data[[#This Row],[PublicWork]]&gt;='Описательные характеристики'!$F$5,"да","нет")</f>
        <v>да</v>
      </c>
      <c r="N3156" t="str">
        <f>IF(acs2015_county_data[[#This Row],[Unemployment]]&gt;='Описательные характеристики'!$I$5,"да","нет")</f>
        <v>да</v>
      </c>
    </row>
    <row r="3157" spans="1:14" x14ac:dyDescent="0.35">
      <c r="A3157">
        <v>72027</v>
      </c>
      <c r="B3157" t="s">
        <v>1892</v>
      </c>
      <c r="C3157" t="s">
        <v>1906</v>
      </c>
      <c r="D3157" s="2">
        <v>33949</v>
      </c>
      <c r="E3157" s="2">
        <v>9234</v>
      </c>
      <c r="F3157" s="3">
        <v>0.9</v>
      </c>
      <c r="G3157" s="3">
        <v>8899</v>
      </c>
      <c r="H3157" s="3">
        <v>66.5</v>
      </c>
      <c r="I3157" s="3">
        <v>23.9</v>
      </c>
      <c r="J3157" s="3">
        <v>9.3000000000000007</v>
      </c>
      <c r="K3157" s="3">
        <v>0.2</v>
      </c>
      <c r="L3157" s="3">
        <v>21.4</v>
      </c>
      <c r="M3157" t="str">
        <f>IF(acs2015_county_data[[#This Row],[PublicWork]]&gt;='Описательные характеристики'!$F$5,"да","нет")</f>
        <v>да</v>
      </c>
      <c r="N3157" t="str">
        <f>IF(acs2015_county_data[[#This Row],[Unemployment]]&gt;='Описательные характеристики'!$I$5,"да","нет")</f>
        <v>да</v>
      </c>
    </row>
    <row r="3158" spans="1:14" x14ac:dyDescent="0.35">
      <c r="A3158">
        <v>72029</v>
      </c>
      <c r="B3158" t="s">
        <v>1892</v>
      </c>
      <c r="C3158" t="s">
        <v>1907</v>
      </c>
      <c r="D3158" s="2">
        <v>47432</v>
      </c>
      <c r="E3158" s="2">
        <v>10621</v>
      </c>
      <c r="F3158" s="3">
        <v>1.5</v>
      </c>
      <c r="G3158" s="3">
        <v>14797</v>
      </c>
      <c r="H3158" s="3">
        <v>70.8</v>
      </c>
      <c r="I3158" s="3">
        <v>21.2</v>
      </c>
      <c r="J3158" s="3">
        <v>7.9</v>
      </c>
      <c r="K3158" s="3">
        <v>0</v>
      </c>
      <c r="L3158" s="3">
        <v>22.6</v>
      </c>
      <c r="M3158" t="str">
        <f>IF(acs2015_county_data[[#This Row],[PublicWork]]&gt;='Описательные характеристики'!$F$5,"да","нет")</f>
        <v>да</v>
      </c>
      <c r="N3158" t="str">
        <f>IF(acs2015_county_data[[#This Row],[Unemployment]]&gt;='Описательные характеристики'!$I$5,"да","нет")</f>
        <v>да</v>
      </c>
    </row>
    <row r="3159" spans="1:14" x14ac:dyDescent="0.35">
      <c r="A3159">
        <v>72031</v>
      </c>
      <c r="B3159" t="s">
        <v>1892</v>
      </c>
      <c r="C3159" t="s">
        <v>1908</v>
      </c>
      <c r="D3159" s="2">
        <v>168114</v>
      </c>
      <c r="E3159" s="2">
        <v>15185</v>
      </c>
      <c r="F3159" s="3">
        <v>1.8</v>
      </c>
      <c r="G3159" s="3">
        <v>63979</v>
      </c>
      <c r="H3159" s="3">
        <v>69</v>
      </c>
      <c r="I3159" s="3">
        <v>22</v>
      </c>
      <c r="J3159" s="3">
        <v>8.9</v>
      </c>
      <c r="K3159" s="3">
        <v>0.1</v>
      </c>
      <c r="L3159" s="3">
        <v>14.5</v>
      </c>
      <c r="M3159" t="str">
        <f>IF(acs2015_county_data[[#This Row],[PublicWork]]&gt;='Описательные характеристики'!$F$5,"да","нет")</f>
        <v>да</v>
      </c>
      <c r="N3159" t="str">
        <f>IF(acs2015_county_data[[#This Row],[Unemployment]]&gt;='Описательные характеристики'!$I$5,"да","нет")</f>
        <v>да</v>
      </c>
    </row>
    <row r="3160" spans="1:14" x14ac:dyDescent="0.35">
      <c r="A3160">
        <v>72033</v>
      </c>
      <c r="B3160" t="s">
        <v>1892</v>
      </c>
      <c r="C3160" t="s">
        <v>1909</v>
      </c>
      <c r="D3160" s="2">
        <v>26680</v>
      </c>
      <c r="E3160" s="2">
        <v>10820</v>
      </c>
      <c r="F3160" s="3">
        <v>2.2000000000000002</v>
      </c>
      <c r="G3160" s="3">
        <v>7883</v>
      </c>
      <c r="H3160" s="3">
        <v>65.599999999999994</v>
      </c>
      <c r="I3160" s="3">
        <v>22.8</v>
      </c>
      <c r="J3160" s="3">
        <v>11.6</v>
      </c>
      <c r="K3160" s="3">
        <v>0</v>
      </c>
      <c r="L3160" s="3">
        <v>30.8</v>
      </c>
      <c r="M3160" t="str">
        <f>IF(acs2015_county_data[[#This Row],[PublicWork]]&gt;='Описательные характеристики'!$F$5,"да","нет")</f>
        <v>да</v>
      </c>
      <c r="N3160" t="str">
        <f>IF(acs2015_county_data[[#This Row],[Unemployment]]&gt;='Описательные характеристики'!$I$5,"да","нет")</f>
        <v>да</v>
      </c>
    </row>
    <row r="3161" spans="1:14" x14ac:dyDescent="0.35">
      <c r="A3161">
        <v>72035</v>
      </c>
      <c r="B3161" t="s">
        <v>1892</v>
      </c>
      <c r="C3161" t="s">
        <v>1910</v>
      </c>
      <c r="D3161" s="2">
        <v>46647</v>
      </c>
      <c r="E3161" s="2">
        <v>12453</v>
      </c>
      <c r="F3161" s="3">
        <v>3.3</v>
      </c>
      <c r="G3161" s="3">
        <v>15825</v>
      </c>
      <c r="H3161" s="3">
        <v>66.3</v>
      </c>
      <c r="I3161" s="3">
        <v>23.1</v>
      </c>
      <c r="J3161" s="3">
        <v>10.7</v>
      </c>
      <c r="K3161" s="3">
        <v>0</v>
      </c>
      <c r="L3161" s="3">
        <v>12.8</v>
      </c>
      <c r="M3161" t="str">
        <f>IF(acs2015_county_data[[#This Row],[PublicWork]]&gt;='Описательные характеристики'!$F$5,"да","нет")</f>
        <v>да</v>
      </c>
      <c r="N3161" t="str">
        <f>IF(acs2015_county_data[[#This Row],[Unemployment]]&gt;='Описательные характеристики'!$I$5,"да","нет")</f>
        <v>да</v>
      </c>
    </row>
    <row r="3162" spans="1:14" x14ac:dyDescent="0.35">
      <c r="A3162">
        <v>72037</v>
      </c>
      <c r="B3162" t="s">
        <v>1892</v>
      </c>
      <c r="C3162" t="s">
        <v>1911</v>
      </c>
      <c r="D3162" s="2">
        <v>12810</v>
      </c>
      <c r="E3162" s="2">
        <v>10269</v>
      </c>
      <c r="F3162" s="3">
        <v>2</v>
      </c>
      <c r="G3162" s="3">
        <v>3738</v>
      </c>
      <c r="H3162" s="3">
        <v>65.400000000000006</v>
      </c>
      <c r="I3162" s="3">
        <v>20.7</v>
      </c>
      <c r="J3162" s="3">
        <v>14</v>
      </c>
      <c r="K3162" s="3">
        <v>0</v>
      </c>
      <c r="L3162" s="3">
        <v>12.2</v>
      </c>
      <c r="M3162" t="str">
        <f>IF(acs2015_county_data[[#This Row],[PublicWork]]&gt;='Описательные характеристики'!$F$5,"да","нет")</f>
        <v>да</v>
      </c>
      <c r="N3162" t="str">
        <f>IF(acs2015_county_data[[#This Row],[Unemployment]]&gt;='Описательные характеристики'!$I$5,"да","нет")</f>
        <v>да</v>
      </c>
    </row>
    <row r="3163" spans="1:14" x14ac:dyDescent="0.35">
      <c r="A3163">
        <v>72039</v>
      </c>
      <c r="B3163" t="s">
        <v>1892</v>
      </c>
      <c r="C3163" t="s">
        <v>1912</v>
      </c>
      <c r="D3163" s="2">
        <v>17928</v>
      </c>
      <c r="E3163" s="2">
        <v>6774</v>
      </c>
      <c r="F3163" s="3">
        <v>0.7</v>
      </c>
      <c r="G3163" s="3">
        <v>3472</v>
      </c>
      <c r="H3163" s="3">
        <v>58.5</v>
      </c>
      <c r="I3163" s="3">
        <v>35.799999999999997</v>
      </c>
      <c r="J3163" s="3">
        <v>5.8</v>
      </c>
      <c r="K3163" s="3">
        <v>0</v>
      </c>
      <c r="L3163" s="3">
        <v>17.7</v>
      </c>
      <c r="M3163" t="str">
        <f>IF(acs2015_county_data[[#This Row],[PublicWork]]&gt;='Описательные характеристики'!$F$5,"да","нет")</f>
        <v>да</v>
      </c>
      <c r="N3163" t="str">
        <f>IF(acs2015_county_data[[#This Row],[Unemployment]]&gt;='Описательные характеристики'!$I$5,"да","нет")</f>
        <v>да</v>
      </c>
    </row>
    <row r="3164" spans="1:14" x14ac:dyDescent="0.35">
      <c r="A3164">
        <v>72041</v>
      </c>
      <c r="B3164" t="s">
        <v>1892</v>
      </c>
      <c r="C3164" t="s">
        <v>1913</v>
      </c>
      <c r="D3164" s="2">
        <v>42298</v>
      </c>
      <c r="E3164" s="2">
        <v>11678</v>
      </c>
      <c r="F3164" s="3">
        <v>3.2</v>
      </c>
      <c r="G3164" s="3">
        <v>15006</v>
      </c>
      <c r="H3164" s="3">
        <v>70.599999999999994</v>
      </c>
      <c r="I3164" s="3">
        <v>20.8</v>
      </c>
      <c r="J3164" s="3">
        <v>8.6999999999999993</v>
      </c>
      <c r="K3164" s="3">
        <v>0</v>
      </c>
      <c r="L3164" s="3">
        <v>13.7</v>
      </c>
      <c r="M3164" t="str">
        <f>IF(acs2015_county_data[[#This Row],[PublicWork]]&gt;='Описательные характеристики'!$F$5,"да","нет")</f>
        <v>да</v>
      </c>
      <c r="N3164" t="str">
        <f>IF(acs2015_county_data[[#This Row],[Unemployment]]&gt;='Описательные характеристики'!$I$5,"да","нет")</f>
        <v>да</v>
      </c>
    </row>
    <row r="3165" spans="1:14" x14ac:dyDescent="0.35">
      <c r="A3165">
        <v>72043</v>
      </c>
      <c r="B3165" t="s">
        <v>1892</v>
      </c>
      <c r="C3165" t="s">
        <v>1914</v>
      </c>
      <c r="D3165" s="2">
        <v>40293</v>
      </c>
      <c r="E3165" s="2">
        <v>9634</v>
      </c>
      <c r="F3165" s="3">
        <v>1</v>
      </c>
      <c r="G3165" s="3">
        <v>11567</v>
      </c>
      <c r="H3165" s="3">
        <v>64.400000000000006</v>
      </c>
      <c r="I3165" s="3">
        <v>28</v>
      </c>
      <c r="J3165" s="3">
        <v>7.5</v>
      </c>
      <c r="K3165" s="3">
        <v>0</v>
      </c>
      <c r="L3165" s="3">
        <v>11.5</v>
      </c>
      <c r="M3165" t="str">
        <f>IF(acs2015_county_data[[#This Row],[PublicWork]]&gt;='Описательные характеристики'!$F$5,"да","нет")</f>
        <v>да</v>
      </c>
      <c r="N3165" t="str">
        <f>IF(acs2015_county_data[[#This Row],[Unemployment]]&gt;='Описательные характеристики'!$I$5,"да","нет")</f>
        <v>да</v>
      </c>
    </row>
    <row r="3166" spans="1:14" x14ac:dyDescent="0.35">
      <c r="A3166">
        <v>72045</v>
      </c>
      <c r="B3166" t="s">
        <v>1892</v>
      </c>
      <c r="C3166" t="s">
        <v>1915</v>
      </c>
      <c r="D3166" s="2">
        <v>20339</v>
      </c>
      <c r="E3166" s="2">
        <v>7076</v>
      </c>
      <c r="F3166" s="3">
        <v>0.6</v>
      </c>
      <c r="G3166" s="3">
        <v>4776</v>
      </c>
      <c r="H3166" s="3">
        <v>63.5</v>
      </c>
      <c r="I3166" s="3">
        <v>28.4</v>
      </c>
      <c r="J3166" s="3">
        <v>8.1999999999999993</v>
      </c>
      <c r="K3166" s="3">
        <v>0</v>
      </c>
      <c r="L3166" s="3">
        <v>20.6</v>
      </c>
      <c r="M3166" t="str">
        <f>IF(acs2015_county_data[[#This Row],[PublicWork]]&gt;='Описательные характеристики'!$F$5,"да","нет")</f>
        <v>да</v>
      </c>
      <c r="N3166" t="str">
        <f>IF(acs2015_county_data[[#This Row],[Unemployment]]&gt;='Описательные характеристики'!$I$5,"да","нет")</f>
        <v>да</v>
      </c>
    </row>
    <row r="3167" spans="1:14" x14ac:dyDescent="0.35">
      <c r="A3167">
        <v>72047</v>
      </c>
      <c r="B3167" t="s">
        <v>1892</v>
      </c>
      <c r="C3167" t="s">
        <v>1916</v>
      </c>
      <c r="D3167" s="2">
        <v>35975</v>
      </c>
      <c r="E3167" s="2">
        <v>7459</v>
      </c>
      <c r="F3167" s="3">
        <v>3.3</v>
      </c>
      <c r="G3167" s="3">
        <v>8001</v>
      </c>
      <c r="H3167" s="3">
        <v>68.400000000000006</v>
      </c>
      <c r="I3167" s="3">
        <v>22.4</v>
      </c>
      <c r="J3167" s="3">
        <v>9.1999999999999993</v>
      </c>
      <c r="K3167" s="3">
        <v>0</v>
      </c>
      <c r="L3167" s="3">
        <v>23.1</v>
      </c>
      <c r="M3167" t="str">
        <f>IF(acs2015_county_data[[#This Row],[PublicWork]]&gt;='Описательные характеристики'!$F$5,"да","нет")</f>
        <v>да</v>
      </c>
      <c r="N3167" t="str">
        <f>IF(acs2015_county_data[[#This Row],[Unemployment]]&gt;='Описательные характеристики'!$I$5,"да","нет")</f>
        <v>да</v>
      </c>
    </row>
    <row r="3168" spans="1:14" x14ac:dyDescent="0.35">
      <c r="A3168">
        <v>72049</v>
      </c>
      <c r="B3168" t="s">
        <v>1892</v>
      </c>
      <c r="C3168" t="s">
        <v>1917</v>
      </c>
      <c r="D3168" s="2">
        <v>1557</v>
      </c>
      <c r="E3168" s="2">
        <v>9333</v>
      </c>
      <c r="F3168" s="3">
        <v>7.1</v>
      </c>
      <c r="G3168" s="3">
        <v>661</v>
      </c>
      <c r="H3168" s="3">
        <v>33.4</v>
      </c>
      <c r="I3168" s="3">
        <v>44.3</v>
      </c>
      <c r="J3168" s="3">
        <v>22.2</v>
      </c>
      <c r="K3168" s="3">
        <v>0</v>
      </c>
      <c r="L3168" s="3">
        <v>3.2</v>
      </c>
      <c r="M3168" t="str">
        <f>IF(acs2015_county_data[[#This Row],[PublicWork]]&gt;='Описательные характеристики'!$F$5,"да","нет")</f>
        <v>да</v>
      </c>
      <c r="N3168" t="str">
        <f>IF(acs2015_county_data[[#This Row],[Unemployment]]&gt;='Описательные характеристики'!$I$5,"да","нет")</f>
        <v>нет</v>
      </c>
    </row>
    <row r="3169" spans="1:14" x14ac:dyDescent="0.35">
      <c r="A3169">
        <v>72051</v>
      </c>
      <c r="B3169" t="s">
        <v>1892</v>
      </c>
      <c r="C3169" t="s">
        <v>1918</v>
      </c>
      <c r="D3169" s="2">
        <v>38166</v>
      </c>
      <c r="E3169" s="2">
        <v>14412</v>
      </c>
      <c r="F3169" s="3">
        <v>1.9</v>
      </c>
      <c r="G3169" s="3">
        <v>11988</v>
      </c>
      <c r="H3169" s="3">
        <v>68.7</v>
      </c>
      <c r="I3169" s="3">
        <v>21.2</v>
      </c>
      <c r="J3169" s="3">
        <v>10.1</v>
      </c>
      <c r="K3169" s="3">
        <v>0.1</v>
      </c>
      <c r="L3169" s="3">
        <v>19.399999999999999</v>
      </c>
      <c r="M3169" t="str">
        <f>IF(acs2015_county_data[[#This Row],[PublicWork]]&gt;='Описательные характеристики'!$F$5,"да","нет")</f>
        <v>да</v>
      </c>
      <c r="N3169" t="str">
        <f>IF(acs2015_county_data[[#This Row],[Unemployment]]&gt;='Описательные характеристики'!$I$5,"да","нет")</f>
        <v>да</v>
      </c>
    </row>
    <row r="3170" spans="1:14" x14ac:dyDescent="0.35">
      <c r="A3170">
        <v>72053</v>
      </c>
      <c r="B3170" t="s">
        <v>1892</v>
      </c>
      <c r="C3170" t="s">
        <v>1919</v>
      </c>
      <c r="D3170" s="2">
        <v>34720</v>
      </c>
      <c r="E3170" s="2">
        <v>10609</v>
      </c>
      <c r="F3170" s="3">
        <v>1.7</v>
      </c>
      <c r="G3170" s="3">
        <v>10747</v>
      </c>
      <c r="H3170" s="3">
        <v>70.599999999999994</v>
      </c>
      <c r="I3170" s="3">
        <v>19.899999999999999</v>
      </c>
      <c r="J3170" s="3">
        <v>9.1</v>
      </c>
      <c r="K3170" s="3">
        <v>0.3</v>
      </c>
      <c r="L3170" s="3">
        <v>25.1</v>
      </c>
      <c r="M3170" t="str">
        <f>IF(acs2015_county_data[[#This Row],[PublicWork]]&gt;='Описательные характеристики'!$F$5,"да","нет")</f>
        <v>да</v>
      </c>
      <c r="N3170" t="str">
        <f>IF(acs2015_county_data[[#This Row],[Unemployment]]&gt;='Описательные характеристики'!$I$5,"да","нет")</f>
        <v>да</v>
      </c>
    </row>
    <row r="3171" spans="1:14" x14ac:dyDescent="0.35">
      <c r="A3171">
        <v>72054</v>
      </c>
      <c r="B3171" t="s">
        <v>1892</v>
      </c>
      <c r="C3171" t="s">
        <v>305</v>
      </c>
      <c r="D3171" s="2">
        <v>12408</v>
      </c>
      <c r="E3171" s="2">
        <v>7263</v>
      </c>
      <c r="F3171" s="3">
        <v>2.6</v>
      </c>
      <c r="G3171" s="3">
        <v>3140</v>
      </c>
      <c r="H3171" s="3">
        <v>65.599999999999994</v>
      </c>
      <c r="I3171" s="3">
        <v>29.1</v>
      </c>
      <c r="J3171" s="3">
        <v>5.2</v>
      </c>
      <c r="K3171" s="3">
        <v>0</v>
      </c>
      <c r="L3171" s="3">
        <v>15.7</v>
      </c>
      <c r="M3171" t="str">
        <f>IF(acs2015_county_data[[#This Row],[PublicWork]]&gt;='Описательные характеристики'!$F$5,"да","нет")</f>
        <v>да</v>
      </c>
      <c r="N3171" t="str">
        <f>IF(acs2015_county_data[[#This Row],[Unemployment]]&gt;='Описательные характеристики'!$I$5,"да","нет")</f>
        <v>да</v>
      </c>
    </row>
    <row r="3172" spans="1:14" x14ac:dyDescent="0.35">
      <c r="A3172">
        <v>72055</v>
      </c>
      <c r="B3172" t="s">
        <v>1892</v>
      </c>
      <c r="C3172" t="s">
        <v>1920</v>
      </c>
      <c r="D3172" s="2">
        <v>18207</v>
      </c>
      <c r="E3172" s="2">
        <v>7245</v>
      </c>
      <c r="F3172" s="3">
        <v>3.1</v>
      </c>
      <c r="G3172" s="3">
        <v>3824</v>
      </c>
      <c r="H3172" s="3">
        <v>67.7</v>
      </c>
      <c r="I3172" s="3">
        <v>26</v>
      </c>
      <c r="J3172" s="3">
        <v>6.3</v>
      </c>
      <c r="K3172" s="3">
        <v>0</v>
      </c>
      <c r="L3172" s="3">
        <v>27.2</v>
      </c>
      <c r="M3172" t="str">
        <f>IF(acs2015_county_data[[#This Row],[PublicWork]]&gt;='Описательные характеристики'!$F$5,"да","нет")</f>
        <v>да</v>
      </c>
      <c r="N3172" t="str">
        <f>IF(acs2015_county_data[[#This Row],[Unemployment]]&gt;='Описательные характеристики'!$I$5,"да","нет")</f>
        <v>да</v>
      </c>
    </row>
    <row r="3173" spans="1:14" x14ac:dyDescent="0.35">
      <c r="A3173">
        <v>72057</v>
      </c>
      <c r="B3173" t="s">
        <v>1892</v>
      </c>
      <c r="C3173" t="s">
        <v>1921</v>
      </c>
      <c r="D3173" s="2">
        <v>43700</v>
      </c>
      <c r="E3173" s="2">
        <v>8831</v>
      </c>
      <c r="F3173" s="3">
        <v>1.6</v>
      </c>
      <c r="G3173" s="3">
        <v>9713</v>
      </c>
      <c r="H3173" s="3">
        <v>67.099999999999994</v>
      </c>
      <c r="I3173" s="3">
        <v>27.1</v>
      </c>
      <c r="J3173" s="3">
        <v>5.7</v>
      </c>
      <c r="K3173" s="3">
        <v>0.1</v>
      </c>
      <c r="L3173" s="3">
        <v>17.399999999999999</v>
      </c>
      <c r="M3173" t="str">
        <f>IF(acs2015_county_data[[#This Row],[PublicWork]]&gt;='Описательные характеристики'!$F$5,"да","нет")</f>
        <v>да</v>
      </c>
      <c r="N3173" t="str">
        <f>IF(acs2015_county_data[[#This Row],[Unemployment]]&gt;='Описательные характеристики'!$I$5,"да","нет")</f>
        <v>да</v>
      </c>
    </row>
    <row r="3174" spans="1:14" x14ac:dyDescent="0.35">
      <c r="A3174">
        <v>72059</v>
      </c>
      <c r="B3174" t="s">
        <v>1892</v>
      </c>
      <c r="C3174" t="s">
        <v>1922</v>
      </c>
      <c r="D3174" s="2">
        <v>20442</v>
      </c>
      <c r="E3174" s="2">
        <v>7811</v>
      </c>
      <c r="F3174" s="3">
        <v>1.3</v>
      </c>
      <c r="G3174" s="3">
        <v>4603</v>
      </c>
      <c r="H3174" s="3">
        <v>63</v>
      </c>
      <c r="I3174" s="3">
        <v>30</v>
      </c>
      <c r="J3174" s="3">
        <v>7</v>
      </c>
      <c r="K3174" s="3">
        <v>0</v>
      </c>
      <c r="L3174" s="3">
        <v>22.5</v>
      </c>
      <c r="M3174" t="str">
        <f>IF(acs2015_county_data[[#This Row],[PublicWork]]&gt;='Описательные характеристики'!$F$5,"да","нет")</f>
        <v>да</v>
      </c>
      <c r="N3174" t="str">
        <f>IF(acs2015_county_data[[#This Row],[Unemployment]]&gt;='Описательные характеристики'!$I$5,"да","нет")</f>
        <v>да</v>
      </c>
    </row>
    <row r="3175" spans="1:14" x14ac:dyDescent="0.35">
      <c r="A3175">
        <v>72061</v>
      </c>
      <c r="B3175" t="s">
        <v>1892</v>
      </c>
      <c r="C3175" t="s">
        <v>1923</v>
      </c>
      <c r="D3175" s="2">
        <v>93899</v>
      </c>
      <c r="E3175" s="2">
        <v>23166</v>
      </c>
      <c r="F3175" s="3">
        <v>3.6</v>
      </c>
      <c r="G3175" s="3">
        <v>37469</v>
      </c>
      <c r="H3175" s="3">
        <v>69.400000000000006</v>
      </c>
      <c r="I3175" s="3">
        <v>18.2</v>
      </c>
      <c r="J3175" s="3">
        <v>12.3</v>
      </c>
      <c r="K3175" s="3">
        <v>0.1</v>
      </c>
      <c r="L3175" s="3">
        <v>12.4</v>
      </c>
      <c r="M3175" t="str">
        <f>IF(acs2015_county_data[[#This Row],[PublicWork]]&gt;='Описательные характеристики'!$F$5,"да","нет")</f>
        <v>да</v>
      </c>
      <c r="N3175" t="str">
        <f>IF(acs2015_county_data[[#This Row],[Unemployment]]&gt;='Описательные характеристики'!$I$5,"да","нет")</f>
        <v>да</v>
      </c>
    </row>
    <row r="3176" spans="1:14" x14ac:dyDescent="0.35">
      <c r="A3176">
        <v>72063</v>
      </c>
      <c r="B3176" t="s">
        <v>1892</v>
      </c>
      <c r="C3176" t="s">
        <v>1924</v>
      </c>
      <c r="D3176" s="2">
        <v>46765</v>
      </c>
      <c r="E3176" s="2">
        <v>15111</v>
      </c>
      <c r="F3176" s="3">
        <v>2</v>
      </c>
      <c r="G3176" s="3">
        <v>17525</v>
      </c>
      <c r="H3176" s="3">
        <v>68.5</v>
      </c>
      <c r="I3176" s="3">
        <v>21.6</v>
      </c>
      <c r="J3176" s="3">
        <v>9.6999999999999993</v>
      </c>
      <c r="K3176" s="3">
        <v>0.2</v>
      </c>
      <c r="L3176" s="3">
        <v>13.4</v>
      </c>
      <c r="M3176" t="str">
        <f>IF(acs2015_county_data[[#This Row],[PublicWork]]&gt;='Описательные характеристики'!$F$5,"да","нет")</f>
        <v>да</v>
      </c>
      <c r="N3176" t="str">
        <f>IF(acs2015_county_data[[#This Row],[Unemployment]]&gt;='Описательные характеристики'!$I$5,"да","нет")</f>
        <v>да</v>
      </c>
    </row>
    <row r="3177" spans="1:14" x14ac:dyDescent="0.35">
      <c r="A3177">
        <v>72065</v>
      </c>
      <c r="B3177" t="s">
        <v>1892</v>
      </c>
      <c r="C3177" t="s">
        <v>1925</v>
      </c>
      <c r="D3177" s="2">
        <v>41578</v>
      </c>
      <c r="E3177" s="2">
        <v>9876</v>
      </c>
      <c r="F3177" s="3">
        <v>2.6</v>
      </c>
      <c r="G3177" s="3">
        <v>12623</v>
      </c>
      <c r="H3177" s="3">
        <v>66.7</v>
      </c>
      <c r="I3177" s="3">
        <v>24.9</v>
      </c>
      <c r="J3177" s="3">
        <v>8.4</v>
      </c>
      <c r="K3177" s="3">
        <v>0</v>
      </c>
      <c r="L3177" s="3">
        <v>13.3</v>
      </c>
      <c r="M3177" t="str">
        <f>IF(acs2015_county_data[[#This Row],[PublicWork]]&gt;='Описательные характеристики'!$F$5,"да","нет")</f>
        <v>да</v>
      </c>
      <c r="N3177" t="str">
        <f>IF(acs2015_county_data[[#This Row],[Unemployment]]&gt;='Описательные характеристики'!$I$5,"да","нет")</f>
        <v>да</v>
      </c>
    </row>
    <row r="3178" spans="1:14" x14ac:dyDescent="0.35">
      <c r="A3178">
        <v>72067</v>
      </c>
      <c r="B3178" t="s">
        <v>1892</v>
      </c>
      <c r="C3178" t="s">
        <v>1926</v>
      </c>
      <c r="D3178" s="2">
        <v>16845</v>
      </c>
      <c r="E3178" s="2">
        <v>11096</v>
      </c>
      <c r="F3178" s="3">
        <v>1.3</v>
      </c>
      <c r="G3178" s="3">
        <v>4887</v>
      </c>
      <c r="H3178" s="3">
        <v>64.2</v>
      </c>
      <c r="I3178" s="3">
        <v>27.2</v>
      </c>
      <c r="J3178" s="3">
        <v>8.6</v>
      </c>
      <c r="K3178" s="3">
        <v>0</v>
      </c>
      <c r="L3178" s="3">
        <v>22.6</v>
      </c>
      <c r="M3178" t="str">
        <f>IF(acs2015_county_data[[#This Row],[PublicWork]]&gt;='Описательные характеристики'!$F$5,"да","нет")</f>
        <v>да</v>
      </c>
      <c r="N3178" t="str">
        <f>IF(acs2015_county_data[[#This Row],[Unemployment]]&gt;='Описательные характеристики'!$I$5,"да","нет")</f>
        <v>да</v>
      </c>
    </row>
    <row r="3179" spans="1:14" x14ac:dyDescent="0.35">
      <c r="A3179">
        <v>72069</v>
      </c>
      <c r="B3179" t="s">
        <v>1892</v>
      </c>
      <c r="C3179" t="s">
        <v>1927</v>
      </c>
      <c r="D3179" s="2">
        <v>56384</v>
      </c>
      <c r="E3179" s="2">
        <v>10678</v>
      </c>
      <c r="F3179" s="3">
        <v>2.6</v>
      </c>
      <c r="G3179" s="3">
        <v>15802</v>
      </c>
      <c r="H3179" s="3">
        <v>61.5</v>
      </c>
      <c r="I3179" s="3">
        <v>25.9</v>
      </c>
      <c r="J3179" s="3">
        <v>12.4</v>
      </c>
      <c r="K3179" s="3">
        <v>0.2</v>
      </c>
      <c r="L3179" s="3">
        <v>13.8</v>
      </c>
      <c r="M3179" t="str">
        <f>IF(acs2015_county_data[[#This Row],[PublicWork]]&gt;='Описательные характеристики'!$F$5,"да","нет")</f>
        <v>да</v>
      </c>
      <c r="N3179" t="str">
        <f>IF(acs2015_county_data[[#This Row],[Unemployment]]&gt;='Описательные характеристики'!$I$5,"да","нет")</f>
        <v>да</v>
      </c>
    </row>
    <row r="3180" spans="1:14" x14ac:dyDescent="0.35">
      <c r="A3180">
        <v>72071</v>
      </c>
      <c r="B3180" t="s">
        <v>1892</v>
      </c>
      <c r="C3180" t="s">
        <v>1928</v>
      </c>
      <c r="D3180" s="2">
        <v>44438</v>
      </c>
      <c r="E3180" s="2">
        <v>8371</v>
      </c>
      <c r="F3180" s="3">
        <v>0.2</v>
      </c>
      <c r="G3180" s="3">
        <v>10452</v>
      </c>
      <c r="H3180" s="3">
        <v>64.900000000000006</v>
      </c>
      <c r="I3180" s="3">
        <v>25.3</v>
      </c>
      <c r="J3180" s="3">
        <v>9.6</v>
      </c>
      <c r="K3180" s="3">
        <v>0.2</v>
      </c>
      <c r="L3180" s="3">
        <v>20.3</v>
      </c>
      <c r="M3180" t="str">
        <f>IF(acs2015_county_data[[#This Row],[PublicWork]]&gt;='Описательные характеристики'!$F$5,"да","нет")</f>
        <v>да</v>
      </c>
      <c r="N3180" t="str">
        <f>IF(acs2015_county_data[[#This Row],[Unemployment]]&gt;='Описательные характеристики'!$I$5,"да","нет")</f>
        <v>да</v>
      </c>
    </row>
    <row r="3181" spans="1:14" x14ac:dyDescent="0.35">
      <c r="A3181">
        <v>72073</v>
      </c>
      <c r="B3181" t="s">
        <v>1892</v>
      </c>
      <c r="C3181" t="s">
        <v>1929</v>
      </c>
      <c r="D3181" s="2">
        <v>15890</v>
      </c>
      <c r="E3181" s="2">
        <v>7242</v>
      </c>
      <c r="F3181" s="3">
        <v>3</v>
      </c>
      <c r="G3181" s="3">
        <v>3412</v>
      </c>
      <c r="H3181" s="3">
        <v>62.2</v>
      </c>
      <c r="I3181" s="3">
        <v>31.8</v>
      </c>
      <c r="J3181" s="3">
        <v>6</v>
      </c>
      <c r="K3181" s="3">
        <v>0</v>
      </c>
      <c r="L3181" s="3">
        <v>31.7</v>
      </c>
      <c r="M3181" t="str">
        <f>IF(acs2015_county_data[[#This Row],[PublicWork]]&gt;='Описательные характеристики'!$F$5,"да","нет")</f>
        <v>да</v>
      </c>
      <c r="N3181" t="str">
        <f>IF(acs2015_county_data[[#This Row],[Unemployment]]&gt;='Описательные характеристики'!$I$5,"да","нет")</f>
        <v>да</v>
      </c>
    </row>
    <row r="3182" spans="1:14" x14ac:dyDescent="0.35">
      <c r="A3182">
        <v>72075</v>
      </c>
      <c r="B3182" t="s">
        <v>1892</v>
      </c>
      <c r="C3182" t="s">
        <v>1930</v>
      </c>
      <c r="D3182" s="2">
        <v>49259</v>
      </c>
      <c r="E3182" s="2">
        <v>9328</v>
      </c>
      <c r="F3182" s="3">
        <v>2.9</v>
      </c>
      <c r="G3182" s="3">
        <v>14900</v>
      </c>
      <c r="H3182" s="3">
        <v>68.900000000000006</v>
      </c>
      <c r="I3182" s="3">
        <v>20.2</v>
      </c>
      <c r="J3182" s="3">
        <v>10.1</v>
      </c>
      <c r="K3182" s="3">
        <v>0.7</v>
      </c>
      <c r="L3182" s="3">
        <v>17.2</v>
      </c>
      <c r="M3182" t="str">
        <f>IF(acs2015_county_data[[#This Row],[PublicWork]]&gt;='Описательные характеристики'!$F$5,"да","нет")</f>
        <v>да</v>
      </c>
      <c r="N3182" t="str">
        <f>IF(acs2015_county_data[[#This Row],[Unemployment]]&gt;='Описательные характеристики'!$I$5,"да","нет")</f>
        <v>да</v>
      </c>
    </row>
    <row r="3183" spans="1:14" x14ac:dyDescent="0.35">
      <c r="A3183">
        <v>72077</v>
      </c>
      <c r="B3183" t="s">
        <v>1892</v>
      </c>
      <c r="C3183" t="s">
        <v>1931</v>
      </c>
      <c r="D3183" s="2">
        <v>40104</v>
      </c>
      <c r="E3183" s="2">
        <v>9446</v>
      </c>
      <c r="F3183" s="3">
        <v>1.1000000000000001</v>
      </c>
      <c r="G3183" s="3">
        <v>11559</v>
      </c>
      <c r="H3183" s="3">
        <v>70.8</v>
      </c>
      <c r="I3183" s="3">
        <v>25.1</v>
      </c>
      <c r="J3183" s="3">
        <v>4.0999999999999996</v>
      </c>
      <c r="K3183" s="3">
        <v>0</v>
      </c>
      <c r="L3183" s="3">
        <v>24</v>
      </c>
      <c r="M3183" t="str">
        <f>IF(acs2015_county_data[[#This Row],[PublicWork]]&gt;='Описательные характеристики'!$F$5,"да","нет")</f>
        <v>да</v>
      </c>
      <c r="N3183" t="str">
        <f>IF(acs2015_county_data[[#This Row],[Unemployment]]&gt;='Описательные характеристики'!$I$5,"да","нет")</f>
        <v>да</v>
      </c>
    </row>
    <row r="3184" spans="1:14" x14ac:dyDescent="0.35">
      <c r="A3184">
        <v>72079</v>
      </c>
      <c r="B3184" t="s">
        <v>1892</v>
      </c>
      <c r="C3184" t="s">
        <v>1932</v>
      </c>
      <c r="D3184" s="2">
        <v>24722</v>
      </c>
      <c r="E3184" s="2">
        <v>6974</v>
      </c>
      <c r="F3184" s="3">
        <v>4</v>
      </c>
      <c r="G3184" s="3">
        <v>4954</v>
      </c>
      <c r="H3184" s="3">
        <v>65</v>
      </c>
      <c r="I3184" s="3">
        <v>27.8</v>
      </c>
      <c r="J3184" s="3">
        <v>7.2</v>
      </c>
      <c r="K3184" s="3">
        <v>0</v>
      </c>
      <c r="L3184" s="3">
        <v>17.600000000000001</v>
      </c>
      <c r="M3184" t="str">
        <f>IF(acs2015_county_data[[#This Row],[PublicWork]]&gt;='Описательные характеристики'!$F$5,"да","нет")</f>
        <v>да</v>
      </c>
      <c r="N3184" t="str">
        <f>IF(acs2015_county_data[[#This Row],[Unemployment]]&gt;='Описательные характеристики'!$I$5,"да","нет")</f>
        <v>да</v>
      </c>
    </row>
    <row r="3185" spans="1:14" x14ac:dyDescent="0.35">
      <c r="A3185">
        <v>72081</v>
      </c>
      <c r="B3185" t="s">
        <v>1892</v>
      </c>
      <c r="C3185" t="s">
        <v>1933</v>
      </c>
      <c r="D3185" s="2">
        <v>28727</v>
      </c>
      <c r="E3185" s="2">
        <v>7598</v>
      </c>
      <c r="F3185" s="3">
        <v>0.4</v>
      </c>
      <c r="G3185" s="3">
        <v>6205</v>
      </c>
      <c r="H3185" s="3">
        <v>61.5</v>
      </c>
      <c r="I3185" s="3">
        <v>32.200000000000003</v>
      </c>
      <c r="J3185" s="3">
        <v>5.6</v>
      </c>
      <c r="K3185" s="3">
        <v>0.7</v>
      </c>
      <c r="L3185" s="3">
        <v>35.200000000000003</v>
      </c>
      <c r="M3185" t="str">
        <f>IF(acs2015_county_data[[#This Row],[PublicWork]]&gt;='Описательные характеристики'!$F$5,"да","нет")</f>
        <v>да</v>
      </c>
      <c r="N3185" t="str">
        <f>IF(acs2015_county_data[[#This Row],[Unemployment]]&gt;='Описательные характеристики'!$I$5,"да","нет")</f>
        <v>да</v>
      </c>
    </row>
    <row r="3186" spans="1:14" x14ac:dyDescent="0.35">
      <c r="A3186">
        <v>72083</v>
      </c>
      <c r="B3186" t="s">
        <v>1892</v>
      </c>
      <c r="C3186" t="s">
        <v>1934</v>
      </c>
      <c r="D3186" s="2">
        <v>9306</v>
      </c>
      <c r="E3186" s="2">
        <v>6792</v>
      </c>
      <c r="F3186" s="3">
        <v>4.3</v>
      </c>
      <c r="G3186" s="3">
        <v>2477</v>
      </c>
      <c r="H3186" s="3">
        <v>57</v>
      </c>
      <c r="I3186" s="3">
        <v>33.700000000000003</v>
      </c>
      <c r="J3186" s="3">
        <v>9.3000000000000007</v>
      </c>
      <c r="K3186" s="3">
        <v>0</v>
      </c>
      <c r="L3186" s="3">
        <v>4.5999999999999996</v>
      </c>
      <c r="M3186" t="str">
        <f>IF(acs2015_county_data[[#This Row],[PublicWork]]&gt;='Описательные характеристики'!$F$5,"да","нет")</f>
        <v>да</v>
      </c>
      <c r="N3186" t="str">
        <f>IF(acs2015_county_data[[#This Row],[Unemployment]]&gt;='Описательные характеристики'!$I$5,"да","нет")</f>
        <v>нет</v>
      </c>
    </row>
    <row r="3187" spans="1:14" x14ac:dyDescent="0.35">
      <c r="A3187">
        <v>72085</v>
      </c>
      <c r="B3187" t="s">
        <v>1892</v>
      </c>
      <c r="C3187" t="s">
        <v>1935</v>
      </c>
      <c r="D3187" s="2">
        <v>38605</v>
      </c>
      <c r="E3187" s="2">
        <v>9833</v>
      </c>
      <c r="F3187" s="3">
        <v>1.4</v>
      </c>
      <c r="G3187" s="3">
        <v>10102</v>
      </c>
      <c r="H3187" s="3">
        <v>71.3</v>
      </c>
      <c r="I3187" s="3">
        <v>19.399999999999999</v>
      </c>
      <c r="J3187" s="3">
        <v>8.4</v>
      </c>
      <c r="K3187" s="3">
        <v>0.9</v>
      </c>
      <c r="L3187" s="3">
        <v>22.5</v>
      </c>
      <c r="M3187" t="str">
        <f>IF(acs2015_county_data[[#This Row],[PublicWork]]&gt;='Описательные характеристики'!$F$5,"да","нет")</f>
        <v>да</v>
      </c>
      <c r="N3187" t="str">
        <f>IF(acs2015_county_data[[#This Row],[Unemployment]]&gt;='Описательные характеристики'!$I$5,"да","нет")</f>
        <v>да</v>
      </c>
    </row>
    <row r="3188" spans="1:14" x14ac:dyDescent="0.35">
      <c r="A3188">
        <v>72087</v>
      </c>
      <c r="B3188" t="s">
        <v>1892</v>
      </c>
      <c r="C3188" t="s">
        <v>1936</v>
      </c>
      <c r="D3188" s="2">
        <v>28454</v>
      </c>
      <c r="E3188" s="2">
        <v>8665</v>
      </c>
      <c r="F3188" s="3">
        <v>0.6</v>
      </c>
      <c r="G3188" s="3">
        <v>8443</v>
      </c>
      <c r="H3188" s="3">
        <v>61.9</v>
      </c>
      <c r="I3188" s="3">
        <v>33.700000000000003</v>
      </c>
      <c r="J3188" s="3">
        <v>4.5</v>
      </c>
      <c r="K3188" s="3">
        <v>0</v>
      </c>
      <c r="L3188" s="3">
        <v>26.2</v>
      </c>
      <c r="M3188" t="str">
        <f>IF(acs2015_county_data[[#This Row],[PublicWork]]&gt;='Описательные характеристики'!$F$5,"да","нет")</f>
        <v>да</v>
      </c>
      <c r="N3188" t="str">
        <f>IF(acs2015_county_data[[#This Row],[Unemployment]]&gt;='Описательные характеристики'!$I$5,"да","нет")</f>
        <v>да</v>
      </c>
    </row>
    <row r="3189" spans="1:14" x14ac:dyDescent="0.35">
      <c r="A3189">
        <v>72089</v>
      </c>
      <c r="B3189" t="s">
        <v>1892</v>
      </c>
      <c r="C3189" t="s">
        <v>1937</v>
      </c>
      <c r="D3189" s="2">
        <v>19497</v>
      </c>
      <c r="E3189" s="2">
        <v>10284</v>
      </c>
      <c r="F3189" s="3">
        <v>0.6</v>
      </c>
      <c r="G3189" s="3">
        <v>5626</v>
      </c>
      <c r="H3189" s="3">
        <v>65.7</v>
      </c>
      <c r="I3189" s="3">
        <v>23.1</v>
      </c>
      <c r="J3189" s="3">
        <v>10.3</v>
      </c>
      <c r="K3189" s="3">
        <v>0.9</v>
      </c>
      <c r="L3189" s="3">
        <v>28.5</v>
      </c>
      <c r="M3189" t="str">
        <f>IF(acs2015_county_data[[#This Row],[PublicWork]]&gt;='Описательные характеристики'!$F$5,"да","нет")</f>
        <v>да</v>
      </c>
      <c r="N3189" t="str">
        <f>IF(acs2015_county_data[[#This Row],[Unemployment]]&gt;='Описательные характеристики'!$I$5,"да","нет")</f>
        <v>да</v>
      </c>
    </row>
    <row r="3190" spans="1:14" x14ac:dyDescent="0.35">
      <c r="A3190">
        <v>72091</v>
      </c>
      <c r="B3190" t="s">
        <v>1892</v>
      </c>
      <c r="C3190" t="s">
        <v>1938</v>
      </c>
      <c r="D3190" s="2">
        <v>42167</v>
      </c>
      <c r="E3190" s="2">
        <v>10190</v>
      </c>
      <c r="F3190" s="3">
        <v>0.1</v>
      </c>
      <c r="G3190" s="3">
        <v>11272</v>
      </c>
      <c r="H3190" s="3">
        <v>70.099999999999994</v>
      </c>
      <c r="I3190" s="3">
        <v>22.5</v>
      </c>
      <c r="J3190" s="3">
        <v>7.4</v>
      </c>
      <c r="K3190" s="3">
        <v>0</v>
      </c>
      <c r="L3190" s="3">
        <v>18.899999999999999</v>
      </c>
      <c r="M3190" t="str">
        <f>IF(acs2015_county_data[[#This Row],[PublicWork]]&gt;='Описательные характеристики'!$F$5,"да","нет")</f>
        <v>да</v>
      </c>
      <c r="N3190" t="str">
        <f>IF(acs2015_county_data[[#This Row],[Unemployment]]&gt;='Описательные характеристики'!$I$5,"да","нет")</f>
        <v>да</v>
      </c>
    </row>
    <row r="3191" spans="1:14" x14ac:dyDescent="0.35">
      <c r="A3191">
        <v>72093</v>
      </c>
      <c r="B3191" t="s">
        <v>1892</v>
      </c>
      <c r="C3191" t="s">
        <v>1939</v>
      </c>
      <c r="D3191" s="2">
        <v>6315</v>
      </c>
      <c r="E3191" s="2">
        <v>5878</v>
      </c>
      <c r="F3191" s="3">
        <v>2.6</v>
      </c>
      <c r="G3191" s="3">
        <v>1500</v>
      </c>
      <c r="H3191" s="3">
        <v>62.5</v>
      </c>
      <c r="I3191" s="3">
        <v>29.1</v>
      </c>
      <c r="J3191" s="3">
        <v>8.3000000000000007</v>
      </c>
      <c r="K3191" s="3">
        <v>0</v>
      </c>
      <c r="L3191" s="3">
        <v>10.7</v>
      </c>
      <c r="M3191" t="str">
        <f>IF(acs2015_county_data[[#This Row],[PublicWork]]&gt;='Описательные характеристики'!$F$5,"да","нет")</f>
        <v>да</v>
      </c>
      <c r="N3191" t="str">
        <f>IF(acs2015_county_data[[#This Row],[Unemployment]]&gt;='Описательные характеристики'!$I$5,"да","нет")</f>
        <v>да</v>
      </c>
    </row>
    <row r="3192" spans="1:14" x14ac:dyDescent="0.35">
      <c r="A3192">
        <v>72095</v>
      </c>
      <c r="B3192" t="s">
        <v>1892</v>
      </c>
      <c r="C3192" t="s">
        <v>1940</v>
      </c>
      <c r="D3192" s="2">
        <v>11701</v>
      </c>
      <c r="E3192" s="2">
        <v>8374</v>
      </c>
      <c r="F3192" s="3">
        <v>0</v>
      </c>
      <c r="G3192" s="3">
        <v>2459</v>
      </c>
      <c r="H3192" s="3">
        <v>46.7</v>
      </c>
      <c r="I3192" s="3">
        <v>48.5</v>
      </c>
      <c r="J3192" s="3">
        <v>4.8</v>
      </c>
      <c r="K3192" s="3">
        <v>0</v>
      </c>
      <c r="L3192" s="3">
        <v>27.9</v>
      </c>
      <c r="M3192" t="str">
        <f>IF(acs2015_county_data[[#This Row],[PublicWork]]&gt;='Описательные характеристики'!$F$5,"да","нет")</f>
        <v>да</v>
      </c>
      <c r="N3192" t="str">
        <f>IF(acs2015_county_data[[#This Row],[Unemployment]]&gt;='Описательные характеристики'!$I$5,"да","нет")</f>
        <v>да</v>
      </c>
    </row>
    <row r="3193" spans="1:14" x14ac:dyDescent="0.35">
      <c r="A3193">
        <v>72097</v>
      </c>
      <c r="B3193" t="s">
        <v>1892</v>
      </c>
      <c r="C3193" t="s">
        <v>1941</v>
      </c>
      <c r="D3193" s="2">
        <v>83418</v>
      </c>
      <c r="E3193" s="2">
        <v>9930</v>
      </c>
      <c r="F3193" s="3">
        <v>2.2000000000000002</v>
      </c>
      <c r="G3193" s="3">
        <v>21048</v>
      </c>
      <c r="H3193" s="3">
        <v>65.900000000000006</v>
      </c>
      <c r="I3193" s="3">
        <v>25.3</v>
      </c>
      <c r="J3193" s="3">
        <v>8.5</v>
      </c>
      <c r="K3193" s="3">
        <v>0.2</v>
      </c>
      <c r="L3193" s="3">
        <v>22.9</v>
      </c>
      <c r="M3193" t="str">
        <f>IF(acs2015_county_data[[#This Row],[PublicWork]]&gt;='Описательные характеристики'!$F$5,"да","нет")</f>
        <v>да</v>
      </c>
      <c r="N3193" t="str">
        <f>IF(acs2015_county_data[[#This Row],[Unemployment]]&gt;='Описательные характеристики'!$I$5,"да","нет")</f>
        <v>да</v>
      </c>
    </row>
    <row r="3194" spans="1:14" x14ac:dyDescent="0.35">
      <c r="A3194">
        <v>72099</v>
      </c>
      <c r="B3194" t="s">
        <v>1892</v>
      </c>
      <c r="C3194" t="s">
        <v>1942</v>
      </c>
      <c r="D3194" s="2">
        <v>38815</v>
      </c>
      <c r="E3194" s="2">
        <v>7685</v>
      </c>
      <c r="F3194" s="3">
        <v>0.6</v>
      </c>
      <c r="G3194" s="3">
        <v>9245</v>
      </c>
      <c r="H3194" s="3">
        <v>59.1</v>
      </c>
      <c r="I3194" s="3">
        <v>29.1</v>
      </c>
      <c r="J3194" s="3">
        <v>11.7</v>
      </c>
      <c r="K3194" s="3">
        <v>0</v>
      </c>
      <c r="L3194" s="3">
        <v>23</v>
      </c>
      <c r="M3194" t="str">
        <f>IF(acs2015_county_data[[#This Row],[PublicWork]]&gt;='Описательные характеристики'!$F$5,"да","нет")</f>
        <v>да</v>
      </c>
      <c r="N3194" t="str">
        <f>IF(acs2015_county_data[[#This Row],[Unemployment]]&gt;='Описательные характеристики'!$I$5,"да","нет")</f>
        <v>да</v>
      </c>
    </row>
    <row r="3195" spans="1:14" x14ac:dyDescent="0.35">
      <c r="A3195">
        <v>72101</v>
      </c>
      <c r="B3195" t="s">
        <v>1892</v>
      </c>
      <c r="C3195" t="s">
        <v>1943</v>
      </c>
      <c r="D3195" s="2">
        <v>32294</v>
      </c>
      <c r="E3195" s="2">
        <v>7465</v>
      </c>
      <c r="F3195" s="3">
        <v>1</v>
      </c>
      <c r="G3195" s="3">
        <v>7740</v>
      </c>
      <c r="H3195" s="3">
        <v>72.5</v>
      </c>
      <c r="I3195" s="3">
        <v>22.9</v>
      </c>
      <c r="J3195" s="3">
        <v>4.4000000000000004</v>
      </c>
      <c r="K3195" s="3">
        <v>0.2</v>
      </c>
      <c r="L3195" s="3">
        <v>24.7</v>
      </c>
      <c r="M3195" t="str">
        <f>IF(acs2015_county_data[[#This Row],[PublicWork]]&gt;='Описательные характеристики'!$F$5,"да","нет")</f>
        <v>да</v>
      </c>
      <c r="N3195" t="str">
        <f>IF(acs2015_county_data[[#This Row],[Unemployment]]&gt;='Описательные характеристики'!$I$5,"да","нет")</f>
        <v>да</v>
      </c>
    </row>
    <row r="3196" spans="1:14" x14ac:dyDescent="0.35">
      <c r="A3196">
        <v>72103</v>
      </c>
      <c r="B3196" t="s">
        <v>1892</v>
      </c>
      <c r="C3196" t="s">
        <v>1944</v>
      </c>
      <c r="D3196" s="2">
        <v>26804</v>
      </c>
      <c r="E3196" s="2">
        <v>9749</v>
      </c>
      <c r="F3196" s="3">
        <v>2.7</v>
      </c>
      <c r="G3196" s="3">
        <v>7342</v>
      </c>
      <c r="H3196" s="3">
        <v>63.1</v>
      </c>
      <c r="I3196" s="3">
        <v>23</v>
      </c>
      <c r="J3196" s="3">
        <v>14</v>
      </c>
      <c r="K3196" s="3">
        <v>0</v>
      </c>
      <c r="L3196" s="3">
        <v>10.9</v>
      </c>
      <c r="M3196" t="str">
        <f>IF(acs2015_county_data[[#This Row],[PublicWork]]&gt;='Описательные характеристики'!$F$5,"да","нет")</f>
        <v>да</v>
      </c>
      <c r="N3196" t="str">
        <f>IF(acs2015_county_data[[#This Row],[Unemployment]]&gt;='Описательные характеристики'!$I$5,"да","нет")</f>
        <v>да</v>
      </c>
    </row>
    <row r="3197" spans="1:14" x14ac:dyDescent="0.35">
      <c r="A3197">
        <v>72105</v>
      </c>
      <c r="B3197" t="s">
        <v>1892</v>
      </c>
      <c r="C3197" t="s">
        <v>1945</v>
      </c>
      <c r="D3197" s="2">
        <v>29751</v>
      </c>
      <c r="E3197" s="2">
        <v>9347</v>
      </c>
      <c r="F3197" s="3">
        <v>1.6</v>
      </c>
      <c r="G3197" s="3">
        <v>7315</v>
      </c>
      <c r="H3197" s="3">
        <v>70.5</v>
      </c>
      <c r="I3197" s="3">
        <v>22.9</v>
      </c>
      <c r="J3197" s="3">
        <v>6.5</v>
      </c>
      <c r="K3197" s="3">
        <v>0</v>
      </c>
      <c r="L3197" s="3">
        <v>21.9</v>
      </c>
      <c r="M3197" t="str">
        <f>IF(acs2015_county_data[[#This Row],[PublicWork]]&gt;='Описательные характеристики'!$F$5,"да","нет")</f>
        <v>да</v>
      </c>
      <c r="N3197" t="str">
        <f>IF(acs2015_county_data[[#This Row],[Unemployment]]&gt;='Описательные характеристики'!$I$5,"да","нет")</f>
        <v>да</v>
      </c>
    </row>
    <row r="3198" spans="1:14" x14ac:dyDescent="0.35">
      <c r="A3198">
        <v>72107</v>
      </c>
      <c r="B3198" t="s">
        <v>1892</v>
      </c>
      <c r="C3198" t="s">
        <v>1946</v>
      </c>
      <c r="D3198" s="2">
        <v>22595</v>
      </c>
      <c r="E3198" s="2">
        <v>6792</v>
      </c>
      <c r="F3198" s="3">
        <v>1.9</v>
      </c>
      <c r="G3198" s="3">
        <v>4552</v>
      </c>
      <c r="H3198" s="3">
        <v>58.3</v>
      </c>
      <c r="I3198" s="3">
        <v>32.6</v>
      </c>
      <c r="J3198" s="3">
        <v>8.9</v>
      </c>
      <c r="K3198" s="3">
        <v>0.2</v>
      </c>
      <c r="L3198" s="3">
        <v>31.2</v>
      </c>
      <c r="M3198" t="str">
        <f>IF(acs2015_county_data[[#This Row],[PublicWork]]&gt;='Описательные характеристики'!$F$5,"да","нет")</f>
        <v>да</v>
      </c>
      <c r="N3198" t="str">
        <f>IF(acs2015_county_data[[#This Row],[Unemployment]]&gt;='Описательные характеристики'!$I$5,"да","нет")</f>
        <v>да</v>
      </c>
    </row>
    <row r="3199" spans="1:14" x14ac:dyDescent="0.35">
      <c r="A3199">
        <v>72109</v>
      </c>
      <c r="B3199" t="s">
        <v>1892</v>
      </c>
      <c r="C3199" t="s">
        <v>1947</v>
      </c>
      <c r="D3199" s="2">
        <v>18441</v>
      </c>
      <c r="E3199" s="2">
        <v>7643</v>
      </c>
      <c r="F3199" s="3">
        <v>1.3</v>
      </c>
      <c r="G3199" s="3">
        <v>3884</v>
      </c>
      <c r="H3199" s="3">
        <v>55.1</v>
      </c>
      <c r="I3199" s="3">
        <v>39.299999999999997</v>
      </c>
      <c r="J3199" s="3">
        <v>4.2</v>
      </c>
      <c r="K3199" s="3">
        <v>1.4</v>
      </c>
      <c r="L3199" s="3">
        <v>27.5</v>
      </c>
      <c r="M3199" t="str">
        <f>IF(acs2015_county_data[[#This Row],[PublicWork]]&gt;='Описательные характеристики'!$F$5,"да","нет")</f>
        <v>да</v>
      </c>
      <c r="N3199" t="str">
        <f>IF(acs2015_county_data[[#This Row],[Unemployment]]&gt;='Описательные характеристики'!$I$5,"да","нет")</f>
        <v>да</v>
      </c>
    </row>
    <row r="3200" spans="1:14" x14ac:dyDescent="0.35">
      <c r="A3200">
        <v>72111</v>
      </c>
      <c r="B3200" t="s">
        <v>1892</v>
      </c>
      <c r="C3200" t="s">
        <v>1948</v>
      </c>
      <c r="D3200" s="2">
        <v>22770</v>
      </c>
      <c r="E3200" s="2">
        <v>7299</v>
      </c>
      <c r="F3200" s="3">
        <v>0.9</v>
      </c>
      <c r="G3200" s="3">
        <v>5412</v>
      </c>
      <c r="H3200" s="3">
        <v>60.8</v>
      </c>
      <c r="I3200" s="3">
        <v>31</v>
      </c>
      <c r="J3200" s="3">
        <v>8.1999999999999993</v>
      </c>
      <c r="K3200" s="3">
        <v>0</v>
      </c>
      <c r="L3200" s="3">
        <v>26.1</v>
      </c>
      <c r="M3200" t="str">
        <f>IF(acs2015_county_data[[#This Row],[PublicWork]]&gt;='Описательные характеристики'!$F$5,"да","нет")</f>
        <v>да</v>
      </c>
      <c r="N3200" t="str">
        <f>IF(acs2015_county_data[[#This Row],[Unemployment]]&gt;='Описательные характеристики'!$I$5,"да","нет")</f>
        <v>да</v>
      </c>
    </row>
    <row r="3201" spans="1:14" x14ac:dyDescent="0.35">
      <c r="A3201">
        <v>72113</v>
      </c>
      <c r="B3201" t="s">
        <v>1892</v>
      </c>
      <c r="C3201" t="s">
        <v>1949</v>
      </c>
      <c r="D3201" s="2">
        <v>156054</v>
      </c>
      <c r="E3201" s="2">
        <v>10562</v>
      </c>
      <c r="F3201" s="3">
        <v>2.5</v>
      </c>
      <c r="G3201" s="3">
        <v>41711</v>
      </c>
      <c r="H3201" s="3">
        <v>69.8</v>
      </c>
      <c r="I3201" s="3">
        <v>20.399999999999999</v>
      </c>
      <c r="J3201" s="3">
        <v>9.5</v>
      </c>
      <c r="K3201" s="3">
        <v>0.3</v>
      </c>
      <c r="L3201" s="3">
        <v>20</v>
      </c>
      <c r="M3201" t="str">
        <f>IF(acs2015_county_data[[#This Row],[PublicWork]]&gt;='Описательные характеристики'!$F$5,"да","нет")</f>
        <v>да</v>
      </c>
      <c r="N3201" t="str">
        <f>IF(acs2015_county_data[[#This Row],[Unemployment]]&gt;='Описательные характеристики'!$I$5,"да","нет")</f>
        <v>да</v>
      </c>
    </row>
    <row r="3202" spans="1:14" x14ac:dyDescent="0.35">
      <c r="A3202">
        <v>72115</v>
      </c>
      <c r="B3202" t="s">
        <v>1892</v>
      </c>
      <c r="C3202" t="s">
        <v>1950</v>
      </c>
      <c r="D3202" s="2">
        <v>25205</v>
      </c>
      <c r="E3202" s="2">
        <v>8649</v>
      </c>
      <c r="F3202" s="3">
        <v>1.7</v>
      </c>
      <c r="G3202" s="3">
        <v>6284</v>
      </c>
      <c r="H3202" s="3">
        <v>66.7</v>
      </c>
      <c r="I3202" s="3">
        <v>24.1</v>
      </c>
      <c r="J3202" s="3">
        <v>9.3000000000000007</v>
      </c>
      <c r="K3202" s="3">
        <v>0</v>
      </c>
      <c r="L3202" s="3">
        <v>16.100000000000001</v>
      </c>
      <c r="M3202" t="str">
        <f>IF(acs2015_county_data[[#This Row],[PublicWork]]&gt;='Описательные характеристики'!$F$5,"да","нет")</f>
        <v>да</v>
      </c>
      <c r="N3202" t="str">
        <f>IF(acs2015_county_data[[#This Row],[Unemployment]]&gt;='Описательные характеристики'!$I$5,"да","нет")</f>
        <v>да</v>
      </c>
    </row>
    <row r="3203" spans="1:14" x14ac:dyDescent="0.35">
      <c r="A3203">
        <v>72117</v>
      </c>
      <c r="B3203" t="s">
        <v>1892</v>
      </c>
      <c r="C3203" t="s">
        <v>1951</v>
      </c>
      <c r="D3203" s="2">
        <v>14841</v>
      </c>
      <c r="E3203" s="2">
        <v>9412</v>
      </c>
      <c r="F3203" s="3">
        <v>5.0999999999999996</v>
      </c>
      <c r="G3203" s="3">
        <v>4406</v>
      </c>
      <c r="H3203" s="3">
        <v>71.3</v>
      </c>
      <c r="I3203" s="3">
        <v>19.5</v>
      </c>
      <c r="J3203" s="3">
        <v>9.1</v>
      </c>
      <c r="K3203" s="3">
        <v>0</v>
      </c>
      <c r="L3203" s="3">
        <v>17.600000000000001</v>
      </c>
      <c r="M3203" t="str">
        <f>IF(acs2015_county_data[[#This Row],[PublicWork]]&gt;='Описательные характеристики'!$F$5,"да","нет")</f>
        <v>да</v>
      </c>
      <c r="N3203" t="str">
        <f>IF(acs2015_county_data[[#This Row],[Unemployment]]&gt;='Описательные характеристики'!$I$5,"да","нет")</f>
        <v>да</v>
      </c>
    </row>
    <row r="3204" spans="1:14" x14ac:dyDescent="0.35">
      <c r="A3204">
        <v>72119</v>
      </c>
      <c r="B3204" t="s">
        <v>1892</v>
      </c>
      <c r="C3204" t="s">
        <v>1952</v>
      </c>
      <c r="D3204" s="2">
        <v>53029</v>
      </c>
      <c r="E3204" s="2">
        <v>10363</v>
      </c>
      <c r="F3204" s="3">
        <v>2.6</v>
      </c>
      <c r="G3204" s="3">
        <v>17033</v>
      </c>
      <c r="H3204" s="3">
        <v>69.8</v>
      </c>
      <c r="I3204" s="3">
        <v>23.4</v>
      </c>
      <c r="J3204" s="3">
        <v>6.4</v>
      </c>
      <c r="K3204" s="3">
        <v>0.4</v>
      </c>
      <c r="L3204" s="3">
        <v>23.9</v>
      </c>
      <c r="M3204" t="str">
        <f>IF(acs2015_county_data[[#This Row],[PublicWork]]&gt;='Описательные характеристики'!$F$5,"да","нет")</f>
        <v>да</v>
      </c>
      <c r="N3204" t="str">
        <f>IF(acs2015_county_data[[#This Row],[Unemployment]]&gt;='Описательные характеристики'!$I$5,"да","нет")</f>
        <v>да</v>
      </c>
    </row>
    <row r="3205" spans="1:14" x14ac:dyDescent="0.35">
      <c r="A3205">
        <v>72121</v>
      </c>
      <c r="B3205" t="s">
        <v>1892</v>
      </c>
      <c r="C3205" t="s">
        <v>1953</v>
      </c>
      <c r="D3205" s="2">
        <v>24307</v>
      </c>
      <c r="E3205" s="2">
        <v>7943</v>
      </c>
      <c r="F3205" s="3">
        <v>1.4</v>
      </c>
      <c r="G3205" s="3">
        <v>5339</v>
      </c>
      <c r="H3205" s="3">
        <v>67.2</v>
      </c>
      <c r="I3205" s="3">
        <v>29.8</v>
      </c>
      <c r="J3205" s="3">
        <v>3</v>
      </c>
      <c r="K3205" s="3">
        <v>0</v>
      </c>
      <c r="L3205" s="3">
        <v>24.3</v>
      </c>
      <c r="M3205" t="str">
        <f>IF(acs2015_county_data[[#This Row],[PublicWork]]&gt;='Описательные характеристики'!$F$5,"да","нет")</f>
        <v>да</v>
      </c>
      <c r="N3205" t="str">
        <f>IF(acs2015_county_data[[#This Row],[Unemployment]]&gt;='Описательные характеристики'!$I$5,"да","нет")</f>
        <v>да</v>
      </c>
    </row>
    <row r="3206" spans="1:14" x14ac:dyDescent="0.35">
      <c r="A3206">
        <v>72123</v>
      </c>
      <c r="B3206" t="s">
        <v>1892</v>
      </c>
      <c r="C3206" t="s">
        <v>1954</v>
      </c>
      <c r="D3206" s="2">
        <v>30114</v>
      </c>
      <c r="E3206" s="2">
        <v>8286</v>
      </c>
      <c r="F3206" s="3">
        <v>1.3</v>
      </c>
      <c r="G3206" s="3">
        <v>7804</v>
      </c>
      <c r="H3206" s="3">
        <v>61.6</v>
      </c>
      <c r="I3206" s="3">
        <v>32.4</v>
      </c>
      <c r="J3206" s="3">
        <v>6</v>
      </c>
      <c r="K3206" s="3">
        <v>0</v>
      </c>
      <c r="L3206" s="3">
        <v>12.1</v>
      </c>
      <c r="M3206" t="str">
        <f>IF(acs2015_county_data[[#This Row],[PublicWork]]&gt;='Описательные характеристики'!$F$5,"да","нет")</f>
        <v>да</v>
      </c>
      <c r="N3206" t="str">
        <f>IF(acs2015_county_data[[#This Row],[Unemployment]]&gt;='Описательные характеристики'!$I$5,"да","нет")</f>
        <v>да</v>
      </c>
    </row>
    <row r="3207" spans="1:14" x14ac:dyDescent="0.35">
      <c r="A3207">
        <v>72125</v>
      </c>
      <c r="B3207" t="s">
        <v>1892</v>
      </c>
      <c r="C3207" t="s">
        <v>1955</v>
      </c>
      <c r="D3207" s="2">
        <v>34125</v>
      </c>
      <c r="E3207" s="2">
        <v>9399</v>
      </c>
      <c r="F3207" s="3">
        <v>3.7</v>
      </c>
      <c r="G3207" s="3">
        <v>8803</v>
      </c>
      <c r="H3207" s="3">
        <v>67.099999999999994</v>
      </c>
      <c r="I3207" s="3">
        <v>22.7</v>
      </c>
      <c r="J3207" s="3">
        <v>9.8000000000000007</v>
      </c>
      <c r="K3207" s="3">
        <v>0.4</v>
      </c>
      <c r="L3207" s="3">
        <v>6.8</v>
      </c>
      <c r="M3207" t="str">
        <f>IF(acs2015_county_data[[#This Row],[PublicWork]]&gt;='Описательные характеристики'!$F$5,"да","нет")</f>
        <v>да</v>
      </c>
      <c r="N3207" t="str">
        <f>IF(acs2015_county_data[[#This Row],[Unemployment]]&gt;='Описательные характеристики'!$I$5,"да","нет")</f>
        <v>нет</v>
      </c>
    </row>
    <row r="3208" spans="1:14" x14ac:dyDescent="0.35">
      <c r="A3208">
        <v>72127</v>
      </c>
      <c r="B3208" t="s">
        <v>1892</v>
      </c>
      <c r="C3208" t="s">
        <v>285</v>
      </c>
      <c r="D3208" s="2">
        <v>371400</v>
      </c>
      <c r="E3208" s="2">
        <v>16691</v>
      </c>
      <c r="F3208" s="3">
        <v>2.8</v>
      </c>
      <c r="G3208" s="3">
        <v>133186</v>
      </c>
      <c r="H3208" s="3">
        <v>67.599999999999994</v>
      </c>
      <c r="I3208" s="3">
        <v>18.899999999999999</v>
      </c>
      <c r="J3208" s="3">
        <v>13.4</v>
      </c>
      <c r="K3208" s="3">
        <v>0.2</v>
      </c>
      <c r="L3208" s="3">
        <v>15.8</v>
      </c>
      <c r="M3208" t="str">
        <f>IF(acs2015_county_data[[#This Row],[PublicWork]]&gt;='Описательные характеристики'!$F$5,"да","нет")</f>
        <v>да</v>
      </c>
      <c r="N3208" t="str">
        <f>IF(acs2015_county_data[[#This Row],[Unemployment]]&gt;='Описательные характеристики'!$I$5,"да","нет")</f>
        <v>да</v>
      </c>
    </row>
    <row r="3209" spans="1:14" x14ac:dyDescent="0.35">
      <c r="A3209">
        <v>72129</v>
      </c>
      <c r="B3209" t="s">
        <v>1892</v>
      </c>
      <c r="C3209" t="s">
        <v>1956</v>
      </c>
      <c r="D3209" s="2">
        <v>39778</v>
      </c>
      <c r="E3209" s="2">
        <v>10021</v>
      </c>
      <c r="F3209" s="3">
        <v>0.9</v>
      </c>
      <c r="G3209" s="3">
        <v>11327</v>
      </c>
      <c r="H3209" s="3">
        <v>71.5</v>
      </c>
      <c r="I3209" s="3">
        <v>22.2</v>
      </c>
      <c r="J3209" s="3">
        <v>6.2</v>
      </c>
      <c r="K3209" s="3">
        <v>0.1</v>
      </c>
      <c r="L3209" s="3">
        <v>15.8</v>
      </c>
      <c r="M3209" t="str">
        <f>IF(acs2015_county_data[[#This Row],[PublicWork]]&gt;='Описательные характеристики'!$F$5,"да","нет")</f>
        <v>да</v>
      </c>
      <c r="N3209" t="str">
        <f>IF(acs2015_county_data[[#This Row],[Unemployment]]&gt;='Описательные характеристики'!$I$5,"да","нет")</f>
        <v>да</v>
      </c>
    </row>
    <row r="3210" spans="1:14" x14ac:dyDescent="0.35">
      <c r="A3210">
        <v>72131</v>
      </c>
      <c r="B3210" t="s">
        <v>1892</v>
      </c>
      <c r="C3210" t="s">
        <v>1957</v>
      </c>
      <c r="D3210" s="2">
        <v>40471</v>
      </c>
      <c r="E3210" s="2">
        <v>7519</v>
      </c>
      <c r="F3210" s="3">
        <v>2.8</v>
      </c>
      <c r="G3210" s="3">
        <v>8785</v>
      </c>
      <c r="H3210" s="3">
        <v>64.599999999999994</v>
      </c>
      <c r="I3210" s="3">
        <v>23.7</v>
      </c>
      <c r="J3210" s="3">
        <v>10.9</v>
      </c>
      <c r="K3210" s="3">
        <v>0.9</v>
      </c>
      <c r="L3210" s="3">
        <v>29.4</v>
      </c>
      <c r="M3210" t="str">
        <f>IF(acs2015_county_data[[#This Row],[PublicWork]]&gt;='Описательные характеристики'!$F$5,"да","нет")</f>
        <v>да</v>
      </c>
      <c r="N3210" t="str">
        <f>IF(acs2015_county_data[[#This Row],[Unemployment]]&gt;='Описательные характеристики'!$I$5,"да","нет")</f>
        <v>да</v>
      </c>
    </row>
    <row r="3211" spans="1:14" x14ac:dyDescent="0.35">
      <c r="A3211">
        <v>72133</v>
      </c>
      <c r="B3211" t="s">
        <v>1892</v>
      </c>
      <c r="C3211" t="s">
        <v>1958</v>
      </c>
      <c r="D3211" s="2">
        <v>22913</v>
      </c>
      <c r="E3211" s="2">
        <v>9199</v>
      </c>
      <c r="F3211" s="3">
        <v>1.7</v>
      </c>
      <c r="G3211" s="3">
        <v>6895</v>
      </c>
      <c r="H3211" s="3">
        <v>68.7</v>
      </c>
      <c r="I3211" s="3">
        <v>25.3</v>
      </c>
      <c r="J3211" s="3">
        <v>6</v>
      </c>
      <c r="K3211" s="3">
        <v>0</v>
      </c>
      <c r="L3211" s="3">
        <v>12.2</v>
      </c>
      <c r="M3211" t="str">
        <f>IF(acs2015_county_data[[#This Row],[PublicWork]]&gt;='Описательные характеристики'!$F$5,"да","нет")</f>
        <v>да</v>
      </c>
      <c r="N3211" t="str">
        <f>IF(acs2015_county_data[[#This Row],[Unemployment]]&gt;='Описательные характеристики'!$I$5,"да","нет")</f>
        <v>да</v>
      </c>
    </row>
    <row r="3212" spans="1:14" x14ac:dyDescent="0.35">
      <c r="A3212">
        <v>72135</v>
      </c>
      <c r="B3212" t="s">
        <v>1892</v>
      </c>
      <c r="C3212" t="s">
        <v>1959</v>
      </c>
      <c r="D3212" s="2">
        <v>74603</v>
      </c>
      <c r="E3212" s="2">
        <v>13689</v>
      </c>
      <c r="F3212" s="3">
        <v>0.6</v>
      </c>
      <c r="G3212" s="3">
        <v>26760</v>
      </c>
      <c r="H3212" s="3">
        <v>70.3</v>
      </c>
      <c r="I3212" s="3">
        <v>21.6</v>
      </c>
      <c r="J3212" s="3">
        <v>7.8</v>
      </c>
      <c r="K3212" s="3">
        <v>0.3</v>
      </c>
      <c r="L3212" s="3">
        <v>15.7</v>
      </c>
      <c r="M3212" t="str">
        <f>IF(acs2015_county_data[[#This Row],[PublicWork]]&gt;='Описательные характеристики'!$F$5,"да","нет")</f>
        <v>да</v>
      </c>
      <c r="N3212" t="str">
        <f>IF(acs2015_county_data[[#This Row],[Unemployment]]&gt;='Описательные характеристики'!$I$5,"да","нет")</f>
        <v>да</v>
      </c>
    </row>
    <row r="3213" spans="1:14" x14ac:dyDescent="0.35">
      <c r="A3213">
        <v>72137</v>
      </c>
      <c r="B3213" t="s">
        <v>1892</v>
      </c>
      <c r="C3213" t="s">
        <v>1960</v>
      </c>
      <c r="D3213" s="2">
        <v>85242</v>
      </c>
      <c r="E3213" s="2">
        <v>11673</v>
      </c>
      <c r="F3213" s="3">
        <v>2.8</v>
      </c>
      <c r="G3213" s="3">
        <v>30020</v>
      </c>
      <c r="H3213" s="3">
        <v>68.900000000000006</v>
      </c>
      <c r="I3213" s="3">
        <v>23.3</v>
      </c>
      <c r="J3213" s="3">
        <v>7.7</v>
      </c>
      <c r="K3213" s="3">
        <v>0.2</v>
      </c>
      <c r="L3213" s="3">
        <v>19</v>
      </c>
      <c r="M3213" t="str">
        <f>IF(acs2015_county_data[[#This Row],[PublicWork]]&gt;='Описательные характеристики'!$F$5,"да","нет")</f>
        <v>да</v>
      </c>
      <c r="N3213" t="str">
        <f>IF(acs2015_county_data[[#This Row],[Unemployment]]&gt;='Описательные характеристики'!$I$5,"да","нет")</f>
        <v>да</v>
      </c>
    </row>
    <row r="3214" spans="1:14" x14ac:dyDescent="0.35">
      <c r="A3214">
        <v>72139</v>
      </c>
      <c r="B3214" t="s">
        <v>1892</v>
      </c>
      <c r="C3214" t="s">
        <v>1961</v>
      </c>
      <c r="D3214" s="2">
        <v>71886</v>
      </c>
      <c r="E3214" s="2">
        <v>15409</v>
      </c>
      <c r="F3214" s="3">
        <v>3.2</v>
      </c>
      <c r="G3214" s="3">
        <v>28059</v>
      </c>
      <c r="H3214" s="3">
        <v>68.900000000000006</v>
      </c>
      <c r="I3214" s="3">
        <v>21</v>
      </c>
      <c r="J3214" s="3">
        <v>10.1</v>
      </c>
      <c r="K3214" s="3">
        <v>0</v>
      </c>
      <c r="L3214" s="3">
        <v>7.9</v>
      </c>
      <c r="M3214" t="str">
        <f>IF(acs2015_county_data[[#This Row],[PublicWork]]&gt;='Описательные характеристики'!$F$5,"да","нет")</f>
        <v>да</v>
      </c>
      <c r="N3214" t="str">
        <f>IF(acs2015_county_data[[#This Row],[Unemployment]]&gt;='Описательные характеристики'!$I$5,"да","нет")</f>
        <v>да</v>
      </c>
    </row>
    <row r="3215" spans="1:14" x14ac:dyDescent="0.35">
      <c r="A3215">
        <v>72141</v>
      </c>
      <c r="B3215" t="s">
        <v>1892</v>
      </c>
      <c r="C3215" t="s">
        <v>1962</v>
      </c>
      <c r="D3215" s="2">
        <v>31474</v>
      </c>
      <c r="E3215" s="2">
        <v>7717</v>
      </c>
      <c r="F3215" s="3">
        <v>1</v>
      </c>
      <c r="G3215" s="3">
        <v>6819</v>
      </c>
      <c r="H3215" s="3">
        <v>58</v>
      </c>
      <c r="I3215" s="3">
        <v>34</v>
      </c>
      <c r="J3215" s="3">
        <v>7.3</v>
      </c>
      <c r="K3215" s="3">
        <v>0.7</v>
      </c>
      <c r="L3215" s="3">
        <v>28.8</v>
      </c>
      <c r="M3215" t="str">
        <f>IF(acs2015_county_data[[#This Row],[PublicWork]]&gt;='Описательные характеристики'!$F$5,"да","нет")</f>
        <v>да</v>
      </c>
      <c r="N3215" t="str">
        <f>IF(acs2015_county_data[[#This Row],[Unemployment]]&gt;='Описательные характеристики'!$I$5,"да","нет")</f>
        <v>да</v>
      </c>
    </row>
    <row r="3216" spans="1:14" x14ac:dyDescent="0.35">
      <c r="A3216">
        <v>72143</v>
      </c>
      <c r="B3216" t="s">
        <v>1892</v>
      </c>
      <c r="C3216" t="s">
        <v>1963</v>
      </c>
      <c r="D3216" s="2">
        <v>39319</v>
      </c>
      <c r="E3216" s="2">
        <v>9918</v>
      </c>
      <c r="F3216" s="3">
        <v>0.9</v>
      </c>
      <c r="G3216" s="3">
        <v>9804</v>
      </c>
      <c r="H3216" s="3">
        <v>75.7</v>
      </c>
      <c r="I3216" s="3">
        <v>20.3</v>
      </c>
      <c r="J3216" s="3">
        <v>4.0999999999999996</v>
      </c>
      <c r="K3216" s="3">
        <v>0</v>
      </c>
      <c r="L3216" s="3">
        <v>21.7</v>
      </c>
      <c r="M3216" t="str">
        <f>IF(acs2015_county_data[[#This Row],[PublicWork]]&gt;='Описательные характеристики'!$F$5,"да","нет")</f>
        <v>да</v>
      </c>
      <c r="N3216" t="str">
        <f>IF(acs2015_county_data[[#This Row],[Unemployment]]&gt;='Описательные характеристики'!$I$5,"да","нет")</f>
        <v>да</v>
      </c>
    </row>
    <row r="3217" spans="1:14" x14ac:dyDescent="0.35">
      <c r="A3217">
        <v>72145</v>
      </c>
      <c r="B3217" t="s">
        <v>1892</v>
      </c>
      <c r="C3217" t="s">
        <v>1964</v>
      </c>
      <c r="D3217" s="2">
        <v>56858</v>
      </c>
      <c r="E3217" s="2">
        <v>9102</v>
      </c>
      <c r="F3217" s="3">
        <v>0.3</v>
      </c>
      <c r="G3217" s="3">
        <v>13660</v>
      </c>
      <c r="H3217" s="3">
        <v>78.3</v>
      </c>
      <c r="I3217" s="3">
        <v>17.600000000000001</v>
      </c>
      <c r="J3217" s="3">
        <v>4.0999999999999996</v>
      </c>
      <c r="K3217" s="3">
        <v>0</v>
      </c>
      <c r="L3217" s="3">
        <v>15.2</v>
      </c>
      <c r="M3217" t="str">
        <f>IF(acs2015_county_data[[#This Row],[PublicWork]]&gt;='Описательные характеристики'!$F$5,"да","нет")</f>
        <v>да</v>
      </c>
      <c r="N3217" t="str">
        <f>IF(acs2015_county_data[[#This Row],[Unemployment]]&gt;='Описательные характеристики'!$I$5,"да","нет")</f>
        <v>да</v>
      </c>
    </row>
    <row r="3218" spans="1:14" x14ac:dyDescent="0.35">
      <c r="A3218">
        <v>72147</v>
      </c>
      <c r="B3218" t="s">
        <v>1892</v>
      </c>
      <c r="C3218" t="s">
        <v>1965</v>
      </c>
      <c r="D3218" s="2">
        <v>9130</v>
      </c>
      <c r="E3218" s="2">
        <v>8821</v>
      </c>
      <c r="F3218" s="3">
        <v>1.4</v>
      </c>
      <c r="G3218" s="3">
        <v>2860</v>
      </c>
      <c r="H3218" s="3">
        <v>44.5</v>
      </c>
      <c r="I3218" s="3">
        <v>41.6</v>
      </c>
      <c r="J3218" s="3">
        <v>13.6</v>
      </c>
      <c r="K3218" s="3">
        <v>0.3</v>
      </c>
      <c r="L3218" s="3">
        <v>12.2</v>
      </c>
      <c r="M3218" t="str">
        <f>IF(acs2015_county_data[[#This Row],[PublicWork]]&gt;='Описательные характеристики'!$F$5,"да","нет")</f>
        <v>да</v>
      </c>
      <c r="N3218" t="str">
        <f>IF(acs2015_county_data[[#This Row],[Unemployment]]&gt;='Описательные характеристики'!$I$5,"да","нет")</f>
        <v>да</v>
      </c>
    </row>
    <row r="3219" spans="1:14" x14ac:dyDescent="0.35">
      <c r="A3219">
        <v>72149</v>
      </c>
      <c r="B3219" t="s">
        <v>1892</v>
      </c>
      <c r="C3219" t="s">
        <v>1966</v>
      </c>
      <c r="D3219" s="2">
        <v>24685</v>
      </c>
      <c r="E3219" s="2">
        <v>8420</v>
      </c>
      <c r="F3219" s="3">
        <v>3.3</v>
      </c>
      <c r="G3219" s="3">
        <v>6795</v>
      </c>
      <c r="H3219" s="3">
        <v>59.2</v>
      </c>
      <c r="I3219" s="3">
        <v>27.5</v>
      </c>
      <c r="J3219" s="3">
        <v>13.1</v>
      </c>
      <c r="K3219" s="3">
        <v>0.2</v>
      </c>
      <c r="L3219" s="3">
        <v>25.9</v>
      </c>
      <c r="M3219" t="str">
        <f>IF(acs2015_county_data[[#This Row],[PublicWork]]&gt;='Описательные характеристики'!$F$5,"да","нет")</f>
        <v>да</v>
      </c>
      <c r="N3219" t="str">
        <f>IF(acs2015_county_data[[#This Row],[Unemployment]]&gt;='Описательные характеристики'!$I$5,"да","нет")</f>
        <v>да</v>
      </c>
    </row>
    <row r="3220" spans="1:14" x14ac:dyDescent="0.35">
      <c r="A3220">
        <v>72151</v>
      </c>
      <c r="B3220" t="s">
        <v>1892</v>
      </c>
      <c r="C3220" t="s">
        <v>1967</v>
      </c>
      <c r="D3220" s="2">
        <v>36279</v>
      </c>
      <c r="E3220" s="2">
        <v>7960</v>
      </c>
      <c r="F3220" s="3">
        <v>1.5</v>
      </c>
      <c r="G3220" s="3">
        <v>8083</v>
      </c>
      <c r="H3220" s="3">
        <v>65.099999999999994</v>
      </c>
      <c r="I3220" s="3">
        <v>27.6</v>
      </c>
      <c r="J3220" s="3">
        <v>7.3</v>
      </c>
      <c r="K3220" s="3">
        <v>0</v>
      </c>
      <c r="L3220" s="3">
        <v>24.3</v>
      </c>
      <c r="M3220" t="str">
        <f>IF(acs2015_county_data[[#This Row],[PublicWork]]&gt;='Описательные характеристики'!$F$5,"да","нет")</f>
        <v>да</v>
      </c>
      <c r="N3220" t="str">
        <f>IF(acs2015_county_data[[#This Row],[Unemployment]]&gt;='Описательные характеристики'!$I$5,"да","нет")</f>
        <v>да</v>
      </c>
    </row>
    <row r="3221" spans="1:14" x14ac:dyDescent="0.35">
      <c r="A3221">
        <v>72153</v>
      </c>
      <c r="B3221" t="s">
        <v>1892</v>
      </c>
      <c r="C3221" t="s">
        <v>1968</v>
      </c>
      <c r="D3221" s="2">
        <v>39474</v>
      </c>
      <c r="E3221" s="2">
        <v>7743</v>
      </c>
      <c r="F3221" s="3">
        <v>3.1</v>
      </c>
      <c r="G3221" s="3">
        <v>8923</v>
      </c>
      <c r="H3221" s="3">
        <v>68</v>
      </c>
      <c r="I3221" s="3">
        <v>27.6</v>
      </c>
      <c r="J3221" s="3">
        <v>4.4000000000000004</v>
      </c>
      <c r="K3221" s="3">
        <v>0</v>
      </c>
      <c r="L3221" s="3">
        <v>27.1</v>
      </c>
      <c r="M3221" t="str">
        <f>IF(acs2015_county_data[[#This Row],[PublicWork]]&gt;='Описательные характеристики'!$F$5,"да","нет")</f>
        <v>да</v>
      </c>
      <c r="N3221" t="str">
        <f>IF(acs2015_county_data[[#This Row],[Unemployment]]&gt;='Описательные характеристики'!$I$5,"да","нет")</f>
        <v>да</v>
      </c>
    </row>
    <row r="3222" spans="1:14" x14ac:dyDescent="0.35">
      <c r="D3222" s="2">
        <f>SUBTOTAL(101,acs2015_county_data[TotalPop])</f>
        <v>99171.282385834114</v>
      </c>
      <c r="E3222" s="2">
        <f>SUBTOTAL(101,acs2015_county_data[IncomePerCap])</f>
        <v>23981.771739130436</v>
      </c>
      <c r="F3222" s="1">
        <f>SUBTOTAL(101,acs2015_county_data[WorkAtHome])</f>
        <v>4.6317701863354053</v>
      </c>
      <c r="G3222" s="1">
        <f>SUBTOTAL(101,acs2015_county_data[Employed])</f>
        <v>45605.103758931342</v>
      </c>
      <c r="H3222" s="1">
        <f>SUBTOTAL(101,acs2015_county_data[PrivateWork])</f>
        <v>74.219347826087031</v>
      </c>
      <c r="I3222" s="1">
        <f>SUBTOTAL(101,acs2015_county_data[PublicWork])</f>
        <v>17.56014285714285</v>
      </c>
      <c r="J3222" s="1">
        <f>SUBTOTAL(101,acs2015_county_data[SelfEmployed])</f>
        <v>7.9318012422360376</v>
      </c>
      <c r="K3222" s="1">
        <f>SUBTOTAL(101,acs2015_county_data[FamilyWork])</f>
        <v>0.28810559006211689</v>
      </c>
      <c r="L3222" s="1">
        <f>SUBTOTAL(101,acs2015_county_data[Unemployment])</f>
        <v>8.0944409937888384</v>
      </c>
    </row>
    <row r="3223" spans="1:14" x14ac:dyDescent="0.35">
      <c r="L3223" s="1">
        <f>MIN(acs2015_county_data[[#Data],[#Totals],[Unemployment]])</f>
        <v>0</v>
      </c>
    </row>
    <row r="3224" spans="1:14" x14ac:dyDescent="0.35">
      <c r="L3224" s="3">
        <f>MAX(L2:L3221)</f>
        <v>36.5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zoomScale="85" zoomScaleNormal="85" workbookViewId="0">
      <selection activeCell="A12" sqref="A12"/>
    </sheetView>
  </sheetViews>
  <sheetFormatPr defaultRowHeight="14.5" x14ac:dyDescent="0.35"/>
  <cols>
    <col min="1" max="1" width="32.7265625" bestFit="1" customWidth="1"/>
    <col min="2" max="2" width="20.08984375" bestFit="1" customWidth="1"/>
    <col min="3" max="3" width="14.81640625" customWidth="1"/>
    <col min="4" max="4" width="11.1796875" bestFit="1" customWidth="1"/>
    <col min="5" max="5" width="15.26953125" customWidth="1"/>
    <col min="6" max="6" width="12.26953125" customWidth="1"/>
    <col min="7" max="7" width="12.7265625" customWidth="1"/>
    <col min="8" max="8" width="12.90625" customWidth="1"/>
    <col min="9" max="9" width="10.08984375" customWidth="1"/>
    <col min="10" max="25" width="3.36328125" bestFit="1" customWidth="1"/>
    <col min="26" max="157" width="4.36328125" bestFit="1" customWidth="1"/>
    <col min="158" max="158" width="7.36328125" bestFit="1" customWidth="1"/>
    <col min="159" max="159" width="5.54296875" bestFit="1" customWidth="1"/>
    <col min="160" max="232" width="3.36328125" bestFit="1" customWidth="1"/>
    <col min="233" max="233" width="8.08984375" bestFit="1" customWidth="1"/>
    <col min="234" max="234" width="11.1796875" bestFit="1" customWidth="1"/>
  </cols>
  <sheetData>
    <row r="1" spans="1:9" ht="15" thickBot="1" x14ac:dyDescent="0.4">
      <c r="A1" s="7" t="s">
        <v>1969</v>
      </c>
      <c r="B1" s="5" t="s">
        <v>3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8" t="s">
        <v>13</v>
      </c>
    </row>
    <row r="2" spans="1:9" ht="15" thickTop="1" x14ac:dyDescent="0.35">
      <c r="A2" s="12" t="s">
        <v>1970</v>
      </c>
      <c r="B2" s="11">
        <f>AVERAGE(acs2015_county_data[TotalPop])</f>
        <v>99171.282385834114</v>
      </c>
      <c r="C2">
        <f>AVERAGE(acs2015_county_data[IncomePerCap])</f>
        <v>23981.771739130436</v>
      </c>
      <c r="D2">
        <f>AVERAGE(acs2015_county_data[Employed])</f>
        <v>45605.103758931342</v>
      </c>
      <c r="E2">
        <f>AVERAGE(acs2015_county_data[PrivateWork])</f>
        <v>74.219347826087031</v>
      </c>
      <c r="F2">
        <f>AVERAGE(acs2015_county_data[PublicWork])</f>
        <v>17.56014285714285</v>
      </c>
      <c r="G2">
        <f>AVERAGE(acs2015_county_data[SelfEmployed])</f>
        <v>7.9318012422360376</v>
      </c>
      <c r="H2">
        <f>AVERAGE(acs2015_county_data[FamilyWork])</f>
        <v>0.28810559006211689</v>
      </c>
      <c r="I2">
        <f>AVERAGE(acs2015_county_data[Unemployment])</f>
        <v>8.0944409937888384</v>
      </c>
    </row>
    <row r="3" spans="1:9" x14ac:dyDescent="0.35">
      <c r="A3" s="12" t="s">
        <v>1971</v>
      </c>
      <c r="B3">
        <f>VAR(acs2015_county_data[TotalPop])</f>
        <v>101805107958.64708</v>
      </c>
      <c r="C3">
        <f>VAR(acs2015_county_data[IncomePerCap])</f>
        <v>38493834.340859979</v>
      </c>
      <c r="D3">
        <f>VAR(acs2015_county_data[Employed])</f>
        <v>22416473196.773567</v>
      </c>
      <c r="E3">
        <f>VAR(acs2015_county_data[PrivateWork])</f>
        <v>61.829724955072486</v>
      </c>
      <c r="F3">
        <f>VAR(acs2015_county_data[PublicWork])</f>
        <v>42.383006006302381</v>
      </c>
      <c r="G3">
        <f>VAR(acs2015_county_data[SelfEmployed])</f>
        <v>15.327021917612388</v>
      </c>
      <c r="H3">
        <f>VAR(acs2015_county_data[FamilyWork])</f>
        <v>0.20714956324925587</v>
      </c>
      <c r="I3">
        <f>VAR(acs2015_county_data[Unemployment])</f>
        <v>16.778151753273438</v>
      </c>
    </row>
    <row r="4" spans="1:9" x14ac:dyDescent="0.35">
      <c r="A4" s="12" t="s">
        <v>1972</v>
      </c>
      <c r="B4">
        <f>STDEV(acs2015_county_data[TotalPop])</f>
        <v>319069.12724149146</v>
      </c>
      <c r="C4">
        <f>STDEV(acs2015_county_data[IncomePerCap])</f>
        <v>6204.3399601295205</v>
      </c>
      <c r="D4">
        <f>STDEV(acs2015_county_data[Employed])</f>
        <v>149721.31844454739</v>
      </c>
      <c r="E4">
        <f>STDEV(acs2015_county_data[PrivateWork])</f>
        <v>7.8631879638650686</v>
      </c>
      <c r="F4">
        <f>STDEV(acs2015_county_data[PublicWork])</f>
        <v>6.5102231917425364</v>
      </c>
      <c r="G4">
        <f>STDEV(acs2015_county_data[SelfEmployed])</f>
        <v>3.9149740634661154</v>
      </c>
      <c r="H4">
        <f>STDEV(acs2015_county_data[FamilyWork])</f>
        <v>0.45513686210771359</v>
      </c>
      <c r="I4">
        <f>STDEV(acs2015_county_data[Unemployment])</f>
        <v>4.0961142261017862</v>
      </c>
    </row>
    <row r="5" spans="1:9" x14ac:dyDescent="0.35">
      <c r="A5" s="12" t="s">
        <v>1973</v>
      </c>
      <c r="B5">
        <f>MEDIAN(acs2015_county_data[TotalPop])</f>
        <v>26014</v>
      </c>
      <c r="C5">
        <f>MEDIAN(acs2015_county_data[IncomePerCap])</f>
        <v>23460</v>
      </c>
      <c r="D5">
        <f>MEDIAN(acs2015_county_data[Employed])</f>
        <v>10521</v>
      </c>
      <c r="E5">
        <f>MEDIAN(acs2015_county_data[PrivateWork])</f>
        <v>75.7</v>
      </c>
      <c r="F5">
        <f>MEDIAN(acs2015_county_data[PublicWork])</f>
        <v>16.2</v>
      </c>
      <c r="G5">
        <f>MEDIAN(acs2015_county_data[SelfEmployed])</f>
        <v>6.9</v>
      </c>
      <c r="H5">
        <f>MEDIAN(acs2015_county_data[FamilyWork])</f>
        <v>0.2</v>
      </c>
      <c r="I5">
        <f>MEDIAN(acs2015_county_data[Unemployment])</f>
        <v>7.6</v>
      </c>
    </row>
    <row r="6" spans="1:9" x14ac:dyDescent="0.35">
      <c r="A6" s="12" t="s">
        <v>1974</v>
      </c>
      <c r="B6">
        <f>MODE(acs2015_county_data[TotalPop])</f>
        <v>8697</v>
      </c>
      <c r="C6">
        <f>MODE(acs2015_county_data[IncomePerCap])</f>
        <v>19743</v>
      </c>
      <c r="D6">
        <f>MODE(acs2015_county_data[Employed])</f>
        <v>6712</v>
      </c>
      <c r="E6">
        <f>MODE(acs2015_county_data[PrivateWork])</f>
        <v>79.8</v>
      </c>
      <c r="F6">
        <f>MODE(acs2015_county_data[PublicWork])</f>
        <v>13.8</v>
      </c>
      <c r="G6">
        <f>MODE(acs2015_county_data[SelfEmployed])</f>
        <v>5.7</v>
      </c>
      <c r="H6">
        <f>MODE(acs2015_county_data[FamilyWork])</f>
        <v>0.1</v>
      </c>
      <c r="I6">
        <f>MODE(acs2015_county_data[Unemployment])</f>
        <v>6.8</v>
      </c>
    </row>
    <row r="9" spans="1:9" x14ac:dyDescent="0.35">
      <c r="A9" s="7" t="s">
        <v>1975</v>
      </c>
      <c r="B9" s="5" t="s">
        <v>1</v>
      </c>
      <c r="C9" s="5" t="s">
        <v>2</v>
      </c>
    </row>
    <row r="10" spans="1:9" x14ac:dyDescent="0.35">
      <c r="A10" s="12" t="s">
        <v>1974</v>
      </c>
      <c r="B10" t="s">
        <v>1051</v>
      </c>
      <c r="C10" t="s">
        <v>75</v>
      </c>
    </row>
    <row r="12" spans="1:9" x14ac:dyDescent="0.35">
      <c r="A12" s="13" t="s">
        <v>2003</v>
      </c>
      <c r="B12" s="13" t="s">
        <v>2002</v>
      </c>
    </row>
    <row r="13" spans="1:9" x14ac:dyDescent="0.35">
      <c r="A13" s="13" t="s">
        <v>1998</v>
      </c>
      <c r="B13" t="s">
        <v>1999</v>
      </c>
      <c r="C13" t="s">
        <v>2000</v>
      </c>
      <c r="D13" t="s">
        <v>2001</v>
      </c>
    </row>
    <row r="14" spans="1:9" x14ac:dyDescent="0.35">
      <c r="A14" s="14" t="s">
        <v>1999</v>
      </c>
      <c r="B14">
        <v>932</v>
      </c>
      <c r="C14">
        <v>697</v>
      </c>
      <c r="D14">
        <v>1629</v>
      </c>
    </row>
    <row r="15" spans="1:9" x14ac:dyDescent="0.35">
      <c r="A15" s="14" t="s">
        <v>2000</v>
      </c>
      <c r="B15">
        <v>700</v>
      </c>
      <c r="C15">
        <v>891</v>
      </c>
      <c r="D15">
        <v>1591</v>
      </c>
    </row>
    <row r="16" spans="1:9" x14ac:dyDescent="0.35">
      <c r="A16" s="14" t="s">
        <v>2001</v>
      </c>
      <c r="B16">
        <v>1632</v>
      </c>
      <c r="C16">
        <v>1588</v>
      </c>
      <c r="D16">
        <v>3220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21"/>
  <sheetViews>
    <sheetView topLeftCell="E34" zoomScale="70" zoomScaleNormal="70" workbookViewId="0">
      <selection activeCell="Y35" sqref="Y35"/>
    </sheetView>
  </sheetViews>
  <sheetFormatPr defaultRowHeight="14.5" x14ac:dyDescent="0.35"/>
  <cols>
    <col min="1" max="1" width="13.08984375" customWidth="1"/>
    <col min="2" max="2" width="13.6328125" customWidth="1"/>
    <col min="3" max="4" width="20.90625" customWidth="1"/>
    <col min="5" max="5" width="11.36328125" customWidth="1"/>
    <col min="6" max="6" width="9.54296875" customWidth="1"/>
    <col min="7" max="7" width="10.08984375" customWidth="1"/>
    <col min="8" max="8" width="10.36328125" customWidth="1"/>
    <col min="13" max="13" width="12.81640625" customWidth="1"/>
    <col min="14" max="14" width="26.453125" customWidth="1"/>
    <col min="15" max="15" width="16.54296875" customWidth="1"/>
    <col min="16" max="16" width="18" customWidth="1"/>
    <col min="17" max="17" width="14.81640625" customWidth="1"/>
  </cols>
  <sheetData>
    <row r="1" spans="1:17" x14ac:dyDescent="0.35">
      <c r="A1" s="5" t="s">
        <v>6</v>
      </c>
      <c r="B1" s="8" t="s">
        <v>13</v>
      </c>
      <c r="C1" t="s">
        <v>1997</v>
      </c>
      <c r="M1" t="s">
        <v>1976</v>
      </c>
      <c r="N1" t="s">
        <v>1977</v>
      </c>
      <c r="O1" t="s">
        <v>1978</v>
      </c>
      <c r="P1" t="s">
        <v>1979</v>
      </c>
      <c r="Q1" t="s">
        <v>1980</v>
      </c>
    </row>
    <row r="2" spans="1:17" x14ac:dyDescent="0.35">
      <c r="A2" s="4">
        <v>24974</v>
      </c>
      <c r="B2" s="9">
        <v>7.6</v>
      </c>
      <c r="C2" t="str">
        <f>IF(acs2015_county_data[[#This Row],[Unemployment]]&gt;='Описательные характеристики'!$I$5,"да","нет")</f>
        <v>да</v>
      </c>
      <c r="N2" t="s">
        <v>1981</v>
      </c>
      <c r="O2">
        <v>85</v>
      </c>
      <c r="P2">
        <v>772263</v>
      </c>
      <c r="Q2">
        <v>85</v>
      </c>
    </row>
    <row r="3" spans="1:17" x14ac:dyDescent="0.35">
      <c r="A3" s="6">
        <v>27317</v>
      </c>
      <c r="B3" s="10">
        <v>7.5</v>
      </c>
      <c r="C3" t="str">
        <f>IF(acs2015_county_data[[#This Row],[Unemployment]]&gt;='Описательные характеристики'!$I$5,"да","нет")</f>
        <v>нет</v>
      </c>
      <c r="N3" t="s">
        <v>1982</v>
      </c>
      <c r="O3">
        <v>772263</v>
      </c>
      <c r="P3">
        <v>1544441</v>
      </c>
      <c r="Q3">
        <v>3144</v>
      </c>
    </row>
    <row r="4" spans="1:17" x14ac:dyDescent="0.35">
      <c r="A4" s="4">
        <v>16824</v>
      </c>
      <c r="B4" s="9">
        <v>17.600000000000001</v>
      </c>
      <c r="C4" t="str">
        <f>IF(acs2015_county_data[[#This Row],[Unemployment]]&gt;='Описательные характеристики'!$I$5,"да","нет")</f>
        <v>да</v>
      </c>
      <c r="N4" t="s">
        <v>1983</v>
      </c>
      <c r="O4">
        <v>1544441</v>
      </c>
      <c r="P4">
        <v>2316619</v>
      </c>
      <c r="Q4">
        <v>0</v>
      </c>
    </row>
    <row r="5" spans="1:17" x14ac:dyDescent="0.35">
      <c r="A5" s="6">
        <v>18431</v>
      </c>
      <c r="B5" s="10">
        <v>8.3000000000000007</v>
      </c>
      <c r="C5" t="str">
        <f>IF(acs2015_county_data[[#This Row],[Unemployment]]&gt;='Описательные характеристики'!$I$5,"да","нет")</f>
        <v>да</v>
      </c>
      <c r="N5" t="s">
        <v>1984</v>
      </c>
      <c r="O5">
        <v>2316619</v>
      </c>
      <c r="P5">
        <v>3088797</v>
      </c>
      <c r="Q5">
        <v>52</v>
      </c>
    </row>
    <row r="6" spans="1:17" x14ac:dyDescent="0.35">
      <c r="A6" s="4">
        <v>20532</v>
      </c>
      <c r="B6" s="9">
        <v>7.7</v>
      </c>
      <c r="C6" t="str">
        <f>IF(acs2015_county_data[[#This Row],[Unemployment]]&gt;='Описательные характеристики'!$I$5,"да","нет")</f>
        <v>да</v>
      </c>
      <c r="N6" t="s">
        <v>1985</v>
      </c>
      <c r="O6">
        <v>3088797</v>
      </c>
      <c r="P6">
        <v>3860975</v>
      </c>
      <c r="Q6">
        <v>0</v>
      </c>
    </row>
    <row r="7" spans="1:17" x14ac:dyDescent="0.35">
      <c r="A7" s="6">
        <v>17580</v>
      </c>
      <c r="B7" s="10">
        <v>18</v>
      </c>
      <c r="C7" t="str">
        <f>IF(acs2015_county_data[[#This Row],[Unemployment]]&gt;='Описательные характеристики'!$I$5,"да","нет")</f>
        <v>да</v>
      </c>
      <c r="N7" t="s">
        <v>1986</v>
      </c>
      <c r="O7">
        <v>3860975</v>
      </c>
      <c r="P7">
        <v>4633153</v>
      </c>
      <c r="Q7">
        <v>14</v>
      </c>
    </row>
    <row r="8" spans="1:17" x14ac:dyDescent="0.35">
      <c r="A8" s="4">
        <v>18390</v>
      </c>
      <c r="B8" s="9">
        <v>10.9</v>
      </c>
      <c r="C8" t="str">
        <f>IF(acs2015_county_data[[#This Row],[Unemployment]]&gt;='Описательные характеристики'!$I$5,"да","нет")</f>
        <v>да</v>
      </c>
      <c r="N8" t="s">
        <v>1987</v>
      </c>
      <c r="O8">
        <v>4633153</v>
      </c>
      <c r="P8">
        <v>5405331</v>
      </c>
      <c r="Q8">
        <v>0</v>
      </c>
    </row>
    <row r="9" spans="1:17" x14ac:dyDescent="0.35">
      <c r="A9" s="6">
        <v>21374</v>
      </c>
      <c r="B9" s="10">
        <v>12.3</v>
      </c>
      <c r="C9" t="str">
        <f>IF(acs2015_county_data[[#This Row],[Unemployment]]&gt;='Описательные характеристики'!$I$5,"да","нет")</f>
        <v>да</v>
      </c>
      <c r="N9" t="s">
        <v>1988</v>
      </c>
      <c r="O9">
        <v>5405331</v>
      </c>
      <c r="P9">
        <v>6177509</v>
      </c>
      <c r="Q9">
        <v>3</v>
      </c>
    </row>
    <row r="10" spans="1:17" x14ac:dyDescent="0.35">
      <c r="A10" s="4">
        <v>21071</v>
      </c>
      <c r="B10" s="9">
        <v>8.9</v>
      </c>
      <c r="C10" t="str">
        <f>IF(acs2015_county_data[[#This Row],[Unemployment]]&gt;='Описательные характеристики'!$I$5,"да","нет")</f>
        <v>да</v>
      </c>
      <c r="N10" t="s">
        <v>1989</v>
      </c>
      <c r="O10">
        <v>6177509</v>
      </c>
      <c r="P10">
        <v>6949687</v>
      </c>
      <c r="Q10">
        <v>0</v>
      </c>
    </row>
    <row r="11" spans="1:17" x14ac:dyDescent="0.35">
      <c r="A11" s="6">
        <v>21811</v>
      </c>
      <c r="B11" s="10">
        <v>7.9</v>
      </c>
      <c r="C11" t="str">
        <f>IF(acs2015_county_data[[#This Row],[Unemployment]]&gt;='Описательные характеристики'!$I$5,"да","нет")</f>
        <v>да</v>
      </c>
      <c r="N11" t="s">
        <v>1990</v>
      </c>
      <c r="O11">
        <v>6949687</v>
      </c>
      <c r="P11">
        <v>7721865</v>
      </c>
      <c r="Q11">
        <v>2</v>
      </c>
    </row>
    <row r="12" spans="1:17" x14ac:dyDescent="0.35">
      <c r="A12" s="4">
        <v>21399</v>
      </c>
      <c r="B12" s="9">
        <v>9.1</v>
      </c>
      <c r="C12" t="str">
        <f>IF(acs2015_county_data[[#This Row],[Unemployment]]&gt;='Описательные характеристики'!$I$5,"да","нет")</f>
        <v>да</v>
      </c>
      <c r="N12" t="s">
        <v>1991</v>
      </c>
      <c r="O12">
        <v>7721865</v>
      </c>
      <c r="P12">
        <v>8494043</v>
      </c>
      <c r="Q12">
        <v>0</v>
      </c>
    </row>
    <row r="13" spans="1:17" x14ac:dyDescent="0.35">
      <c r="A13" s="6">
        <v>20755</v>
      </c>
      <c r="B13" s="10">
        <v>13.6</v>
      </c>
      <c r="C13" t="str">
        <f>IF(acs2015_county_data[[#This Row],[Unemployment]]&gt;='Описательные характеристики'!$I$5,"да","нет")</f>
        <v>да</v>
      </c>
      <c r="N13" t="s">
        <v>1992</v>
      </c>
      <c r="O13">
        <v>8494043</v>
      </c>
      <c r="P13">
        <v>9266221</v>
      </c>
      <c r="Q13">
        <v>2</v>
      </c>
    </row>
    <row r="14" spans="1:17" x14ac:dyDescent="0.35">
      <c r="A14" s="4">
        <v>20064</v>
      </c>
      <c r="B14" s="9">
        <v>19.399999999999999</v>
      </c>
      <c r="C14" t="str">
        <f>IF(acs2015_county_data[[#This Row],[Unemployment]]&gt;='Описательные характеристики'!$I$5,"да","нет")</f>
        <v>да</v>
      </c>
      <c r="N14" t="s">
        <v>1993</v>
      </c>
      <c r="O14">
        <v>9266221</v>
      </c>
      <c r="P14">
        <v>10038389</v>
      </c>
      <c r="Q14">
        <v>0</v>
      </c>
    </row>
    <row r="15" spans="1:17" x14ac:dyDescent="0.35">
      <c r="A15" s="6">
        <v>18905</v>
      </c>
      <c r="B15" s="10">
        <v>9.4</v>
      </c>
      <c r="C15" t="str">
        <f>IF(acs2015_county_data[[#This Row],[Unemployment]]&gt;='Описательные характеристики'!$I$5,"да","нет")</f>
        <v>да</v>
      </c>
    </row>
    <row r="16" spans="1:17" x14ac:dyDescent="0.35">
      <c r="A16" s="4">
        <v>20151</v>
      </c>
      <c r="B16" s="9">
        <v>8.3000000000000007</v>
      </c>
      <c r="C16" t="str">
        <f>IF(acs2015_county_data[[#This Row],[Unemployment]]&gt;='Описательные характеристики'!$I$5,"да","нет")</f>
        <v>да</v>
      </c>
    </row>
    <row r="17" spans="1:3" x14ac:dyDescent="0.35">
      <c r="A17" s="6">
        <v>24936</v>
      </c>
      <c r="B17" s="10">
        <v>7.1</v>
      </c>
      <c r="C17" t="str">
        <f>IF(acs2015_county_data[[#This Row],[Unemployment]]&gt;='Описательные характеристики'!$I$5,"да","нет")</f>
        <v>нет</v>
      </c>
    </row>
    <row r="18" spans="1:3" x14ac:dyDescent="0.35">
      <c r="A18" s="4">
        <v>22546</v>
      </c>
      <c r="B18" s="9">
        <v>9</v>
      </c>
      <c r="C18" t="str">
        <f>IF(acs2015_county_data[[#This Row],[Unemployment]]&gt;='Описательные характеристики'!$I$5,"да","нет")</f>
        <v>да</v>
      </c>
    </row>
    <row r="19" spans="1:3" x14ac:dyDescent="0.35">
      <c r="A19" s="6">
        <v>15968</v>
      </c>
      <c r="B19" s="10">
        <v>22.6</v>
      </c>
      <c r="C19" t="str">
        <f>IF(acs2015_county_data[[#This Row],[Unemployment]]&gt;='Описательные характеристики'!$I$5,"да","нет")</f>
        <v>да</v>
      </c>
    </row>
    <row r="20" spans="1:3" x14ac:dyDescent="0.35">
      <c r="A20" s="4">
        <v>17519</v>
      </c>
      <c r="B20" s="9">
        <v>17</v>
      </c>
      <c r="C20" t="str">
        <f>IF(acs2015_county_data[[#This Row],[Unemployment]]&gt;='Описательные характеристики'!$I$5,"да","нет")</f>
        <v>да</v>
      </c>
    </row>
    <row r="21" spans="1:3" x14ac:dyDescent="0.35">
      <c r="A21" s="6">
        <v>20977</v>
      </c>
      <c r="B21" s="10">
        <v>11.2</v>
      </c>
      <c r="C21" t="str">
        <f>IF(acs2015_county_data[[#This Row],[Unemployment]]&gt;='Описательные характеристики'!$I$5,"да","нет")</f>
        <v>да</v>
      </c>
    </row>
    <row r="22" spans="1:3" x14ac:dyDescent="0.35">
      <c r="A22" s="4">
        <v>20585</v>
      </c>
      <c r="B22" s="9">
        <v>9.6999999999999993</v>
      </c>
      <c r="C22" t="str">
        <f>IF(acs2015_county_data[[#This Row],[Unemployment]]&gt;='Описательные характеристики'!$I$5,"да","нет")</f>
        <v>да</v>
      </c>
    </row>
    <row r="23" spans="1:3" x14ac:dyDescent="0.35">
      <c r="A23" s="6">
        <v>20881</v>
      </c>
      <c r="B23" s="10">
        <v>7.3</v>
      </c>
      <c r="C23" t="str">
        <f>IF(acs2015_county_data[[#This Row],[Unemployment]]&gt;='Описательные характеристики'!$I$5,"да","нет")</f>
        <v>нет</v>
      </c>
    </row>
    <row r="24" spans="1:3" x14ac:dyDescent="0.35">
      <c r="A24" s="4">
        <v>22566</v>
      </c>
      <c r="B24" s="9">
        <v>10.9</v>
      </c>
      <c r="C24" t="str">
        <f>IF(acs2015_county_data[[#This Row],[Unemployment]]&gt;='Описательные характеристики'!$I$5,"да","нет")</f>
        <v>да</v>
      </c>
    </row>
    <row r="25" spans="1:3" x14ac:dyDescent="0.35">
      <c r="A25" s="6">
        <v>17808</v>
      </c>
      <c r="B25" s="10">
        <v>16.399999999999999</v>
      </c>
      <c r="C25" t="str">
        <f>IF(acs2015_county_data[[#This Row],[Unemployment]]&gt;='Описательные характеристики'!$I$5,"да","нет")</f>
        <v>да</v>
      </c>
    </row>
    <row r="26" spans="1:3" x14ac:dyDescent="0.35">
      <c r="A26" s="4">
        <v>18411</v>
      </c>
      <c r="B26" s="9">
        <v>7.7</v>
      </c>
      <c r="C26" t="str">
        <f>IF(acs2015_county_data[[#This Row],[Unemployment]]&gt;='Описательные характеристики'!$I$5,"да","нет")</f>
        <v>да</v>
      </c>
    </row>
    <row r="27" spans="1:3" x14ac:dyDescent="0.35">
      <c r="A27" s="6">
        <v>24381</v>
      </c>
      <c r="B27" s="10">
        <v>8.3000000000000007</v>
      </c>
      <c r="C27" t="str">
        <f>IF(acs2015_county_data[[#This Row],[Unemployment]]&gt;='Описательные характеристики'!$I$5,"да","нет")</f>
        <v>да</v>
      </c>
    </row>
    <row r="28" spans="1:3" x14ac:dyDescent="0.35">
      <c r="A28" s="4">
        <v>17045</v>
      </c>
      <c r="B28" s="9">
        <v>15.6</v>
      </c>
      <c r="C28" t="str">
        <f>IF(acs2015_county_data[[#This Row],[Unemployment]]&gt;='Описательные характеристики'!$I$5,"да","нет")</f>
        <v>да</v>
      </c>
    </row>
    <row r="29" spans="1:3" x14ac:dyDescent="0.35">
      <c r="A29" s="6">
        <v>20500</v>
      </c>
      <c r="B29" s="10">
        <v>9</v>
      </c>
      <c r="C29" t="str">
        <f>IF(acs2015_county_data[[#This Row],[Unemployment]]&gt;='Описательные характеристики'!$I$5,"да","нет")</f>
        <v>да</v>
      </c>
    </row>
    <row r="30" spans="1:3" x14ac:dyDescent="0.35">
      <c r="A30" s="4">
        <v>19545</v>
      </c>
      <c r="B30" s="9">
        <v>10</v>
      </c>
      <c r="C30" t="str">
        <f>IF(acs2015_county_data[[#This Row],[Unemployment]]&gt;='Описательные характеристики'!$I$5,"да","нет")</f>
        <v>да</v>
      </c>
    </row>
    <row r="31" spans="1:3" x14ac:dyDescent="0.35">
      <c r="A31" s="6">
        <v>18595</v>
      </c>
      <c r="B31" s="10">
        <v>9.8000000000000007</v>
      </c>
      <c r="C31" t="str">
        <f>IF(acs2015_county_data[[#This Row],[Unemployment]]&gt;='Описательные характеристики'!$I$5,"да","нет")</f>
        <v>да</v>
      </c>
    </row>
    <row r="32" spans="1:3" x14ac:dyDescent="0.35">
      <c r="A32" s="4">
        <v>20224</v>
      </c>
      <c r="B32" s="9">
        <v>11.2</v>
      </c>
      <c r="C32" t="str">
        <f>IF(acs2015_county_data[[#This Row],[Unemployment]]&gt;='Описательные характеристики'!$I$5,"да","нет")</f>
        <v>да</v>
      </c>
    </row>
    <row r="33" spans="1:8" x14ac:dyDescent="0.35">
      <c r="A33" s="6">
        <v>13611</v>
      </c>
      <c r="B33" s="10">
        <v>20.399999999999999</v>
      </c>
      <c r="C33" t="str">
        <f>IF(acs2015_county_data[[#This Row],[Unemployment]]&gt;='Описательные характеристики'!$I$5,"да","нет")</f>
        <v>да</v>
      </c>
    </row>
    <row r="34" spans="1:8" x14ac:dyDescent="0.35">
      <c r="A34" s="4">
        <v>18877</v>
      </c>
      <c r="B34" s="9">
        <v>13.3</v>
      </c>
      <c r="C34" t="str">
        <f>IF(acs2015_county_data[[#This Row],[Unemployment]]&gt;='Описательные характеристики'!$I$5,"да","нет")</f>
        <v>да</v>
      </c>
    </row>
    <row r="35" spans="1:8" x14ac:dyDescent="0.35">
      <c r="A35" s="6">
        <v>22931</v>
      </c>
      <c r="B35" s="10">
        <v>8.1</v>
      </c>
      <c r="C35" t="str">
        <f>IF(acs2015_county_data[[#This Row],[Unemployment]]&gt;='Описательные характеристики'!$I$5,"да","нет")</f>
        <v>да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1:8" x14ac:dyDescent="0.35">
      <c r="A36" s="4">
        <v>23925</v>
      </c>
      <c r="B36" s="9">
        <v>8.3000000000000007</v>
      </c>
      <c r="C36" t="str">
        <f>IF(acs2015_county_data[[#This Row],[Unemployment]]&gt;='Описательные характеристики'!$I$5,"да","нет")</f>
        <v>да</v>
      </c>
      <c r="D36" t="s">
        <v>1308</v>
      </c>
      <c r="E36" s="16">
        <v>56.1</v>
      </c>
      <c r="F36" s="16">
        <v>15.5</v>
      </c>
      <c r="G36" s="16">
        <v>27.5</v>
      </c>
      <c r="H36" s="16">
        <v>0.9</v>
      </c>
    </row>
    <row r="37" spans="1:8" x14ac:dyDescent="0.35">
      <c r="A37" s="6">
        <v>20066</v>
      </c>
      <c r="B37" s="10">
        <v>10.1</v>
      </c>
      <c r="C37" t="str">
        <f>IF(acs2015_county_data[[#This Row],[Unemployment]]&gt;='Описательные характеристики'!$I$5,"да","нет")</f>
        <v>да</v>
      </c>
      <c r="D37" t="s">
        <v>1893</v>
      </c>
      <c r="E37" s="15">
        <v>63</v>
      </c>
      <c r="F37" s="15">
        <v>28.7</v>
      </c>
      <c r="G37" s="15">
        <v>8</v>
      </c>
      <c r="H37" s="15">
        <v>0.3</v>
      </c>
    </row>
    <row r="38" spans="1:8" x14ac:dyDescent="0.35">
      <c r="A38" s="4">
        <v>27240</v>
      </c>
      <c r="B38" s="9">
        <v>9.1</v>
      </c>
      <c r="C38" t="str">
        <f>IF(acs2015_county_data[[#This Row],[Unemployment]]&gt;='Описательные характеристики'!$I$5,"да","нет")</f>
        <v>да</v>
      </c>
    </row>
    <row r="39" spans="1:8" x14ac:dyDescent="0.35">
      <c r="A39" s="6">
        <v>20130</v>
      </c>
      <c r="B39" s="10">
        <v>10.199999999999999</v>
      </c>
      <c r="C39" t="str">
        <f>IF(acs2015_county_data[[#This Row],[Unemployment]]&gt;='Описательные характеристики'!$I$5,"да","нет")</f>
        <v>да</v>
      </c>
    </row>
    <row r="40" spans="1:8" x14ac:dyDescent="0.35">
      <c r="A40" s="4">
        <v>24215</v>
      </c>
      <c r="B40" s="9">
        <v>7.1</v>
      </c>
      <c r="C40" t="str">
        <f>IF(acs2015_county_data[[#This Row],[Unemployment]]&gt;='Описательные характеристики'!$I$5,"да","нет")</f>
        <v>нет</v>
      </c>
    </row>
    <row r="41" spans="1:8" x14ac:dyDescent="0.35">
      <c r="A41" s="6">
        <v>21369</v>
      </c>
      <c r="B41" s="10">
        <v>9.8000000000000007</v>
      </c>
      <c r="C41" t="str">
        <f>IF(acs2015_county_data[[#This Row],[Unemployment]]&gt;='Описательные характеристики'!$I$5,"да","нет")</f>
        <v>да</v>
      </c>
    </row>
    <row r="42" spans="1:8" x14ac:dyDescent="0.35">
      <c r="A42" s="4">
        <v>24356</v>
      </c>
      <c r="B42" s="9">
        <v>7.3</v>
      </c>
      <c r="C42" t="str">
        <f>IF(acs2015_county_data[[#This Row],[Unemployment]]&gt;='Описательные характеристики'!$I$5,"да","нет")</f>
        <v>нет</v>
      </c>
    </row>
    <row r="43" spans="1:8" x14ac:dyDescent="0.35">
      <c r="A43" s="6">
        <v>25569</v>
      </c>
      <c r="B43" s="10">
        <v>7.8</v>
      </c>
      <c r="C43" t="str">
        <f>IF(acs2015_county_data[[#This Row],[Unemployment]]&gt;='Описательные характеристики'!$I$5,"да","нет")</f>
        <v>да</v>
      </c>
    </row>
    <row r="44" spans="1:8" x14ac:dyDescent="0.35">
      <c r="A44" s="4">
        <v>18429</v>
      </c>
      <c r="B44" s="9">
        <v>13.2</v>
      </c>
      <c r="C44" t="str">
        <f>IF(acs2015_county_data[[#This Row],[Unemployment]]&gt;='Описательные характеристики'!$I$5,"да","нет")</f>
        <v>да</v>
      </c>
    </row>
    <row r="45" spans="1:8" x14ac:dyDescent="0.35">
      <c r="A45" s="6">
        <v>17374</v>
      </c>
      <c r="B45" s="10">
        <v>16.899999999999999</v>
      </c>
      <c r="C45" t="str">
        <f>IF(acs2015_county_data[[#This Row],[Unemployment]]&gt;='Описательные характеристики'!$I$5,"да","нет")</f>
        <v>да</v>
      </c>
    </row>
    <row r="46" spans="1:8" x14ac:dyDescent="0.35">
      <c r="A46" s="4">
        <v>32131</v>
      </c>
      <c r="B46" s="9">
        <v>8.5</v>
      </c>
      <c r="C46" t="str">
        <f>IF(acs2015_county_data[[#This Row],[Unemployment]]&gt;='Описательные характеристики'!$I$5,"да","нет")</f>
        <v>да</v>
      </c>
    </row>
    <row r="47" spans="1:8" x14ac:dyDescent="0.35">
      <c r="A47" s="6">
        <v>21471</v>
      </c>
      <c r="B47" s="10">
        <v>11.4</v>
      </c>
      <c r="C47" t="str">
        <f>IF(acs2015_county_data[[#This Row],[Unemployment]]&gt;='Описательные характеристики'!$I$5,"да","нет")</f>
        <v>да</v>
      </c>
    </row>
    <row r="48" spans="1:8" x14ac:dyDescent="0.35">
      <c r="A48" s="4">
        <v>20042</v>
      </c>
      <c r="B48" s="9">
        <v>9.9</v>
      </c>
      <c r="C48" t="str">
        <f>IF(acs2015_county_data[[#This Row],[Unemployment]]&gt;='Описательные характеристики'!$I$5,"да","нет")</f>
        <v>да</v>
      </c>
    </row>
    <row r="49" spans="1:3" x14ac:dyDescent="0.35">
      <c r="A49" s="6">
        <v>21363</v>
      </c>
      <c r="B49" s="10">
        <v>8.4</v>
      </c>
      <c r="C49" t="str">
        <f>IF(acs2015_county_data[[#This Row],[Unemployment]]&gt;='Описательные характеристики'!$I$5,"да","нет")</f>
        <v>да</v>
      </c>
    </row>
    <row r="50" spans="1:3" x14ac:dyDescent="0.35">
      <c r="A50" s="4">
        <v>22953</v>
      </c>
      <c r="B50" s="9">
        <v>9.8000000000000007</v>
      </c>
      <c r="C50" t="str">
        <f>IF(acs2015_county_data[[#This Row],[Unemployment]]&gt;='Описательные характеристики'!$I$5,"да","нет")</f>
        <v>да</v>
      </c>
    </row>
    <row r="51" spans="1:3" x14ac:dyDescent="0.35">
      <c r="A51" s="6">
        <v>15863</v>
      </c>
      <c r="B51" s="10">
        <v>20.7</v>
      </c>
      <c r="C51" t="str">
        <f>IF(acs2015_county_data[[#This Row],[Unemployment]]&gt;='Описательные характеристики'!$I$5,"да","нет")</f>
        <v>да</v>
      </c>
    </row>
    <row r="52" spans="1:3" x14ac:dyDescent="0.35">
      <c r="A52" s="4">
        <v>25138</v>
      </c>
      <c r="B52" s="9">
        <v>8.8000000000000007</v>
      </c>
      <c r="C52" t="str">
        <f>IF(acs2015_county_data[[#This Row],[Unemployment]]&gt;='Описательные характеристики'!$I$5,"да","нет")</f>
        <v>да</v>
      </c>
    </row>
    <row r="53" spans="1:3" x14ac:dyDescent="0.35">
      <c r="A53" s="6">
        <v>24449</v>
      </c>
      <c r="B53" s="10">
        <v>9.9</v>
      </c>
      <c r="C53" t="str">
        <f>IF(acs2015_county_data[[#This Row],[Unemployment]]&gt;='Описательные характеристики'!$I$5,"да","нет")</f>
        <v>да</v>
      </c>
    </row>
    <row r="54" spans="1:3" x14ac:dyDescent="0.35">
      <c r="A54" s="4">
        <v>14804</v>
      </c>
      <c r="B54" s="9">
        <v>11.2</v>
      </c>
      <c r="C54" t="str">
        <f>IF(acs2015_county_data[[#This Row],[Unemployment]]&gt;='Описательные характеристики'!$I$5,"да","нет")</f>
        <v>да</v>
      </c>
    </row>
    <row r="55" spans="1:3" x14ac:dyDescent="0.35">
      <c r="A55" s="6">
        <v>17957</v>
      </c>
      <c r="B55" s="10">
        <v>13.8</v>
      </c>
      <c r="C55" t="str">
        <f>IF(acs2015_county_data[[#This Row],[Unemployment]]&gt;='Описательные характеристики'!$I$5,"да","нет")</f>
        <v>да</v>
      </c>
    </row>
    <row r="56" spans="1:3" x14ac:dyDescent="0.35">
      <c r="A56" s="4">
        <v>19415</v>
      </c>
      <c r="B56" s="9">
        <v>10.199999999999999</v>
      </c>
      <c r="C56" t="str">
        <f>IF(acs2015_county_data[[#This Row],[Unemployment]]&gt;='Описательные характеристики'!$I$5,"да","нет")</f>
        <v>да</v>
      </c>
    </row>
    <row r="57" spans="1:3" x14ac:dyDescent="0.35">
      <c r="A57" s="6">
        <v>19363</v>
      </c>
      <c r="B57" s="10">
        <v>10.3</v>
      </c>
      <c r="C57" t="str">
        <f>IF(acs2015_county_data[[#This Row],[Unemployment]]&gt;='Описательные характеристики'!$I$5,"да","нет")</f>
        <v>да</v>
      </c>
    </row>
    <row r="58" spans="1:3" x14ac:dyDescent="0.35">
      <c r="A58" s="4">
        <v>19882</v>
      </c>
      <c r="B58" s="9">
        <v>11.1</v>
      </c>
      <c r="C58" t="str">
        <f>IF(acs2015_county_data[[#This Row],[Unemployment]]&gt;='Описательные характеристики'!$I$5,"да","нет")</f>
        <v>да</v>
      </c>
    </row>
    <row r="59" spans="1:3" x14ac:dyDescent="0.35">
      <c r="A59" s="6">
        <v>24168</v>
      </c>
      <c r="B59" s="10">
        <v>8.4</v>
      </c>
      <c r="C59" t="str">
        <f>IF(acs2015_county_data[[#This Row],[Unemployment]]&gt;='Описательные характеристики'!$I$5,"да","нет")</f>
        <v>да</v>
      </c>
    </row>
    <row r="60" spans="1:3" x14ac:dyDescent="0.35">
      <c r="A60" s="4">
        <v>33494</v>
      </c>
      <c r="B60" s="9">
        <v>5.5</v>
      </c>
      <c r="C60" t="str">
        <f>IF(acs2015_county_data[[#This Row],[Unemployment]]&gt;='Описательные характеристики'!$I$5,"да","нет")</f>
        <v>нет</v>
      </c>
    </row>
    <row r="61" spans="1:3" x14ac:dyDescent="0.35">
      <c r="A61" s="6">
        <v>12887</v>
      </c>
      <c r="B61" s="10">
        <v>16.8</v>
      </c>
      <c r="C61" t="str">
        <f>IF(acs2015_county_data[[#This Row],[Unemployment]]&gt;='Описательные характеристики'!$I$5,"да","нет")</f>
        <v>да</v>
      </c>
    </row>
    <row r="62" spans="1:3" x14ac:dyDescent="0.35">
      <c r="A62" s="4">
        <v>19598</v>
      </c>
      <c r="B62" s="9">
        <v>13.8</v>
      </c>
      <c r="C62" t="str">
        <f>IF(acs2015_county_data[[#This Row],[Unemployment]]&gt;='Описательные характеристики'!$I$5,"да","нет")</f>
        <v>да</v>
      </c>
    </row>
    <row r="63" spans="1:3" x14ac:dyDescent="0.35">
      <c r="A63" s="6">
        <v>21177</v>
      </c>
      <c r="B63" s="10">
        <v>9</v>
      </c>
      <c r="C63" t="str">
        <f>IF(acs2015_county_data[[#This Row],[Unemployment]]&gt;='Описательные характеристики'!$I$5,"да","нет")</f>
        <v>да</v>
      </c>
    </row>
    <row r="64" spans="1:3" x14ac:dyDescent="0.35">
      <c r="A64" s="4">
        <v>23124</v>
      </c>
      <c r="B64" s="9">
        <v>7.6</v>
      </c>
      <c r="C64" t="str">
        <f>IF(acs2015_county_data[[#This Row],[Unemployment]]&gt;='Описательные характеристики'!$I$5,"да","нет")</f>
        <v>да</v>
      </c>
    </row>
    <row r="65" spans="1:3" x14ac:dyDescent="0.35">
      <c r="A65" s="6">
        <v>20166</v>
      </c>
      <c r="B65" s="10">
        <v>11.4</v>
      </c>
      <c r="C65" t="str">
        <f>IF(acs2015_county_data[[#This Row],[Unemployment]]&gt;='Описательные характеристики'!$I$5,"да","нет")</f>
        <v>да</v>
      </c>
    </row>
    <row r="66" spans="1:3" x14ac:dyDescent="0.35">
      <c r="A66" s="4">
        <v>19743</v>
      </c>
      <c r="B66" s="9">
        <v>20</v>
      </c>
      <c r="C66" t="str">
        <f>IF(acs2015_county_data[[#This Row],[Unemployment]]&gt;='Описательные характеристики'!$I$5,"да","нет")</f>
        <v>да</v>
      </c>
    </row>
    <row r="67" spans="1:3" x14ac:dyDescent="0.35">
      <c r="A67" s="6">
        <v>14170</v>
      </c>
      <c r="B67" s="10">
        <v>20.8</v>
      </c>
      <c r="C67" t="str">
        <f>IF(acs2015_county_data[[#This Row],[Unemployment]]&gt;='Описательные характеристики'!$I$5,"да","нет")</f>
        <v>да</v>
      </c>
    </row>
    <row r="68" spans="1:3" x14ac:dyDescent="0.35">
      <c r="A68" s="4">
        <v>18808</v>
      </c>
      <c r="B68" s="9">
        <v>9.6</v>
      </c>
      <c r="C68" t="str">
        <f>IF(acs2015_county_data[[#This Row],[Unemployment]]&gt;='Описательные характеристики'!$I$5,"да","нет")</f>
        <v>да</v>
      </c>
    </row>
    <row r="69" spans="1:3" x14ac:dyDescent="0.35">
      <c r="A69" s="6">
        <v>28608</v>
      </c>
      <c r="B69" s="10">
        <v>2.9</v>
      </c>
      <c r="C69" t="str">
        <f>IF(acs2015_county_data[[#This Row],[Unemployment]]&gt;='Описательные характеристики'!$I$5,"да","нет")</f>
        <v>нет</v>
      </c>
    </row>
    <row r="70" spans="1:3" x14ac:dyDescent="0.35">
      <c r="A70" s="4">
        <v>31754</v>
      </c>
      <c r="B70" s="9">
        <v>2.1</v>
      </c>
      <c r="C70" t="str">
        <f>IF(acs2015_county_data[[#This Row],[Unemployment]]&gt;='Описательные характеристики'!$I$5,"да","нет")</f>
        <v>нет</v>
      </c>
    </row>
    <row r="71" spans="1:3" x14ac:dyDescent="0.35">
      <c r="A71" s="6">
        <v>36920</v>
      </c>
      <c r="B71" s="10">
        <v>6.7</v>
      </c>
      <c r="C71" t="str">
        <f>IF(acs2015_county_data[[#This Row],[Unemployment]]&gt;='Описательные характеристики'!$I$5,"да","нет")</f>
        <v>нет</v>
      </c>
    </row>
    <row r="72" spans="1:3" x14ac:dyDescent="0.35">
      <c r="A72" s="4">
        <v>17746</v>
      </c>
      <c r="B72" s="9">
        <v>17.600000000000001</v>
      </c>
      <c r="C72" t="str">
        <f>IF(acs2015_county_data[[#This Row],[Unemployment]]&gt;='Описательные характеристики'!$I$5,"да","нет")</f>
        <v>да</v>
      </c>
    </row>
    <row r="73" spans="1:3" x14ac:dyDescent="0.35">
      <c r="A73" s="6">
        <v>38267</v>
      </c>
      <c r="B73" s="10">
        <v>5.4</v>
      </c>
      <c r="C73" t="str">
        <f>IF(acs2015_county_data[[#This Row],[Unemployment]]&gt;='Описательные характеристики'!$I$5,"да","нет")</f>
        <v>нет</v>
      </c>
    </row>
    <row r="74" spans="1:3" x14ac:dyDescent="0.35">
      <c r="A74" s="4">
        <v>35315</v>
      </c>
      <c r="B74" s="9">
        <v>2.2999999999999998</v>
      </c>
      <c r="C74" t="str">
        <f>IF(acs2015_county_data[[#This Row],[Unemployment]]&gt;='Описательные характеристики'!$I$5,"да","нет")</f>
        <v>нет</v>
      </c>
    </row>
    <row r="75" spans="1:3" x14ac:dyDescent="0.35">
      <c r="A75" s="6">
        <v>22257</v>
      </c>
      <c r="B75" s="10">
        <v>12.5</v>
      </c>
      <c r="C75" t="str">
        <f>IF(acs2015_county_data[[#This Row],[Unemployment]]&gt;='Описательные характеристики'!$I$5,"да","нет")</f>
        <v>да</v>
      </c>
    </row>
    <row r="76" spans="1:3" x14ac:dyDescent="0.35">
      <c r="A76" s="4">
        <v>33244</v>
      </c>
      <c r="B76" s="9">
        <v>7.9</v>
      </c>
      <c r="C76" t="str">
        <f>IF(acs2015_county_data[[#This Row],[Unemployment]]&gt;='Описательные характеристики'!$I$5,"да","нет")</f>
        <v>да</v>
      </c>
    </row>
    <row r="77" spans="1:3" x14ac:dyDescent="0.35">
      <c r="A77" s="6">
        <v>33902</v>
      </c>
      <c r="B77" s="10">
        <v>3</v>
      </c>
      <c r="C77" t="str">
        <f>IF(acs2015_county_data[[#This Row],[Unemployment]]&gt;='Описательные характеристики'!$I$5,"да","нет")</f>
        <v>нет</v>
      </c>
    </row>
    <row r="78" spans="1:3" x14ac:dyDescent="0.35">
      <c r="A78" s="4">
        <v>30943</v>
      </c>
      <c r="B78" s="9">
        <v>13.1</v>
      </c>
      <c r="C78" t="str">
        <f>IF(acs2015_county_data[[#This Row],[Unemployment]]&gt;='Описательные характеристики'!$I$5,"да","нет")</f>
        <v>да</v>
      </c>
    </row>
    <row r="79" spans="1:3" x14ac:dyDescent="0.35">
      <c r="A79" s="6">
        <v>39979</v>
      </c>
      <c r="B79" s="10">
        <v>5.2</v>
      </c>
      <c r="C79" t="str">
        <f>IF(acs2015_county_data[[#This Row],[Unemployment]]&gt;='Описательные характеристики'!$I$5,"да","нет")</f>
        <v>нет</v>
      </c>
    </row>
    <row r="80" spans="1:3" x14ac:dyDescent="0.35">
      <c r="A80" s="4">
        <v>31537</v>
      </c>
      <c r="B80" s="9">
        <v>9.4</v>
      </c>
      <c r="C80" t="str">
        <f>IF(acs2015_county_data[[#This Row],[Unemployment]]&gt;='Описательные характеристики'!$I$5,"да","нет")</f>
        <v>да</v>
      </c>
    </row>
    <row r="81" spans="1:3" x14ac:dyDescent="0.35">
      <c r="A81" s="6">
        <v>32021</v>
      </c>
      <c r="B81" s="10">
        <v>7.9</v>
      </c>
      <c r="C81" t="str">
        <f>IF(acs2015_county_data[[#This Row],[Unemployment]]&gt;='Описательные характеристики'!$I$5,"да","нет")</f>
        <v>да</v>
      </c>
    </row>
    <row r="82" spans="1:3" x14ac:dyDescent="0.35">
      <c r="A82" s="4">
        <v>30657</v>
      </c>
      <c r="B82" s="9">
        <v>6.3</v>
      </c>
      <c r="C82" t="str">
        <f>IF(acs2015_county_data[[#This Row],[Unemployment]]&gt;='Описательные характеристики'!$I$5,"да","нет")</f>
        <v>нет</v>
      </c>
    </row>
    <row r="83" spans="1:3" x14ac:dyDescent="0.35">
      <c r="A83" s="6">
        <v>11569</v>
      </c>
      <c r="B83" s="10">
        <v>28.6</v>
      </c>
      <c r="C83" t="str">
        <f>IF(acs2015_county_data[[#This Row],[Unemployment]]&gt;='Описательные характеристики'!$I$5,"да","нет")</f>
        <v>да</v>
      </c>
    </row>
    <row r="84" spans="1:3" x14ac:dyDescent="0.35">
      <c r="A84" s="4">
        <v>23041</v>
      </c>
      <c r="B84" s="9">
        <v>9.8000000000000007</v>
      </c>
      <c r="C84" t="str">
        <f>IF(acs2015_county_data[[#This Row],[Unemployment]]&gt;='Описательные характеристики'!$I$5,"да","нет")</f>
        <v>да</v>
      </c>
    </row>
    <row r="85" spans="1:3" x14ac:dyDescent="0.35">
      <c r="A85" s="6">
        <v>29913</v>
      </c>
      <c r="B85" s="10">
        <v>9.8000000000000007</v>
      </c>
      <c r="C85" t="str">
        <f>IF(acs2015_county_data[[#This Row],[Unemployment]]&gt;='Описательные характеристики'!$I$5,"да","нет")</f>
        <v>да</v>
      </c>
    </row>
    <row r="86" spans="1:3" x14ac:dyDescent="0.35">
      <c r="A86" s="4">
        <v>19804</v>
      </c>
      <c r="B86" s="9">
        <v>16.5</v>
      </c>
      <c r="C86" t="str">
        <f>IF(acs2015_county_data[[#This Row],[Unemployment]]&gt;='Описательные характеристики'!$I$5,"да","нет")</f>
        <v>да</v>
      </c>
    </row>
    <row r="87" spans="1:3" x14ac:dyDescent="0.35">
      <c r="A87" s="6">
        <v>51085</v>
      </c>
      <c r="B87" s="10">
        <v>9.3000000000000007</v>
      </c>
      <c r="C87" t="str">
        <f>IF(acs2015_county_data[[#This Row],[Unemployment]]&gt;='Описательные характеристики'!$I$5,"да","нет")</f>
        <v>да</v>
      </c>
    </row>
    <row r="88" spans="1:3" x14ac:dyDescent="0.35">
      <c r="A88" s="4">
        <v>21101</v>
      </c>
      <c r="B88" s="9">
        <v>21.9</v>
      </c>
      <c r="C88" t="str">
        <f>IF(acs2015_county_data[[#This Row],[Unemployment]]&gt;='Описательные характеристики'!$I$5,"да","нет")</f>
        <v>да</v>
      </c>
    </row>
    <row r="89" spans="1:3" x14ac:dyDescent="0.35">
      <c r="A89" s="6">
        <v>34884</v>
      </c>
      <c r="B89" s="10">
        <v>8.4</v>
      </c>
      <c r="C89" t="str">
        <f>IF(acs2015_county_data[[#This Row],[Unemployment]]&gt;='Описательные характеристики'!$I$5,"да","нет")</f>
        <v>да</v>
      </c>
    </row>
    <row r="90" spans="1:3" x14ac:dyDescent="0.35">
      <c r="A90" s="4">
        <v>25205</v>
      </c>
      <c r="B90" s="9">
        <v>13.9</v>
      </c>
      <c r="C90" t="str">
        <f>IF(acs2015_county_data[[#This Row],[Unemployment]]&gt;='Описательные характеристики'!$I$5,"да","нет")</f>
        <v>да</v>
      </c>
    </row>
    <row r="91" spans="1:3" x14ac:dyDescent="0.35">
      <c r="A91" s="6">
        <v>33890</v>
      </c>
      <c r="B91" s="10">
        <v>3.8</v>
      </c>
      <c r="C91" t="str">
        <f>IF(acs2015_county_data[[#This Row],[Unemployment]]&gt;='Описательные характеристики'!$I$5,"да","нет")</f>
        <v>нет</v>
      </c>
    </row>
    <row r="92" spans="1:3" x14ac:dyDescent="0.35">
      <c r="A92" s="4">
        <v>38696</v>
      </c>
      <c r="B92" s="9">
        <v>7.8</v>
      </c>
      <c r="C92" t="str">
        <f>IF(acs2015_county_data[[#This Row],[Unemployment]]&gt;='Описательные характеристики'!$I$5,"да","нет")</f>
        <v>да</v>
      </c>
    </row>
    <row r="93" spans="1:3" x14ac:dyDescent="0.35">
      <c r="A93" s="6">
        <v>30079</v>
      </c>
      <c r="B93" s="10">
        <v>9.4</v>
      </c>
      <c r="C93" t="str">
        <f>IF(acs2015_county_data[[#This Row],[Unemployment]]&gt;='Описательные характеристики'!$I$5,"да","нет")</f>
        <v>да</v>
      </c>
    </row>
    <row r="94" spans="1:3" x14ac:dyDescent="0.35">
      <c r="A94" s="4">
        <v>33293</v>
      </c>
      <c r="B94" s="9">
        <v>10.7</v>
      </c>
      <c r="C94" t="str">
        <f>IF(acs2015_county_data[[#This Row],[Unemployment]]&gt;='Описательные характеристики'!$I$5,"да","нет")</f>
        <v>да</v>
      </c>
    </row>
    <row r="95" spans="1:3" x14ac:dyDescent="0.35">
      <c r="A95" s="6">
        <v>30089</v>
      </c>
      <c r="B95" s="10">
        <v>7.5</v>
      </c>
      <c r="C95" t="str">
        <f>IF(acs2015_county_data[[#This Row],[Unemployment]]&gt;='Описательные характеристики'!$I$5,"да","нет")</f>
        <v>нет</v>
      </c>
    </row>
    <row r="96" spans="1:3" x14ac:dyDescent="0.35">
      <c r="A96" s="4">
        <v>33159</v>
      </c>
      <c r="B96" s="9">
        <v>7.9</v>
      </c>
      <c r="C96" t="str">
        <f>IF(acs2015_county_data[[#This Row],[Unemployment]]&gt;='Описательные характеристики'!$I$5,"да","нет")</f>
        <v>да</v>
      </c>
    </row>
    <row r="97" spans="1:3" x14ac:dyDescent="0.35">
      <c r="A97" s="6">
        <v>20698</v>
      </c>
      <c r="B97" s="10">
        <v>18.2</v>
      </c>
      <c r="C97" t="str">
        <f>IF(acs2015_county_data[[#This Row],[Unemployment]]&gt;='Описательные характеристики'!$I$5,"да","нет")</f>
        <v>да</v>
      </c>
    </row>
    <row r="98" spans="1:3" x14ac:dyDescent="0.35">
      <c r="A98" s="4">
        <v>13011</v>
      </c>
      <c r="B98" s="9">
        <v>18.2</v>
      </c>
      <c r="C98" t="str">
        <f>IF(acs2015_county_data[[#This Row],[Unemployment]]&gt;='Описательные характеристики'!$I$5,"да","нет")</f>
        <v>да</v>
      </c>
    </row>
    <row r="99" spans="1:3" x14ac:dyDescent="0.35">
      <c r="A99" s="6">
        <v>23506</v>
      </c>
      <c r="B99" s="10">
        <v>8.6999999999999993</v>
      </c>
      <c r="C99" t="str">
        <f>IF(acs2015_county_data[[#This Row],[Unemployment]]&gt;='Описательные характеристики'!$I$5,"да","нет")</f>
        <v>да</v>
      </c>
    </row>
    <row r="100" spans="1:3" x14ac:dyDescent="0.35">
      <c r="A100" s="4">
        <v>24308</v>
      </c>
      <c r="B100" s="9">
        <v>8.8000000000000007</v>
      </c>
      <c r="C100" t="str">
        <f>IF(acs2015_county_data[[#This Row],[Unemployment]]&gt;='Описательные характеристики'!$I$5,"да","нет")</f>
        <v>да</v>
      </c>
    </row>
    <row r="101" spans="1:3" x14ac:dyDescent="0.35">
      <c r="A101" s="6">
        <v>20583</v>
      </c>
      <c r="B101" s="10">
        <v>12.8</v>
      </c>
      <c r="C101" t="str">
        <f>IF(acs2015_county_data[[#This Row],[Unemployment]]&gt;='Описательные характеристики'!$I$5,"да","нет")</f>
        <v>да</v>
      </c>
    </row>
    <row r="102" spans="1:3" x14ac:dyDescent="0.35">
      <c r="A102" s="4">
        <v>17481</v>
      </c>
      <c r="B102" s="9">
        <v>14.1</v>
      </c>
      <c r="C102" t="str">
        <f>IF(acs2015_county_data[[#This Row],[Unemployment]]&gt;='Описательные характеристики'!$I$5,"да","нет")</f>
        <v>да</v>
      </c>
    </row>
    <row r="103" spans="1:3" x14ac:dyDescent="0.35">
      <c r="A103" s="6">
        <v>21994</v>
      </c>
      <c r="B103" s="10">
        <v>10</v>
      </c>
      <c r="C103" t="str">
        <f>IF(acs2015_county_data[[#This Row],[Unemployment]]&gt;='Описательные характеристики'!$I$5,"да","нет")</f>
        <v>да</v>
      </c>
    </row>
    <row r="104" spans="1:3" x14ac:dyDescent="0.35">
      <c r="A104" s="4">
        <v>20439</v>
      </c>
      <c r="B104" s="9">
        <v>11.2</v>
      </c>
      <c r="C104" t="str">
        <f>IF(acs2015_county_data[[#This Row],[Unemployment]]&gt;='Описательные характеристики'!$I$5,"да","нет")</f>
        <v>да</v>
      </c>
    </row>
    <row r="105" spans="1:3" x14ac:dyDescent="0.35">
      <c r="A105" s="6">
        <v>27832</v>
      </c>
      <c r="B105" s="10">
        <v>7.7</v>
      </c>
      <c r="C105" t="str">
        <f>IF(acs2015_county_data[[#This Row],[Unemployment]]&gt;='Описательные характеристики'!$I$5,"да","нет")</f>
        <v>да</v>
      </c>
    </row>
    <row r="106" spans="1:3" x14ac:dyDescent="0.35">
      <c r="A106" s="4">
        <v>20974</v>
      </c>
      <c r="B106" s="9">
        <v>13.2</v>
      </c>
      <c r="C106" t="str">
        <f>IF(acs2015_county_data[[#This Row],[Unemployment]]&gt;='Описательные характеристики'!$I$5,"да","нет")</f>
        <v>да</v>
      </c>
    </row>
    <row r="107" spans="1:3" x14ac:dyDescent="0.35">
      <c r="A107" s="6">
        <v>16486</v>
      </c>
      <c r="B107" s="10">
        <v>19.8</v>
      </c>
      <c r="C107" t="str">
        <f>IF(acs2015_county_data[[#This Row],[Unemployment]]&gt;='Описательные характеристики'!$I$5,"да","нет")</f>
        <v>да</v>
      </c>
    </row>
    <row r="108" spans="1:3" x14ac:dyDescent="0.35">
      <c r="A108" s="4">
        <v>25729</v>
      </c>
      <c r="B108" s="9">
        <v>10</v>
      </c>
      <c r="C108" t="str">
        <f>IF(acs2015_county_data[[#This Row],[Unemployment]]&gt;='Описательные характеристики'!$I$5,"да","нет")</f>
        <v>да</v>
      </c>
    </row>
    <row r="109" spans="1:3" x14ac:dyDescent="0.35">
      <c r="A109" s="6">
        <v>21130</v>
      </c>
      <c r="B109" s="10">
        <v>10.6</v>
      </c>
      <c r="C109" t="str">
        <f>IF(acs2015_county_data[[#This Row],[Unemployment]]&gt;='Описательные характеристики'!$I$5,"да","нет")</f>
        <v>да</v>
      </c>
    </row>
    <row r="110" spans="1:3" x14ac:dyDescent="0.35">
      <c r="A110" s="4">
        <v>17795</v>
      </c>
      <c r="B110" s="9">
        <v>11.3</v>
      </c>
      <c r="C110" t="str">
        <f>IF(acs2015_county_data[[#This Row],[Unemployment]]&gt;='Описательные характеристики'!$I$5,"да","нет")</f>
        <v>да</v>
      </c>
    </row>
    <row r="111" spans="1:3" x14ac:dyDescent="0.35">
      <c r="A111" s="6">
        <v>25418</v>
      </c>
      <c r="B111" s="10">
        <v>10</v>
      </c>
      <c r="C111" t="str">
        <f>IF(acs2015_county_data[[#This Row],[Unemployment]]&gt;='Описательные характеристики'!$I$5,"да","нет")</f>
        <v>да</v>
      </c>
    </row>
    <row r="112" spans="1:3" x14ac:dyDescent="0.35">
      <c r="A112" s="4">
        <v>19102</v>
      </c>
      <c r="B112" s="9">
        <v>13.1</v>
      </c>
      <c r="C112" t="str">
        <f>IF(acs2015_county_data[[#This Row],[Unemployment]]&gt;='Описательные характеристики'!$I$5,"да","нет")</f>
        <v>да</v>
      </c>
    </row>
    <row r="113" spans="1:3" x14ac:dyDescent="0.35">
      <c r="A113" s="6">
        <v>22473</v>
      </c>
      <c r="B113" s="10">
        <v>8.3000000000000007</v>
      </c>
      <c r="C113" t="str">
        <f>IF(acs2015_county_data[[#This Row],[Unemployment]]&gt;='Описательные характеристики'!$I$5,"да","нет")</f>
        <v>да</v>
      </c>
    </row>
    <row r="114" spans="1:3" x14ac:dyDescent="0.35">
      <c r="A114" s="4">
        <v>19891</v>
      </c>
      <c r="B114" s="9">
        <v>11.8</v>
      </c>
      <c r="C114" t="str">
        <f>IF(acs2015_county_data[[#This Row],[Unemployment]]&gt;='Описательные характеристики'!$I$5,"да","нет")</f>
        <v>да</v>
      </c>
    </row>
    <row r="115" spans="1:3" x14ac:dyDescent="0.35">
      <c r="A115" s="6">
        <v>22475</v>
      </c>
      <c r="B115" s="10">
        <v>7.6</v>
      </c>
      <c r="C115" t="str">
        <f>IF(acs2015_county_data[[#This Row],[Unemployment]]&gt;='Описательные характеристики'!$I$5,"да","нет")</f>
        <v>да</v>
      </c>
    </row>
    <row r="116" spans="1:3" x14ac:dyDescent="0.35">
      <c r="A116" s="4">
        <v>27934</v>
      </c>
      <c r="B116" s="9">
        <v>4.2</v>
      </c>
      <c r="C116" t="str">
        <f>IF(acs2015_county_data[[#This Row],[Unemployment]]&gt;='Описательные характеристики'!$I$5,"да","нет")</f>
        <v>нет</v>
      </c>
    </row>
    <row r="117" spans="1:3" x14ac:dyDescent="0.35">
      <c r="A117" s="6">
        <v>21946</v>
      </c>
      <c r="B117" s="10">
        <v>8.4</v>
      </c>
      <c r="C117" t="str">
        <f>IF(acs2015_county_data[[#This Row],[Unemployment]]&gt;='Описательные характеристики'!$I$5,"да","нет")</f>
        <v>да</v>
      </c>
    </row>
    <row r="118" spans="1:3" x14ac:dyDescent="0.35">
      <c r="A118" s="4">
        <v>20252</v>
      </c>
      <c r="B118" s="9">
        <v>9.4</v>
      </c>
      <c r="C118" t="str">
        <f>IF(acs2015_county_data[[#This Row],[Unemployment]]&gt;='Описательные характеристики'!$I$5,"да","нет")</f>
        <v>да</v>
      </c>
    </row>
    <row r="119" spans="1:3" x14ac:dyDescent="0.35">
      <c r="A119" s="6">
        <v>20537</v>
      </c>
      <c r="B119" s="10">
        <v>7.2</v>
      </c>
      <c r="C119" t="str">
        <f>IF(acs2015_county_data[[#This Row],[Unemployment]]&gt;='Описательные характеристики'!$I$5,"да","нет")</f>
        <v>нет</v>
      </c>
    </row>
    <row r="120" spans="1:3" x14ac:dyDescent="0.35">
      <c r="A120" s="4">
        <v>20195</v>
      </c>
      <c r="B120" s="9">
        <v>6.2</v>
      </c>
      <c r="C120" t="str">
        <f>IF(acs2015_county_data[[#This Row],[Unemployment]]&gt;='Описательные характеристики'!$I$5,"да","нет")</f>
        <v>нет</v>
      </c>
    </row>
    <row r="121" spans="1:3" x14ac:dyDescent="0.35">
      <c r="A121" s="6">
        <v>19053</v>
      </c>
      <c r="B121" s="10">
        <v>11.5</v>
      </c>
      <c r="C121" t="str">
        <f>IF(acs2015_county_data[[#This Row],[Unemployment]]&gt;='Описательные характеристики'!$I$5,"да","нет")</f>
        <v>да</v>
      </c>
    </row>
    <row r="122" spans="1:3" x14ac:dyDescent="0.35">
      <c r="A122" s="4">
        <v>19555</v>
      </c>
      <c r="B122" s="9">
        <v>8.4</v>
      </c>
      <c r="C122" t="str">
        <f>IF(acs2015_county_data[[#This Row],[Unemployment]]&gt;='Описательные характеристики'!$I$5,"да","нет")</f>
        <v>да</v>
      </c>
    </row>
    <row r="123" spans="1:3" x14ac:dyDescent="0.35">
      <c r="A123" s="6">
        <v>19166</v>
      </c>
      <c r="B123" s="10">
        <v>9.5</v>
      </c>
      <c r="C123" t="str">
        <f>IF(acs2015_county_data[[#This Row],[Unemployment]]&gt;='Описательные характеристики'!$I$5,"да","нет")</f>
        <v>да</v>
      </c>
    </row>
    <row r="124" spans="1:3" x14ac:dyDescent="0.35">
      <c r="A124" s="4">
        <v>24912</v>
      </c>
      <c r="B124" s="9">
        <v>10.199999999999999</v>
      </c>
      <c r="C124" t="str">
        <f>IF(acs2015_county_data[[#This Row],[Unemployment]]&gt;='Описательные характеристики'!$I$5,"да","нет")</f>
        <v>да</v>
      </c>
    </row>
    <row r="125" spans="1:3" x14ac:dyDescent="0.35">
      <c r="A125" s="6">
        <v>21905</v>
      </c>
      <c r="B125" s="10">
        <v>9.6999999999999993</v>
      </c>
      <c r="C125" t="str">
        <f>IF(acs2015_county_data[[#This Row],[Unemployment]]&gt;='Описательные характеристики'!$I$5,"да","нет")</f>
        <v>да</v>
      </c>
    </row>
    <row r="126" spans="1:3" x14ac:dyDescent="0.35">
      <c r="A126" s="4">
        <v>20045</v>
      </c>
      <c r="B126" s="9">
        <v>10.1</v>
      </c>
      <c r="C126" t="str">
        <f>IF(acs2015_county_data[[#This Row],[Unemployment]]&gt;='Описательные характеристики'!$I$5,"да","нет")</f>
        <v>да</v>
      </c>
    </row>
    <row r="127" spans="1:3" x14ac:dyDescent="0.35">
      <c r="A127" s="6">
        <v>21897</v>
      </c>
      <c r="B127" s="10">
        <v>8.1</v>
      </c>
      <c r="C127" t="str">
        <f>IF(acs2015_county_data[[#This Row],[Unemployment]]&gt;='Описательные характеристики'!$I$5,"да","нет")</f>
        <v>да</v>
      </c>
    </row>
    <row r="128" spans="1:3" x14ac:dyDescent="0.35">
      <c r="A128" s="4">
        <v>23091</v>
      </c>
      <c r="B128" s="9">
        <v>7.5</v>
      </c>
      <c r="C128" t="str">
        <f>IF(acs2015_county_data[[#This Row],[Unemployment]]&gt;='Описательные характеристики'!$I$5,"да","нет")</f>
        <v>нет</v>
      </c>
    </row>
    <row r="129" spans="1:3" x14ac:dyDescent="0.35">
      <c r="A129" s="6">
        <v>20849</v>
      </c>
      <c r="B129" s="10">
        <v>7.9</v>
      </c>
      <c r="C129" t="str">
        <f>IF(acs2015_county_data[[#This Row],[Unemployment]]&gt;='Описательные характеристики'!$I$5,"да","нет")</f>
        <v>да</v>
      </c>
    </row>
    <row r="130" spans="1:3" x14ac:dyDescent="0.35">
      <c r="A130" s="4">
        <v>19682</v>
      </c>
      <c r="B130" s="9">
        <v>9.9</v>
      </c>
      <c r="C130" t="str">
        <f>IF(acs2015_county_data[[#This Row],[Unemployment]]&gt;='Описательные характеристики'!$I$5,"да","нет")</f>
        <v>да</v>
      </c>
    </row>
    <row r="131" spans="1:3" x14ac:dyDescent="0.35">
      <c r="A131" s="6">
        <v>19543</v>
      </c>
      <c r="B131" s="10">
        <v>8.6</v>
      </c>
      <c r="C131" t="str">
        <f>IF(acs2015_county_data[[#This Row],[Unemployment]]&gt;='Описательные характеристики'!$I$5,"да","нет")</f>
        <v>да</v>
      </c>
    </row>
    <row r="132" spans="1:3" x14ac:dyDescent="0.35">
      <c r="A132" s="4">
        <v>17868</v>
      </c>
      <c r="B132" s="9">
        <v>8.3000000000000007</v>
      </c>
      <c r="C132" t="str">
        <f>IF(acs2015_county_data[[#This Row],[Unemployment]]&gt;='Описательные характеристики'!$I$5,"да","нет")</f>
        <v>да</v>
      </c>
    </row>
    <row r="133" spans="1:3" x14ac:dyDescent="0.35">
      <c r="A133" s="6">
        <v>17788</v>
      </c>
      <c r="B133" s="10">
        <v>17.7</v>
      </c>
      <c r="C133" t="str">
        <f>IF(acs2015_county_data[[#This Row],[Unemployment]]&gt;='Описательные характеристики'!$I$5,"да","нет")</f>
        <v>да</v>
      </c>
    </row>
    <row r="134" spans="1:3" x14ac:dyDescent="0.35">
      <c r="A134" s="4">
        <v>17481</v>
      </c>
      <c r="B134" s="9">
        <v>14.3</v>
      </c>
      <c r="C134" t="str">
        <f>IF(acs2015_county_data[[#This Row],[Unemployment]]&gt;='Описательные характеристики'!$I$5,"да","нет")</f>
        <v>да</v>
      </c>
    </row>
    <row r="135" spans="1:3" x14ac:dyDescent="0.35">
      <c r="A135" s="6">
        <v>24603</v>
      </c>
      <c r="B135" s="10">
        <v>6.6</v>
      </c>
      <c r="C135" t="str">
        <f>IF(acs2015_county_data[[#This Row],[Unemployment]]&gt;='Описательные характеристики'!$I$5,"да","нет")</f>
        <v>нет</v>
      </c>
    </row>
    <row r="136" spans="1:3" x14ac:dyDescent="0.35">
      <c r="A136" s="4">
        <v>19550</v>
      </c>
      <c r="B136" s="9">
        <v>11</v>
      </c>
      <c r="C136" t="str">
        <f>IF(acs2015_county_data[[#This Row],[Unemployment]]&gt;='Описательные характеристики'!$I$5,"да","нет")</f>
        <v>да</v>
      </c>
    </row>
    <row r="137" spans="1:3" x14ac:dyDescent="0.35">
      <c r="A137" s="6">
        <v>19163</v>
      </c>
      <c r="B137" s="10">
        <v>7.6</v>
      </c>
      <c r="C137" t="str">
        <f>IF(acs2015_county_data[[#This Row],[Unemployment]]&gt;='Описательные характеристики'!$I$5,"да","нет")</f>
        <v>да</v>
      </c>
    </row>
    <row r="138" spans="1:3" x14ac:dyDescent="0.35">
      <c r="A138" s="4">
        <v>24070</v>
      </c>
      <c r="B138" s="9">
        <v>9.1999999999999993</v>
      </c>
      <c r="C138" t="str">
        <f>IF(acs2015_county_data[[#This Row],[Unemployment]]&gt;='Описательные характеристики'!$I$5,"да","нет")</f>
        <v>да</v>
      </c>
    </row>
    <row r="139" spans="1:3" x14ac:dyDescent="0.35">
      <c r="A139" s="6">
        <v>23686</v>
      </c>
      <c r="B139" s="10">
        <v>9.4</v>
      </c>
      <c r="C139" t="str">
        <f>IF(acs2015_county_data[[#This Row],[Unemployment]]&gt;='Описательные характеристики'!$I$5,"да","нет")</f>
        <v>да</v>
      </c>
    </row>
    <row r="140" spans="1:3" x14ac:dyDescent="0.35">
      <c r="A140" s="4">
        <v>20689</v>
      </c>
      <c r="B140" s="9">
        <v>9</v>
      </c>
      <c r="C140" t="str">
        <f>IF(acs2015_county_data[[#This Row],[Unemployment]]&gt;='Описательные характеристики'!$I$5,"да","нет")</f>
        <v>да</v>
      </c>
    </row>
    <row r="141" spans="1:3" x14ac:dyDescent="0.35">
      <c r="A141" s="6">
        <v>17049</v>
      </c>
      <c r="B141" s="10">
        <v>7.9</v>
      </c>
      <c r="C141" t="str">
        <f>IF(acs2015_county_data[[#This Row],[Unemployment]]&gt;='Описательные характеристики'!$I$5,"да","нет")</f>
        <v>да</v>
      </c>
    </row>
    <row r="142" spans="1:3" x14ac:dyDescent="0.35">
      <c r="A142" s="4">
        <v>18956</v>
      </c>
      <c r="B142" s="9">
        <v>7.6</v>
      </c>
      <c r="C142" t="str">
        <f>IF(acs2015_county_data[[#This Row],[Unemployment]]&gt;='Описательные характеристики'!$I$5,"да","нет")</f>
        <v>да</v>
      </c>
    </row>
    <row r="143" spans="1:3" x14ac:dyDescent="0.35">
      <c r="A143" s="6">
        <v>21273</v>
      </c>
      <c r="B143" s="10">
        <v>8.5</v>
      </c>
      <c r="C143" t="str">
        <f>IF(acs2015_county_data[[#This Row],[Unemployment]]&gt;='Описательные характеристики'!$I$5,"да","нет")</f>
        <v>да</v>
      </c>
    </row>
    <row r="144" spans="1:3" x14ac:dyDescent="0.35">
      <c r="A144" s="4">
        <v>20242</v>
      </c>
      <c r="B144" s="9">
        <v>6.9</v>
      </c>
      <c r="C144" t="str">
        <f>IF(acs2015_county_data[[#This Row],[Unemployment]]&gt;='Описательные характеристики'!$I$5,"да","нет")</f>
        <v>нет</v>
      </c>
    </row>
    <row r="145" spans="1:3" x14ac:dyDescent="0.35">
      <c r="A145" s="6">
        <v>18995</v>
      </c>
      <c r="B145" s="10">
        <v>10</v>
      </c>
      <c r="C145" t="str">
        <f>IF(acs2015_county_data[[#This Row],[Unemployment]]&gt;='Описательные характеристики'!$I$5,"да","нет")</f>
        <v>да</v>
      </c>
    </row>
    <row r="146" spans="1:3" x14ac:dyDescent="0.35">
      <c r="A146" s="4">
        <v>17797</v>
      </c>
      <c r="B146" s="9">
        <v>7.9</v>
      </c>
      <c r="C146" t="str">
        <f>IF(acs2015_county_data[[#This Row],[Unemployment]]&gt;='Описательные характеристики'!$I$5,"да","нет")</f>
        <v>да</v>
      </c>
    </row>
    <row r="147" spans="1:3" x14ac:dyDescent="0.35">
      <c r="A147" s="6">
        <v>19885</v>
      </c>
      <c r="B147" s="10">
        <v>11.2</v>
      </c>
      <c r="C147" t="str">
        <f>IF(acs2015_county_data[[#This Row],[Unemployment]]&gt;='Описательные характеристики'!$I$5,"да","нет")</f>
        <v>да</v>
      </c>
    </row>
    <row r="148" spans="1:3" x14ac:dyDescent="0.35">
      <c r="A148" s="4">
        <v>19341</v>
      </c>
      <c r="B148" s="9">
        <v>6.2</v>
      </c>
      <c r="C148" t="str">
        <f>IF(acs2015_county_data[[#This Row],[Unemployment]]&gt;='Описательные характеристики'!$I$5,"да","нет")</f>
        <v>нет</v>
      </c>
    </row>
    <row r="149" spans="1:3" x14ac:dyDescent="0.35">
      <c r="A149" s="6">
        <v>20904</v>
      </c>
      <c r="B149" s="10">
        <v>12.5</v>
      </c>
      <c r="C149" t="str">
        <f>IF(acs2015_county_data[[#This Row],[Unemployment]]&gt;='Описательные характеристики'!$I$5,"да","нет")</f>
        <v>да</v>
      </c>
    </row>
    <row r="150" spans="1:3" x14ac:dyDescent="0.35">
      <c r="A150" s="4">
        <v>17312</v>
      </c>
      <c r="B150" s="9">
        <v>6.9</v>
      </c>
      <c r="C150" t="str">
        <f>IF(acs2015_county_data[[#This Row],[Unemployment]]&gt;='Описательные характеристики'!$I$5,"да","нет")</f>
        <v>нет</v>
      </c>
    </row>
    <row r="151" spans="1:3" x14ac:dyDescent="0.35">
      <c r="A151" s="6">
        <v>14298</v>
      </c>
      <c r="B151" s="10">
        <v>17.3</v>
      </c>
      <c r="C151" t="str">
        <f>IF(acs2015_county_data[[#This Row],[Unemployment]]&gt;='Описательные характеристики'!$I$5,"да","нет")</f>
        <v>да</v>
      </c>
    </row>
    <row r="152" spans="1:3" x14ac:dyDescent="0.35">
      <c r="A152" s="4">
        <v>14377</v>
      </c>
      <c r="B152" s="9">
        <v>14.2</v>
      </c>
      <c r="C152" t="str">
        <f>IF(acs2015_county_data[[#This Row],[Unemployment]]&gt;='Описательные характеристики'!$I$5,"да","нет")</f>
        <v>да</v>
      </c>
    </row>
    <row r="153" spans="1:3" x14ac:dyDescent="0.35">
      <c r="A153" s="6">
        <v>19858</v>
      </c>
      <c r="B153" s="10">
        <v>8.8000000000000007</v>
      </c>
      <c r="C153" t="str">
        <f>IF(acs2015_county_data[[#This Row],[Unemployment]]&gt;='Описательные характеристики'!$I$5,"да","нет")</f>
        <v>да</v>
      </c>
    </row>
    <row r="154" spans="1:3" x14ac:dyDescent="0.35">
      <c r="A154" s="4">
        <v>20011</v>
      </c>
      <c r="B154" s="9">
        <v>8.1</v>
      </c>
      <c r="C154" t="str">
        <f>IF(acs2015_county_data[[#This Row],[Unemployment]]&gt;='Описательные характеристики'!$I$5,"да","нет")</f>
        <v>да</v>
      </c>
    </row>
    <row r="155" spans="1:3" x14ac:dyDescent="0.35">
      <c r="A155" s="6">
        <v>23555</v>
      </c>
      <c r="B155" s="10">
        <v>5.9</v>
      </c>
      <c r="C155" t="str">
        <f>IF(acs2015_county_data[[#This Row],[Unemployment]]&gt;='Описательные характеристики'!$I$5,"да","нет")</f>
        <v>нет</v>
      </c>
    </row>
    <row r="156" spans="1:3" x14ac:dyDescent="0.35">
      <c r="A156" s="4">
        <v>20693</v>
      </c>
      <c r="B156" s="9">
        <v>7.3</v>
      </c>
      <c r="C156" t="str">
        <f>IF(acs2015_county_data[[#This Row],[Unemployment]]&gt;='Описательные характеристики'!$I$5,"да","нет")</f>
        <v>нет</v>
      </c>
    </row>
    <row r="157" spans="1:3" x14ac:dyDescent="0.35">
      <c r="A157" s="6">
        <v>17779</v>
      </c>
      <c r="B157" s="10">
        <v>10.9</v>
      </c>
      <c r="C157" t="str">
        <f>IF(acs2015_county_data[[#This Row],[Unemployment]]&gt;='Описательные характеристики'!$I$5,"да","нет")</f>
        <v>да</v>
      </c>
    </row>
    <row r="158" spans="1:3" x14ac:dyDescent="0.35">
      <c r="A158" s="4">
        <v>21104</v>
      </c>
      <c r="B158" s="9">
        <v>9.6</v>
      </c>
      <c r="C158" t="str">
        <f>IF(acs2015_county_data[[#This Row],[Unemployment]]&gt;='Описательные характеристики'!$I$5,"да","нет")</f>
        <v>да</v>
      </c>
    </row>
    <row r="159" spans="1:3" x14ac:dyDescent="0.35">
      <c r="A159" s="6">
        <v>19073</v>
      </c>
      <c r="B159" s="10">
        <v>12</v>
      </c>
      <c r="C159" t="str">
        <f>IF(acs2015_county_data[[#This Row],[Unemployment]]&gt;='Описательные характеристики'!$I$5,"да","нет")</f>
        <v>да</v>
      </c>
    </row>
    <row r="160" spans="1:3" x14ac:dyDescent="0.35">
      <c r="A160" s="4">
        <v>17470</v>
      </c>
      <c r="B160" s="9">
        <v>12.8</v>
      </c>
      <c r="C160" t="str">
        <f>IF(acs2015_county_data[[#This Row],[Unemployment]]&gt;='Описательные характеристики'!$I$5,"да","нет")</f>
        <v>да</v>
      </c>
    </row>
    <row r="161" spans="1:3" x14ac:dyDescent="0.35">
      <c r="A161" s="6">
        <v>19975</v>
      </c>
      <c r="B161" s="10">
        <v>4.3</v>
      </c>
      <c r="C161" t="str">
        <f>IF(acs2015_county_data[[#This Row],[Unemployment]]&gt;='Описательные характеристики'!$I$5,"да","нет")</f>
        <v>нет</v>
      </c>
    </row>
    <row r="162" spans="1:3" x14ac:dyDescent="0.35">
      <c r="A162" s="4">
        <v>17277</v>
      </c>
      <c r="B162" s="9">
        <v>9.5</v>
      </c>
      <c r="C162" t="str">
        <f>IF(acs2015_county_data[[#This Row],[Unemployment]]&gt;='Описательные характеристики'!$I$5,"да","нет")</f>
        <v>да</v>
      </c>
    </row>
    <row r="163" spans="1:3" x14ac:dyDescent="0.35">
      <c r="A163" s="6">
        <v>18038</v>
      </c>
      <c r="B163" s="10">
        <v>4.4000000000000004</v>
      </c>
      <c r="C163" t="str">
        <f>IF(acs2015_county_data[[#This Row],[Unemployment]]&gt;='Описательные характеристики'!$I$5,"да","нет")</f>
        <v>нет</v>
      </c>
    </row>
    <row r="164" spans="1:3" x14ac:dyDescent="0.35">
      <c r="A164" s="4">
        <v>19810</v>
      </c>
      <c r="B164" s="9">
        <v>8.3000000000000007</v>
      </c>
      <c r="C164" t="str">
        <f>IF(acs2015_county_data[[#This Row],[Unemployment]]&gt;='Описательные характеристики'!$I$5,"да","нет")</f>
        <v>да</v>
      </c>
    </row>
    <row r="165" spans="1:3" x14ac:dyDescent="0.35">
      <c r="A165" s="6">
        <v>22328</v>
      </c>
      <c r="B165" s="10">
        <v>6.8</v>
      </c>
      <c r="C165" t="str">
        <f>IF(acs2015_county_data[[#This Row],[Unemployment]]&gt;='Описательные характеристики'!$I$5,"да","нет")</f>
        <v>нет</v>
      </c>
    </row>
    <row r="166" spans="1:3" x14ac:dyDescent="0.35">
      <c r="A166" s="4">
        <v>16700</v>
      </c>
      <c r="B166" s="9">
        <v>18.100000000000001</v>
      </c>
      <c r="C166" t="str">
        <f>IF(acs2015_county_data[[#This Row],[Unemployment]]&gt;='Описательные характеристики'!$I$5,"да","нет")</f>
        <v>да</v>
      </c>
    </row>
    <row r="167" spans="1:3" x14ac:dyDescent="0.35">
      <c r="A167" s="6">
        <v>19294</v>
      </c>
      <c r="B167" s="10">
        <v>6.6</v>
      </c>
      <c r="C167" t="str">
        <f>IF(acs2015_county_data[[#This Row],[Unemployment]]&gt;='Описательные характеристики'!$I$5,"да","нет")</f>
        <v>нет</v>
      </c>
    </row>
    <row r="168" spans="1:3" x14ac:dyDescent="0.35">
      <c r="A168" s="4">
        <v>17202</v>
      </c>
      <c r="B168" s="9">
        <v>10</v>
      </c>
      <c r="C168" t="str">
        <f>IF(acs2015_county_data[[#This Row],[Unemployment]]&gt;='Описательные характеристики'!$I$5,"да","нет")</f>
        <v>да</v>
      </c>
    </row>
    <row r="169" spans="1:3" x14ac:dyDescent="0.35">
      <c r="A169" s="6">
        <v>19004</v>
      </c>
      <c r="B169" s="10">
        <v>9</v>
      </c>
      <c r="C169" t="str">
        <f>IF(acs2015_county_data[[#This Row],[Unemployment]]&gt;='Описательные характеристики'!$I$5,"да","нет")</f>
        <v>да</v>
      </c>
    </row>
    <row r="170" spans="1:3" x14ac:dyDescent="0.35">
      <c r="A170" s="4">
        <v>20047</v>
      </c>
      <c r="B170" s="9">
        <v>7.6</v>
      </c>
      <c r="C170" t="str">
        <f>IF(acs2015_county_data[[#This Row],[Unemployment]]&gt;='Описательные характеристики'!$I$5,"да","нет")</f>
        <v>да</v>
      </c>
    </row>
    <row r="171" spans="1:3" x14ac:dyDescent="0.35">
      <c r="A171" s="6">
        <v>19329</v>
      </c>
      <c r="B171" s="10">
        <v>6.2</v>
      </c>
      <c r="C171" t="str">
        <f>IF(acs2015_county_data[[#This Row],[Unemployment]]&gt;='Описательные характеристики'!$I$5,"да","нет")</f>
        <v>нет</v>
      </c>
    </row>
    <row r="172" spans="1:3" x14ac:dyDescent="0.35">
      <c r="A172" s="4">
        <v>27708</v>
      </c>
      <c r="B172" s="9">
        <v>7.5</v>
      </c>
      <c r="C172" t="str">
        <f>IF(acs2015_county_data[[#This Row],[Unemployment]]&gt;='Описательные характеристики'!$I$5,"да","нет")</f>
        <v>нет</v>
      </c>
    </row>
    <row r="173" spans="1:3" x14ac:dyDescent="0.35">
      <c r="A173" s="6">
        <v>19011</v>
      </c>
      <c r="B173" s="10">
        <v>5.4</v>
      </c>
      <c r="C173" t="str">
        <f>IF(acs2015_county_data[[#This Row],[Unemployment]]&gt;='Описательные характеристики'!$I$5,"да","нет")</f>
        <v>нет</v>
      </c>
    </row>
    <row r="174" spans="1:3" x14ac:dyDescent="0.35">
      <c r="A174" s="4">
        <v>15971</v>
      </c>
      <c r="B174" s="9">
        <v>11.7</v>
      </c>
      <c r="C174" t="str">
        <f>IF(acs2015_county_data[[#This Row],[Unemployment]]&gt;='Описательные характеристики'!$I$5,"да","нет")</f>
        <v>да</v>
      </c>
    </row>
    <row r="175" spans="1:3" x14ac:dyDescent="0.35">
      <c r="A175" s="6">
        <v>26050</v>
      </c>
      <c r="B175" s="10">
        <v>5.3</v>
      </c>
      <c r="C175" t="str">
        <f>IF(acs2015_county_data[[#This Row],[Unemployment]]&gt;='Описательные характеристики'!$I$5,"да","нет")</f>
        <v>нет</v>
      </c>
    </row>
    <row r="176" spans="1:3" x14ac:dyDescent="0.35">
      <c r="A176" s="4">
        <v>17833</v>
      </c>
      <c r="B176" s="9">
        <v>10.9</v>
      </c>
      <c r="C176" t="str">
        <f>IF(acs2015_county_data[[#This Row],[Unemployment]]&gt;='Описательные характеристики'!$I$5,"да","нет")</f>
        <v>да</v>
      </c>
    </row>
    <row r="177" spans="1:3" x14ac:dyDescent="0.35">
      <c r="A177" s="6">
        <v>18533</v>
      </c>
      <c r="B177" s="10">
        <v>5.9</v>
      </c>
      <c r="C177" t="str">
        <f>IF(acs2015_county_data[[#This Row],[Unemployment]]&gt;='Описательные характеристики'!$I$5,"да","нет")</f>
        <v>нет</v>
      </c>
    </row>
    <row r="178" spans="1:3" x14ac:dyDescent="0.35">
      <c r="A178" s="4">
        <v>23182</v>
      </c>
      <c r="B178" s="9">
        <v>6.1</v>
      </c>
      <c r="C178" t="str">
        <f>IF(acs2015_county_data[[#This Row],[Unemployment]]&gt;='Описательные характеристики'!$I$5,"да","нет")</f>
        <v>нет</v>
      </c>
    </row>
    <row r="179" spans="1:3" x14ac:dyDescent="0.35">
      <c r="A179" s="6">
        <v>17371</v>
      </c>
      <c r="B179" s="10">
        <v>9.3000000000000007</v>
      </c>
      <c r="C179" t="str">
        <f>IF(acs2015_county_data[[#This Row],[Unemployment]]&gt;='Описательные характеристики'!$I$5,"да","нет")</f>
        <v>да</v>
      </c>
    </row>
    <row r="180" spans="1:3" x14ac:dyDescent="0.35">
      <c r="A180" s="4">
        <v>16848</v>
      </c>
      <c r="B180" s="9">
        <v>8.8000000000000007</v>
      </c>
      <c r="C180" t="str">
        <f>IF(acs2015_county_data[[#This Row],[Unemployment]]&gt;='Описательные характеристики'!$I$5,"да","нет")</f>
        <v>да</v>
      </c>
    </row>
    <row r="181" spans="1:3" x14ac:dyDescent="0.35">
      <c r="A181" s="6">
        <v>18944</v>
      </c>
      <c r="B181" s="10">
        <v>7</v>
      </c>
      <c r="C181" t="str">
        <f>IF(acs2015_county_data[[#This Row],[Unemployment]]&gt;='Описательные характеристики'!$I$5,"да","нет")</f>
        <v>нет</v>
      </c>
    </row>
    <row r="182" spans="1:3" x14ac:dyDescent="0.35">
      <c r="A182" s="4">
        <v>21779</v>
      </c>
      <c r="B182" s="9">
        <v>9.6999999999999993</v>
      </c>
      <c r="C182" t="str">
        <f>IF(acs2015_county_data[[#This Row],[Unemployment]]&gt;='Описательные характеристики'!$I$5,"да","нет")</f>
        <v>да</v>
      </c>
    </row>
    <row r="183" spans="1:3" x14ac:dyDescent="0.35">
      <c r="A183" s="6">
        <v>19047</v>
      </c>
      <c r="B183" s="10">
        <v>11.2</v>
      </c>
      <c r="C183" t="str">
        <f>IF(acs2015_county_data[[#This Row],[Unemployment]]&gt;='Описательные характеристики'!$I$5,"да","нет")</f>
        <v>да</v>
      </c>
    </row>
    <row r="184" spans="1:3" x14ac:dyDescent="0.35">
      <c r="A184" s="4">
        <v>24638</v>
      </c>
      <c r="B184" s="9">
        <v>6.2</v>
      </c>
      <c r="C184" t="str">
        <f>IF(acs2015_county_data[[#This Row],[Unemployment]]&gt;='Описательные характеристики'!$I$5,"да","нет")</f>
        <v>нет</v>
      </c>
    </row>
    <row r="185" spans="1:3" x14ac:dyDescent="0.35">
      <c r="A185" s="6">
        <v>22547</v>
      </c>
      <c r="B185" s="10">
        <v>7.1</v>
      </c>
      <c r="C185" t="str">
        <f>IF(acs2015_county_data[[#This Row],[Unemployment]]&gt;='Описательные характеристики'!$I$5,"да","нет")</f>
        <v>нет</v>
      </c>
    </row>
    <row r="186" spans="1:3" x14ac:dyDescent="0.35">
      <c r="A186" s="4">
        <v>18377</v>
      </c>
      <c r="B186" s="9">
        <v>12.4</v>
      </c>
      <c r="C186" t="str">
        <f>IF(acs2015_county_data[[#This Row],[Unemployment]]&gt;='Описательные характеристики'!$I$5,"да","нет")</f>
        <v>да</v>
      </c>
    </row>
    <row r="187" spans="1:3" x14ac:dyDescent="0.35">
      <c r="A187" s="6">
        <v>18288</v>
      </c>
      <c r="B187" s="10">
        <v>8.3000000000000007</v>
      </c>
      <c r="C187" t="str">
        <f>IF(acs2015_county_data[[#This Row],[Unemployment]]&gt;='Описательные характеристики'!$I$5,"да","нет")</f>
        <v>да</v>
      </c>
    </row>
    <row r="188" spans="1:3" x14ac:dyDescent="0.35">
      <c r="A188" s="4">
        <v>37285</v>
      </c>
      <c r="B188" s="9">
        <v>8.3000000000000007</v>
      </c>
      <c r="C188" t="str">
        <f>IF(acs2015_county_data[[#This Row],[Unemployment]]&gt;='Описательные характеристики'!$I$5,"да","нет")</f>
        <v>да</v>
      </c>
    </row>
    <row r="189" spans="1:3" x14ac:dyDescent="0.35">
      <c r="A189" s="6">
        <v>21415</v>
      </c>
      <c r="B189" s="10">
        <v>10.7</v>
      </c>
      <c r="C189" t="str">
        <f>IF(acs2015_county_data[[#This Row],[Unemployment]]&gt;='Описательные характеристики'!$I$5,"да","нет")</f>
        <v>да</v>
      </c>
    </row>
    <row r="190" spans="1:3" x14ac:dyDescent="0.35">
      <c r="A190" s="4">
        <v>27473</v>
      </c>
      <c r="B190" s="9">
        <v>14</v>
      </c>
      <c r="C190" t="str">
        <f>IF(acs2015_county_data[[#This Row],[Unemployment]]&gt;='Описательные характеристики'!$I$5,"да","нет")</f>
        <v>да</v>
      </c>
    </row>
    <row r="191" spans="1:3" x14ac:dyDescent="0.35">
      <c r="A191" s="6">
        <v>24259</v>
      </c>
      <c r="B191" s="10">
        <v>12.1</v>
      </c>
      <c r="C191" t="str">
        <f>IF(acs2015_county_data[[#This Row],[Unemployment]]&gt;='Описательные характеристики'!$I$5,"да","нет")</f>
        <v>да</v>
      </c>
    </row>
    <row r="192" spans="1:3" x14ac:dyDescent="0.35">
      <c r="A192" s="4">
        <v>29553</v>
      </c>
      <c r="B192" s="9">
        <v>12.1</v>
      </c>
      <c r="C192" t="str">
        <f>IF(acs2015_county_data[[#This Row],[Unemployment]]&gt;='Описательные характеристики'!$I$5,"да","нет")</f>
        <v>да</v>
      </c>
    </row>
    <row r="193" spans="1:3" x14ac:dyDescent="0.35">
      <c r="A193" s="6">
        <v>21897</v>
      </c>
      <c r="B193" s="10">
        <v>10.4</v>
      </c>
      <c r="C193" t="str">
        <f>IF(acs2015_county_data[[#This Row],[Unemployment]]&gt;='Описательные характеристики'!$I$5,"да","нет")</f>
        <v>да</v>
      </c>
    </row>
    <row r="194" spans="1:3" x14ac:dyDescent="0.35">
      <c r="A194" s="4">
        <v>39313</v>
      </c>
      <c r="B194" s="9">
        <v>8.8000000000000007</v>
      </c>
      <c r="C194" t="str">
        <f>IF(acs2015_county_data[[#This Row],[Unemployment]]&gt;='Описательные характеристики'!$I$5,"да","нет")</f>
        <v>да</v>
      </c>
    </row>
    <row r="195" spans="1:3" x14ac:dyDescent="0.35">
      <c r="A195" s="6">
        <v>19560</v>
      </c>
      <c r="B195" s="10">
        <v>11.5</v>
      </c>
      <c r="C195" t="str">
        <f>IF(acs2015_county_data[[#This Row],[Unemployment]]&gt;='Описательные характеристики'!$I$5,"да","нет")</f>
        <v>да</v>
      </c>
    </row>
    <row r="196" spans="1:3" x14ac:dyDescent="0.35">
      <c r="A196" s="4">
        <v>35588</v>
      </c>
      <c r="B196" s="9">
        <v>11.1</v>
      </c>
      <c r="C196" t="str">
        <f>IF(acs2015_county_data[[#This Row],[Unemployment]]&gt;='Описательные характеристики'!$I$5,"да","нет")</f>
        <v>да</v>
      </c>
    </row>
    <row r="197" spans="1:3" x14ac:dyDescent="0.35">
      <c r="A197" s="6">
        <v>20408</v>
      </c>
      <c r="B197" s="10">
        <v>13.2</v>
      </c>
      <c r="C197" t="str">
        <f>IF(acs2015_county_data[[#This Row],[Unemployment]]&gt;='Описательные характеристики'!$I$5,"да","нет")</f>
        <v>да</v>
      </c>
    </row>
    <row r="198" spans="1:3" x14ac:dyDescent="0.35">
      <c r="A198" s="4">
        <v>21313</v>
      </c>
      <c r="B198" s="9">
        <v>12.6</v>
      </c>
      <c r="C198" t="str">
        <f>IF(acs2015_county_data[[#This Row],[Unemployment]]&gt;='Описательные характеристики'!$I$5,"да","нет")</f>
        <v>да</v>
      </c>
    </row>
    <row r="199" spans="1:3" x14ac:dyDescent="0.35">
      <c r="A199" s="6">
        <v>23367</v>
      </c>
      <c r="B199" s="10">
        <v>10.5</v>
      </c>
      <c r="C199" t="str">
        <f>IF(acs2015_county_data[[#This Row],[Unemployment]]&gt;='Описательные характеристики'!$I$5,"да","нет")</f>
        <v>да</v>
      </c>
    </row>
    <row r="200" spans="1:3" x14ac:dyDescent="0.35">
      <c r="A200" s="4">
        <v>16143</v>
      </c>
      <c r="B200" s="9">
        <v>17.399999999999999</v>
      </c>
      <c r="C200" t="str">
        <f>IF(acs2015_county_data[[#This Row],[Unemployment]]&gt;='Описательные характеристики'!$I$5,"да","нет")</f>
        <v>да</v>
      </c>
    </row>
    <row r="201" spans="1:3" x14ac:dyDescent="0.35">
      <c r="A201" s="6">
        <v>27850</v>
      </c>
      <c r="B201" s="10">
        <v>6.8</v>
      </c>
      <c r="C201" t="str">
        <f>IF(acs2015_county_data[[#This Row],[Unemployment]]&gt;='Описательные характеристики'!$I$5,"да","нет")</f>
        <v>нет</v>
      </c>
    </row>
    <row r="202" spans="1:3" x14ac:dyDescent="0.35">
      <c r="A202" s="4">
        <v>20644</v>
      </c>
      <c r="B202" s="9">
        <v>12.7</v>
      </c>
      <c r="C202" t="str">
        <f>IF(acs2015_county_data[[#This Row],[Unemployment]]&gt;='Описательные характеристики'!$I$5,"да","нет")</f>
        <v>да</v>
      </c>
    </row>
    <row r="203" spans="1:3" x14ac:dyDescent="0.35">
      <c r="A203" s="6">
        <v>18707</v>
      </c>
      <c r="B203" s="10">
        <v>13</v>
      </c>
      <c r="C203" t="str">
        <f>IF(acs2015_county_data[[#This Row],[Unemployment]]&gt;='Описательные характеристики'!$I$5,"да","нет")</f>
        <v>да</v>
      </c>
    </row>
    <row r="204" spans="1:3" x14ac:dyDescent="0.35">
      <c r="A204" s="4">
        <v>21407</v>
      </c>
      <c r="B204" s="9">
        <v>14.6</v>
      </c>
      <c r="C204" t="str">
        <f>IF(acs2015_county_data[[#This Row],[Unemployment]]&gt;='Описательные характеристики'!$I$5,"да","нет")</f>
        <v>да</v>
      </c>
    </row>
    <row r="205" spans="1:3" x14ac:dyDescent="0.35">
      <c r="A205" s="6">
        <v>19274</v>
      </c>
      <c r="B205" s="10">
        <v>10.9</v>
      </c>
      <c r="C205" t="str">
        <f>IF(acs2015_county_data[[#This Row],[Unemployment]]&gt;='Описательные характеристики'!$I$5,"да","нет")</f>
        <v>да</v>
      </c>
    </row>
    <row r="206" spans="1:3" x14ac:dyDescent="0.35">
      <c r="A206" s="4">
        <v>28337</v>
      </c>
      <c r="B206" s="9">
        <v>10</v>
      </c>
      <c r="C206" t="str">
        <f>IF(acs2015_county_data[[#This Row],[Unemployment]]&gt;='Описательные характеристики'!$I$5,"да","нет")</f>
        <v>да</v>
      </c>
    </row>
    <row r="207" spans="1:3" x14ac:dyDescent="0.35">
      <c r="A207" s="6">
        <v>17970</v>
      </c>
      <c r="B207" s="10">
        <v>7.5</v>
      </c>
      <c r="C207" t="str">
        <f>IF(acs2015_county_data[[#This Row],[Unemployment]]&gt;='Описательные характеристики'!$I$5,"да","нет")</f>
        <v>нет</v>
      </c>
    </row>
    <row r="208" spans="1:3" x14ac:dyDescent="0.35">
      <c r="A208" s="4">
        <v>60236</v>
      </c>
      <c r="B208" s="9">
        <v>5.7</v>
      </c>
      <c r="C208" t="str">
        <f>IF(acs2015_county_data[[#This Row],[Unemployment]]&gt;='Описательные характеристики'!$I$5,"да","нет")</f>
        <v>нет</v>
      </c>
    </row>
    <row r="209" spans="1:3" x14ac:dyDescent="0.35">
      <c r="A209" s="6">
        <v>28316</v>
      </c>
      <c r="B209" s="10">
        <v>11.6</v>
      </c>
      <c r="C209" t="str">
        <f>IF(acs2015_county_data[[#This Row],[Unemployment]]&gt;='Описательные характеристики'!$I$5,"да","нет")</f>
        <v>да</v>
      </c>
    </row>
    <row r="210" spans="1:3" x14ac:dyDescent="0.35">
      <c r="A210" s="4">
        <v>24059</v>
      </c>
      <c r="B210" s="9">
        <v>12.2</v>
      </c>
      <c r="C210" t="str">
        <f>IF(acs2015_county_data[[#This Row],[Unemployment]]&gt;='Описательные характеристики'!$I$5,"да","нет")</f>
        <v>да</v>
      </c>
    </row>
    <row r="211" spans="1:3" x14ac:dyDescent="0.35">
      <c r="A211" s="6">
        <v>18204</v>
      </c>
      <c r="B211" s="10">
        <v>16.2</v>
      </c>
      <c r="C211" t="str">
        <f>IF(acs2015_county_data[[#This Row],[Unemployment]]&gt;='Описательные характеристики'!$I$5,"да","нет")</f>
        <v>да</v>
      </c>
    </row>
    <row r="212" spans="1:3" x14ac:dyDescent="0.35">
      <c r="A212" s="4">
        <v>21001</v>
      </c>
      <c r="B212" s="9">
        <v>8.6</v>
      </c>
      <c r="C212" t="str">
        <f>IF(acs2015_county_data[[#This Row],[Unemployment]]&gt;='Описательные характеристики'!$I$5,"да","нет")</f>
        <v>да</v>
      </c>
    </row>
    <row r="213" spans="1:3" x14ac:dyDescent="0.35">
      <c r="A213" s="6">
        <v>29437</v>
      </c>
      <c r="B213" s="10">
        <v>13.4</v>
      </c>
      <c r="C213" t="str">
        <f>IF(acs2015_county_data[[#This Row],[Unemployment]]&gt;='Описательные характеристики'!$I$5,"да","нет")</f>
        <v>да</v>
      </c>
    </row>
    <row r="214" spans="1:3" x14ac:dyDescent="0.35">
      <c r="A214" s="4">
        <v>24994</v>
      </c>
      <c r="B214" s="9">
        <v>8.4</v>
      </c>
      <c r="C214" t="str">
        <f>IF(acs2015_county_data[[#This Row],[Unemployment]]&gt;='Описательные характеристики'!$I$5,"да","нет")</f>
        <v>да</v>
      </c>
    </row>
    <row r="215" spans="1:3" x14ac:dyDescent="0.35">
      <c r="A215" s="6">
        <v>36475</v>
      </c>
      <c r="B215" s="10">
        <v>7.5</v>
      </c>
      <c r="C215" t="str">
        <f>IF(acs2015_county_data[[#This Row],[Unemployment]]&gt;='Описательные характеристики'!$I$5,"да","нет")</f>
        <v>нет</v>
      </c>
    </row>
    <row r="216" spans="1:3" x14ac:dyDescent="0.35">
      <c r="A216" s="4">
        <v>32442</v>
      </c>
      <c r="B216" s="9">
        <v>9.8000000000000007</v>
      </c>
      <c r="C216" t="str">
        <f>IF(acs2015_county_data[[#This Row],[Unemployment]]&gt;='Описательные характеристики'!$I$5,"да","нет")</f>
        <v>да</v>
      </c>
    </row>
    <row r="217" spans="1:3" x14ac:dyDescent="0.35">
      <c r="A217" s="6">
        <v>34817</v>
      </c>
      <c r="B217" s="10">
        <v>7.6</v>
      </c>
      <c r="C217" t="str">
        <f>IF(acs2015_county_data[[#This Row],[Unemployment]]&gt;='Описательные характеристики'!$I$5,"да","нет")</f>
        <v>да</v>
      </c>
    </row>
    <row r="218" spans="1:3" x14ac:dyDescent="0.35">
      <c r="A218" s="4">
        <v>36022</v>
      </c>
      <c r="B218" s="9">
        <v>8.3000000000000007</v>
      </c>
      <c r="C218" t="str">
        <f>IF(acs2015_county_data[[#This Row],[Unemployment]]&gt;='Описательные характеристики'!$I$5,"да","нет")</f>
        <v>да</v>
      </c>
    </row>
    <row r="219" spans="1:3" x14ac:dyDescent="0.35">
      <c r="A219" s="6">
        <v>30842</v>
      </c>
      <c r="B219" s="10">
        <v>15.2</v>
      </c>
      <c r="C219" t="str">
        <f>IF(acs2015_county_data[[#This Row],[Unemployment]]&gt;='Описательные характеристики'!$I$5,"да","нет")</f>
        <v>да</v>
      </c>
    </row>
    <row r="220" spans="1:3" x14ac:dyDescent="0.35">
      <c r="A220" s="4">
        <v>23783</v>
      </c>
      <c r="B220" s="9">
        <v>12.9</v>
      </c>
      <c r="C220" t="str">
        <f>IF(acs2015_county_data[[#This Row],[Unemployment]]&gt;='Описательные характеристики'!$I$5,"да","нет")</f>
        <v>да</v>
      </c>
    </row>
    <row r="221" spans="1:3" x14ac:dyDescent="0.35">
      <c r="A221" s="6">
        <v>27315</v>
      </c>
      <c r="B221" s="10">
        <v>11.8</v>
      </c>
      <c r="C221" t="str">
        <f>IF(acs2015_county_data[[#This Row],[Unemployment]]&gt;='Описательные характеристики'!$I$5,"да","нет")</f>
        <v>да</v>
      </c>
    </row>
    <row r="222" spans="1:3" x14ac:dyDescent="0.35">
      <c r="A222" s="4">
        <v>27239</v>
      </c>
      <c r="B222" s="9">
        <v>12.2</v>
      </c>
      <c r="C222" t="str">
        <f>IF(acs2015_county_data[[#This Row],[Unemployment]]&gt;='Описательные характеристики'!$I$5,"да","нет")</f>
        <v>да</v>
      </c>
    </row>
    <row r="223" spans="1:3" x14ac:dyDescent="0.35">
      <c r="A223" s="6">
        <v>21352</v>
      </c>
      <c r="B223" s="10">
        <v>12.6</v>
      </c>
      <c r="C223" t="str">
        <f>IF(acs2015_county_data[[#This Row],[Unemployment]]&gt;='Описательные характеристики'!$I$5,"да","нет")</f>
        <v>да</v>
      </c>
    </row>
    <row r="224" spans="1:3" x14ac:dyDescent="0.35">
      <c r="A224" s="4">
        <v>31266</v>
      </c>
      <c r="B224" s="9">
        <v>8.6999999999999993</v>
      </c>
      <c r="C224" t="str">
        <f>IF(acs2015_county_data[[#This Row],[Unemployment]]&gt;='Описательные характеристики'!$I$5,"да","нет")</f>
        <v>да</v>
      </c>
    </row>
    <row r="225" spans="1:3" x14ac:dyDescent="0.35">
      <c r="A225" s="6">
        <v>52220</v>
      </c>
      <c r="B225" s="10">
        <v>6.8</v>
      </c>
      <c r="C225" t="str">
        <f>IF(acs2015_county_data[[#This Row],[Unemployment]]&gt;='Описательные характеристики'!$I$5,"да","нет")</f>
        <v>нет</v>
      </c>
    </row>
    <row r="226" spans="1:3" x14ac:dyDescent="0.35">
      <c r="A226" s="4">
        <v>22645</v>
      </c>
      <c r="B226" s="9">
        <v>13.7</v>
      </c>
      <c r="C226" t="str">
        <f>IF(acs2015_county_data[[#This Row],[Unemployment]]&gt;='Описательные характеристики'!$I$5,"да","нет")</f>
        <v>да</v>
      </c>
    </row>
    <row r="227" spans="1:3" x14ac:dyDescent="0.35">
      <c r="A227" s="6">
        <v>31060</v>
      </c>
      <c r="B227" s="10">
        <v>6.6</v>
      </c>
      <c r="C227" t="str">
        <f>IF(acs2015_county_data[[#This Row],[Unemployment]]&gt;='Описательные характеристики'!$I$5,"да","нет")</f>
        <v>нет</v>
      </c>
    </row>
    <row r="228" spans="1:3" x14ac:dyDescent="0.35">
      <c r="A228" s="4">
        <v>48278</v>
      </c>
      <c r="B228" s="9">
        <v>6.7</v>
      </c>
      <c r="C228" t="str">
        <f>IF(acs2015_county_data[[#This Row],[Unemployment]]&gt;='Описательные характеристики'!$I$5,"да","нет")</f>
        <v>нет</v>
      </c>
    </row>
    <row r="229" spans="1:3" x14ac:dyDescent="0.35">
      <c r="A229" s="6">
        <v>30589</v>
      </c>
      <c r="B229" s="10">
        <v>8</v>
      </c>
      <c r="C229" t="str">
        <f>IF(acs2015_county_data[[#This Row],[Unemployment]]&gt;='Описательные характеристики'!$I$5,"да","нет")</f>
        <v>да</v>
      </c>
    </row>
    <row r="230" spans="1:3" x14ac:dyDescent="0.35">
      <c r="A230" s="4">
        <v>43880</v>
      </c>
      <c r="B230" s="9">
        <v>7.7</v>
      </c>
      <c r="C230" t="str">
        <f>IF(acs2015_county_data[[#This Row],[Unemployment]]&gt;='Описательные характеристики'!$I$5,"да","нет")</f>
        <v>да</v>
      </c>
    </row>
    <row r="231" spans="1:3" x14ac:dyDescent="0.35">
      <c r="A231" s="6">
        <v>33241</v>
      </c>
      <c r="B231" s="10">
        <v>7.6</v>
      </c>
      <c r="C231" t="str">
        <f>IF(acs2015_county_data[[#This Row],[Unemployment]]&gt;='Описательные характеристики'!$I$5,"да","нет")</f>
        <v>да</v>
      </c>
    </row>
    <row r="232" spans="1:3" x14ac:dyDescent="0.35">
      <c r="A232" s="4">
        <v>24107</v>
      </c>
      <c r="B232" s="9">
        <v>10.3</v>
      </c>
      <c r="C232" t="str">
        <f>IF(acs2015_county_data[[#This Row],[Unemployment]]&gt;='Описательные характеристики'!$I$5,"да","нет")</f>
        <v>да</v>
      </c>
    </row>
    <row r="233" spans="1:3" x14ac:dyDescent="0.35">
      <c r="A233" s="6">
        <v>29986</v>
      </c>
      <c r="B233" s="10">
        <v>8</v>
      </c>
      <c r="C233" t="str">
        <f>IF(acs2015_county_data[[#This Row],[Unemployment]]&gt;='Описательные характеристики'!$I$5,"да","нет")</f>
        <v>да</v>
      </c>
    </row>
    <row r="234" spans="1:3" x14ac:dyDescent="0.35">
      <c r="A234" s="4">
        <v>22561</v>
      </c>
      <c r="B234" s="9">
        <v>12.7</v>
      </c>
      <c r="C234" t="str">
        <f>IF(acs2015_county_data[[#This Row],[Unemployment]]&gt;='Описательные характеристики'!$I$5,"да","нет")</f>
        <v>да</v>
      </c>
    </row>
    <row r="235" spans="1:3" x14ac:dyDescent="0.35">
      <c r="A235" s="6">
        <v>29185</v>
      </c>
      <c r="B235" s="10">
        <v>11.4</v>
      </c>
      <c r="C235" t="str">
        <f>IF(acs2015_county_data[[#This Row],[Unemployment]]&gt;='Описательные характеристики'!$I$5,"да","нет")</f>
        <v>да</v>
      </c>
    </row>
    <row r="236" spans="1:3" x14ac:dyDescent="0.35">
      <c r="A236" s="4">
        <v>34235</v>
      </c>
      <c r="B236" s="9">
        <v>8.1</v>
      </c>
      <c r="C236" t="str">
        <f>IF(acs2015_county_data[[#This Row],[Unemployment]]&gt;='Описательные характеристики'!$I$5,"да","нет")</f>
        <v>да</v>
      </c>
    </row>
    <row r="237" spans="1:3" x14ac:dyDescent="0.35">
      <c r="A237" s="6">
        <v>21922</v>
      </c>
      <c r="B237" s="10">
        <v>15.2</v>
      </c>
      <c r="C237" t="str">
        <f>IF(acs2015_county_data[[#This Row],[Unemployment]]&gt;='Описательные характеристики'!$I$5,"да","нет")</f>
        <v>да</v>
      </c>
    </row>
    <row r="238" spans="1:3" x14ac:dyDescent="0.35">
      <c r="A238" s="4">
        <v>23689</v>
      </c>
      <c r="B238" s="9">
        <v>13.2</v>
      </c>
      <c r="C238" t="str">
        <f>IF(acs2015_county_data[[#This Row],[Unemployment]]&gt;='Описательные характеристики'!$I$5,"да","нет")</f>
        <v>да</v>
      </c>
    </row>
    <row r="239" spans="1:3" x14ac:dyDescent="0.35">
      <c r="A239" s="6">
        <v>21263</v>
      </c>
      <c r="B239" s="10">
        <v>13.2</v>
      </c>
      <c r="C239" t="str">
        <f>IF(acs2015_county_data[[#This Row],[Unemployment]]&gt;='Описательные характеристики'!$I$5,"да","нет")</f>
        <v>да</v>
      </c>
    </row>
    <row r="240" spans="1:3" x14ac:dyDescent="0.35">
      <c r="A240" s="4">
        <v>22975</v>
      </c>
      <c r="B240" s="9">
        <v>9</v>
      </c>
      <c r="C240" t="str">
        <f>IF(acs2015_county_data[[#This Row],[Unemployment]]&gt;='Описательные характеристики'!$I$5,"да","нет")</f>
        <v>да</v>
      </c>
    </row>
    <row r="241" spans="1:3" x14ac:dyDescent="0.35">
      <c r="A241" s="6">
        <v>17876</v>
      </c>
      <c r="B241" s="10">
        <v>12</v>
      </c>
      <c r="C241" t="str">
        <f>IF(acs2015_county_data[[#This Row],[Unemployment]]&gt;='Описательные характеристики'!$I$5,"да","нет")</f>
        <v>да</v>
      </c>
    </row>
    <row r="242" spans="1:3" x14ac:dyDescent="0.35">
      <c r="A242" s="4">
        <v>27054</v>
      </c>
      <c r="B242" s="9">
        <v>12.9</v>
      </c>
      <c r="C242" t="str">
        <f>IF(acs2015_county_data[[#This Row],[Unemployment]]&gt;='Описательные характеристики'!$I$5,"да","нет")</f>
        <v>да</v>
      </c>
    </row>
    <row r="243" spans="1:3" x14ac:dyDescent="0.35">
      <c r="A243" s="6">
        <v>33435</v>
      </c>
      <c r="B243" s="10">
        <v>8.6</v>
      </c>
      <c r="C243" t="str">
        <f>IF(acs2015_county_data[[#This Row],[Unemployment]]&gt;='Описательные характеристики'!$I$5,"да","нет")</f>
        <v>да</v>
      </c>
    </row>
    <row r="244" spans="1:3" x14ac:dyDescent="0.35">
      <c r="A244" s="4">
        <v>28116</v>
      </c>
      <c r="B244" s="9">
        <v>9</v>
      </c>
      <c r="C244" t="str">
        <f>IF(acs2015_county_data[[#This Row],[Unemployment]]&gt;='Описательные характеристики'!$I$5,"да","нет")</f>
        <v>да</v>
      </c>
    </row>
    <row r="245" spans="1:3" x14ac:dyDescent="0.35">
      <c r="A245" s="6">
        <v>20471</v>
      </c>
      <c r="B245" s="10">
        <v>14.8</v>
      </c>
      <c r="C245" t="str">
        <f>IF(acs2015_county_data[[#This Row],[Unemployment]]&gt;='Описательные характеристики'!$I$5,"да","нет")</f>
        <v>да</v>
      </c>
    </row>
    <row r="246" spans="1:3" x14ac:dyDescent="0.35">
      <c r="A246" s="4">
        <v>25039</v>
      </c>
      <c r="B246" s="9">
        <v>7.9</v>
      </c>
      <c r="C246" t="str">
        <f>IF(acs2015_county_data[[#This Row],[Unemployment]]&gt;='Описательные характеристики'!$I$5,"да","нет")</f>
        <v>да</v>
      </c>
    </row>
    <row r="247" spans="1:3" x14ac:dyDescent="0.35">
      <c r="A247" s="6">
        <v>19524</v>
      </c>
      <c r="B247" s="10">
        <v>10.4</v>
      </c>
      <c r="C247" t="str">
        <f>IF(acs2015_county_data[[#This Row],[Unemployment]]&gt;='Описательные характеристики'!$I$5,"да","нет")</f>
        <v>да</v>
      </c>
    </row>
    <row r="248" spans="1:3" x14ac:dyDescent="0.35">
      <c r="A248" s="4">
        <v>34190</v>
      </c>
      <c r="B248" s="9">
        <v>7.2</v>
      </c>
      <c r="C248" t="str">
        <f>IF(acs2015_county_data[[#This Row],[Unemployment]]&gt;='Описательные характеристики'!$I$5,"да","нет")</f>
        <v>нет</v>
      </c>
    </row>
    <row r="249" spans="1:3" x14ac:dyDescent="0.35">
      <c r="A249" s="6">
        <v>28884</v>
      </c>
      <c r="B249" s="10">
        <v>8.1999999999999993</v>
      </c>
      <c r="C249" t="str">
        <f>IF(acs2015_county_data[[#This Row],[Unemployment]]&gt;='Описательные характеристики'!$I$5,"да","нет")</f>
        <v>да</v>
      </c>
    </row>
    <row r="250" spans="1:3" x14ac:dyDescent="0.35">
      <c r="A250" s="4">
        <v>21361</v>
      </c>
      <c r="B250" s="9">
        <v>4.5</v>
      </c>
      <c r="C250" t="str">
        <f>IF(acs2015_county_data[[#This Row],[Unemployment]]&gt;='Описательные характеристики'!$I$5,"да","нет")</f>
        <v>нет</v>
      </c>
    </row>
    <row r="251" spans="1:3" x14ac:dyDescent="0.35">
      <c r="A251" s="6">
        <v>13544</v>
      </c>
      <c r="B251" s="10">
        <v>8.3000000000000007</v>
      </c>
      <c r="C251" t="str">
        <f>IF(acs2015_county_data[[#This Row],[Unemployment]]&gt;='Описательные характеристики'!$I$5,"да","нет")</f>
        <v>да</v>
      </c>
    </row>
    <row r="252" spans="1:3" x14ac:dyDescent="0.35">
      <c r="A252" s="4">
        <v>39074</v>
      </c>
      <c r="B252" s="9">
        <v>6.1</v>
      </c>
      <c r="C252" t="str">
        <f>IF(acs2015_county_data[[#This Row],[Unemployment]]&gt;='Описательные характеристики'!$I$5,"да","нет")</f>
        <v>нет</v>
      </c>
    </row>
    <row r="253" spans="1:3" x14ac:dyDescent="0.35">
      <c r="A253" s="6">
        <v>40135</v>
      </c>
      <c r="B253" s="10">
        <v>5.5</v>
      </c>
      <c r="C253" t="str">
        <f>IF(acs2015_county_data[[#This Row],[Unemployment]]&gt;='Описательные характеристики'!$I$5,"да","нет")</f>
        <v>нет</v>
      </c>
    </row>
    <row r="254" spans="1:3" x14ac:dyDescent="0.35">
      <c r="A254" s="4">
        <v>28064</v>
      </c>
      <c r="B254" s="9">
        <v>5.9</v>
      </c>
      <c r="C254" t="str">
        <f>IF(acs2015_county_data[[#This Row],[Unemployment]]&gt;='Описательные характеристики'!$I$5,"да","нет")</f>
        <v>нет</v>
      </c>
    </row>
    <row r="255" spans="1:3" x14ac:dyDescent="0.35">
      <c r="A255" s="6">
        <v>23553</v>
      </c>
      <c r="B255" s="10">
        <v>9.3000000000000007</v>
      </c>
      <c r="C255" t="str">
        <f>IF(acs2015_county_data[[#This Row],[Unemployment]]&gt;='Описательные характеристики'!$I$5,"да","нет")</f>
        <v>да</v>
      </c>
    </row>
    <row r="256" spans="1:3" x14ac:dyDescent="0.35">
      <c r="A256" s="4">
        <v>42812</v>
      </c>
      <c r="B256" s="9">
        <v>5.4</v>
      </c>
      <c r="C256" t="str">
        <f>IF(acs2015_county_data[[#This Row],[Unemployment]]&gt;='Описательные характеристики'!$I$5,"да","нет")</f>
        <v>нет</v>
      </c>
    </row>
    <row r="257" spans="1:3" x14ac:dyDescent="0.35">
      <c r="A257" s="6">
        <v>18844</v>
      </c>
      <c r="B257" s="10">
        <v>9.6999999999999993</v>
      </c>
      <c r="C257" t="str">
        <f>IF(acs2015_county_data[[#This Row],[Unemployment]]&gt;='Описательные характеристики'!$I$5,"да","нет")</f>
        <v>да</v>
      </c>
    </row>
    <row r="258" spans="1:3" x14ac:dyDescent="0.35">
      <c r="A258" s="4">
        <v>21809</v>
      </c>
      <c r="B258" s="9">
        <v>14</v>
      </c>
      <c r="C258" t="str">
        <f>IF(acs2015_county_data[[#This Row],[Unemployment]]&gt;='Описательные характеристики'!$I$5,"да","нет")</f>
        <v>да</v>
      </c>
    </row>
    <row r="259" spans="1:3" x14ac:dyDescent="0.35">
      <c r="A259" s="6">
        <v>10742</v>
      </c>
      <c r="B259" s="10">
        <v>27</v>
      </c>
      <c r="C259" t="str">
        <f>IF(acs2015_county_data[[#This Row],[Unemployment]]&gt;='Описательные характеристики'!$I$5,"да","нет")</f>
        <v>да</v>
      </c>
    </row>
    <row r="260" spans="1:3" x14ac:dyDescent="0.35">
      <c r="A260" s="4">
        <v>22661</v>
      </c>
      <c r="B260" s="9">
        <v>14</v>
      </c>
      <c r="C260" t="str">
        <f>IF(acs2015_county_data[[#This Row],[Unemployment]]&gt;='Описательные характеристики'!$I$5,"да","нет")</f>
        <v>да</v>
      </c>
    </row>
    <row r="261" spans="1:3" x14ac:dyDescent="0.35">
      <c r="A261" s="6">
        <v>24417</v>
      </c>
      <c r="B261" s="10">
        <v>11.7</v>
      </c>
      <c r="C261" t="str">
        <f>IF(acs2015_county_data[[#This Row],[Unemployment]]&gt;='Описательные характеристики'!$I$5,"да","нет")</f>
        <v>да</v>
      </c>
    </row>
    <row r="262" spans="1:3" x14ac:dyDescent="0.35">
      <c r="A262" s="4">
        <v>35218</v>
      </c>
      <c r="B262" s="9">
        <v>6.3</v>
      </c>
      <c r="C262" t="str">
        <f>IF(acs2015_county_data[[#This Row],[Unemployment]]&gt;='Описательные характеристики'!$I$5,"да","нет")</f>
        <v>нет</v>
      </c>
    </row>
    <row r="263" spans="1:3" x14ac:dyDescent="0.35">
      <c r="A263" s="6">
        <v>20199</v>
      </c>
      <c r="B263" s="10">
        <v>4.5999999999999996</v>
      </c>
      <c r="C263" t="str">
        <f>IF(acs2015_county_data[[#This Row],[Unemployment]]&gt;='Описательные характеристики'!$I$5,"да","нет")</f>
        <v>нет</v>
      </c>
    </row>
    <row r="264" spans="1:3" x14ac:dyDescent="0.35">
      <c r="A264" s="4">
        <v>45500</v>
      </c>
      <c r="B264" s="9">
        <v>4.0999999999999996</v>
      </c>
      <c r="C264" t="str">
        <f>IF(acs2015_county_data[[#This Row],[Unemployment]]&gt;='Описательные характеристики'!$I$5,"да","нет")</f>
        <v>нет</v>
      </c>
    </row>
    <row r="265" spans="1:3" x14ac:dyDescent="0.35">
      <c r="A265" s="6">
        <v>38193</v>
      </c>
      <c r="B265" s="10">
        <v>4.4000000000000004</v>
      </c>
      <c r="C265" t="str">
        <f>IF(acs2015_county_data[[#This Row],[Unemployment]]&gt;='Описательные характеристики'!$I$5,"да","нет")</f>
        <v>нет</v>
      </c>
    </row>
    <row r="266" spans="1:3" x14ac:dyDescent="0.35">
      <c r="A266" s="4">
        <v>38021</v>
      </c>
      <c r="B266" s="9">
        <v>6.7</v>
      </c>
      <c r="C266" t="str">
        <f>IF(acs2015_county_data[[#This Row],[Unemployment]]&gt;='Описательные характеристики'!$I$5,"да","нет")</f>
        <v>нет</v>
      </c>
    </row>
    <row r="267" spans="1:3" x14ac:dyDescent="0.35">
      <c r="A267" s="6">
        <v>29659</v>
      </c>
      <c r="B267" s="10">
        <v>8.4</v>
      </c>
      <c r="C267" t="str">
        <f>IF(acs2015_county_data[[#This Row],[Unemployment]]&gt;='Описательные характеристики'!$I$5,"да","нет")</f>
        <v>да</v>
      </c>
    </row>
    <row r="268" spans="1:3" x14ac:dyDescent="0.35">
      <c r="A268" s="4">
        <v>18619</v>
      </c>
      <c r="B268" s="9">
        <v>9.1999999999999993</v>
      </c>
      <c r="C268" t="str">
        <f>IF(acs2015_county_data[[#This Row],[Unemployment]]&gt;='Описательные характеристики'!$I$5,"да","нет")</f>
        <v>да</v>
      </c>
    </row>
    <row r="269" spans="1:3" x14ac:dyDescent="0.35">
      <c r="A269" s="6">
        <v>27574</v>
      </c>
      <c r="B269" s="10">
        <v>6.9</v>
      </c>
      <c r="C269" t="str">
        <f>IF(acs2015_county_data[[#This Row],[Unemployment]]&gt;='Описательные характеристики'!$I$5,"да","нет")</f>
        <v>нет</v>
      </c>
    </row>
    <row r="270" spans="1:3" x14ac:dyDescent="0.35">
      <c r="A270" s="4">
        <v>38361</v>
      </c>
      <c r="B270" s="9">
        <v>4.9000000000000004</v>
      </c>
      <c r="C270" t="str">
        <f>IF(acs2015_county_data[[#This Row],[Unemployment]]&gt;='Описательные характеристики'!$I$5,"да","нет")</f>
        <v>нет</v>
      </c>
    </row>
    <row r="271" spans="1:3" x14ac:dyDescent="0.35">
      <c r="A271" s="6">
        <v>31432</v>
      </c>
      <c r="B271" s="10">
        <v>5.7</v>
      </c>
      <c r="C271" t="str">
        <f>IF(acs2015_county_data[[#This Row],[Unemployment]]&gt;='Описательные характеристики'!$I$5,"да","нет")</f>
        <v>нет</v>
      </c>
    </row>
    <row r="272" spans="1:3" x14ac:dyDescent="0.35">
      <c r="A272" s="4">
        <v>25584</v>
      </c>
      <c r="B272" s="9">
        <v>7.8</v>
      </c>
      <c r="C272" t="str">
        <f>IF(acs2015_county_data[[#This Row],[Unemployment]]&gt;='Описательные характеристики'!$I$5,"да","нет")</f>
        <v>да</v>
      </c>
    </row>
    <row r="273" spans="1:3" x14ac:dyDescent="0.35">
      <c r="A273" s="6">
        <v>33816</v>
      </c>
      <c r="B273" s="10">
        <v>3</v>
      </c>
      <c r="C273" t="str">
        <f>IF(acs2015_county_data[[#This Row],[Unemployment]]&gt;='Описательные характеристики'!$I$5,"да","нет")</f>
        <v>нет</v>
      </c>
    </row>
    <row r="274" spans="1:3" x14ac:dyDescent="0.35">
      <c r="A274" s="4">
        <v>23467</v>
      </c>
      <c r="B274" s="9">
        <v>15</v>
      </c>
      <c r="C274" t="str">
        <f>IF(acs2015_county_data[[#This Row],[Unemployment]]&gt;='Описательные характеристики'!$I$5,"да","нет")</f>
        <v>да</v>
      </c>
    </row>
    <row r="275" spans="1:3" x14ac:dyDescent="0.35">
      <c r="A275" s="6">
        <v>27938</v>
      </c>
      <c r="B275" s="10">
        <v>1.5</v>
      </c>
      <c r="C275" t="str">
        <f>IF(acs2015_county_data[[#This Row],[Unemployment]]&gt;='Описательные характеристики'!$I$5,"да","нет")</f>
        <v>нет</v>
      </c>
    </row>
    <row r="276" spans="1:3" x14ac:dyDescent="0.35">
      <c r="A276" s="4">
        <v>37065</v>
      </c>
      <c r="B276" s="9">
        <v>5.9</v>
      </c>
      <c r="C276" t="str">
        <f>IF(acs2015_county_data[[#This Row],[Unemployment]]&gt;='Описательные характеристики'!$I$5,"да","нет")</f>
        <v>нет</v>
      </c>
    </row>
    <row r="277" spans="1:3" x14ac:dyDescent="0.35">
      <c r="A277" s="6">
        <v>22731</v>
      </c>
      <c r="B277" s="10">
        <v>2</v>
      </c>
      <c r="C277" t="str">
        <f>IF(acs2015_county_data[[#This Row],[Unemployment]]&gt;='Описательные характеристики'!$I$5,"да","нет")</f>
        <v>нет</v>
      </c>
    </row>
    <row r="278" spans="1:3" x14ac:dyDescent="0.35">
      <c r="A278" s="4">
        <v>21769</v>
      </c>
      <c r="B278" s="9">
        <v>5.9</v>
      </c>
      <c r="C278" t="str">
        <f>IF(acs2015_county_data[[#This Row],[Unemployment]]&gt;='Описательные характеристики'!$I$5,"да","нет")</f>
        <v>нет</v>
      </c>
    </row>
    <row r="279" spans="1:3" x14ac:dyDescent="0.35">
      <c r="A279" s="6">
        <v>24399</v>
      </c>
      <c r="B279" s="10">
        <v>5.7</v>
      </c>
      <c r="C279" t="str">
        <f>IF(acs2015_county_data[[#This Row],[Unemployment]]&gt;='Описательные характеристики'!$I$5,"да","нет")</f>
        <v>нет</v>
      </c>
    </row>
    <row r="280" spans="1:3" x14ac:dyDescent="0.35">
      <c r="A280" s="4">
        <v>31822</v>
      </c>
      <c r="B280" s="9">
        <v>5.2</v>
      </c>
      <c r="C280" t="str">
        <f>IF(acs2015_county_data[[#This Row],[Unemployment]]&gt;='Описательные характеристики'!$I$5,"да","нет")</f>
        <v>нет</v>
      </c>
    </row>
    <row r="281" spans="1:3" x14ac:dyDescent="0.35">
      <c r="A281" s="6">
        <v>31304</v>
      </c>
      <c r="B281" s="10">
        <v>6.7</v>
      </c>
      <c r="C281" t="str">
        <f>IF(acs2015_county_data[[#This Row],[Unemployment]]&gt;='Описательные характеристики'!$I$5,"да","нет")</f>
        <v>нет</v>
      </c>
    </row>
    <row r="282" spans="1:3" x14ac:dyDescent="0.35">
      <c r="A282" s="4">
        <v>22935</v>
      </c>
      <c r="B282" s="9">
        <v>9.1999999999999993</v>
      </c>
      <c r="C282" t="str">
        <f>IF(acs2015_county_data[[#This Row],[Unemployment]]&gt;='Описательные характеристики'!$I$5,"да","нет")</f>
        <v>да</v>
      </c>
    </row>
    <row r="283" spans="1:3" x14ac:dyDescent="0.35">
      <c r="A283" s="6">
        <v>15203</v>
      </c>
      <c r="B283" s="10">
        <v>6.3</v>
      </c>
      <c r="C283" t="str">
        <f>IF(acs2015_county_data[[#This Row],[Unemployment]]&gt;='Описательные характеристики'!$I$5,"да","нет")</f>
        <v>нет</v>
      </c>
    </row>
    <row r="284" spans="1:3" x14ac:dyDescent="0.35">
      <c r="A284" s="4">
        <v>23916</v>
      </c>
      <c r="B284" s="9">
        <v>9</v>
      </c>
      <c r="C284" t="str">
        <f>IF(acs2015_county_data[[#This Row],[Unemployment]]&gt;='Описательные характеристики'!$I$5,"да","нет")</f>
        <v>да</v>
      </c>
    </row>
    <row r="285" spans="1:3" x14ac:dyDescent="0.35">
      <c r="A285" s="6">
        <v>26569</v>
      </c>
      <c r="B285" s="10">
        <v>8.6999999999999993</v>
      </c>
      <c r="C285" t="str">
        <f>IF(acs2015_county_data[[#This Row],[Unemployment]]&gt;='Описательные характеристики'!$I$5,"да","нет")</f>
        <v>да</v>
      </c>
    </row>
    <row r="286" spans="1:3" x14ac:dyDescent="0.35">
      <c r="A286" s="4">
        <v>32271</v>
      </c>
      <c r="B286" s="9">
        <v>1.6</v>
      </c>
      <c r="C286" t="str">
        <f>IF(acs2015_county_data[[#This Row],[Unemployment]]&gt;='Описательные характеристики'!$I$5,"да","нет")</f>
        <v>нет</v>
      </c>
    </row>
    <row r="287" spans="1:3" x14ac:dyDescent="0.35">
      <c r="A287" s="6">
        <v>24624</v>
      </c>
      <c r="B287" s="10">
        <v>5.9</v>
      </c>
      <c r="C287" t="str">
        <f>IF(acs2015_county_data[[#This Row],[Unemployment]]&gt;='Описательные характеристики'!$I$5,"да","нет")</f>
        <v>нет</v>
      </c>
    </row>
    <row r="288" spans="1:3" x14ac:dyDescent="0.35">
      <c r="A288" s="4">
        <v>23470</v>
      </c>
      <c r="B288" s="9">
        <v>9.5</v>
      </c>
      <c r="C288" t="str">
        <f>IF(acs2015_county_data[[#This Row],[Unemployment]]&gt;='Описательные характеристики'!$I$5,"да","нет")</f>
        <v>да</v>
      </c>
    </row>
    <row r="289" spans="1:3" x14ac:dyDescent="0.35">
      <c r="A289" s="6">
        <v>23144</v>
      </c>
      <c r="B289" s="10">
        <v>10.199999999999999</v>
      </c>
      <c r="C289" t="str">
        <f>IF(acs2015_county_data[[#This Row],[Unemployment]]&gt;='Описательные характеристики'!$I$5,"да","нет")</f>
        <v>да</v>
      </c>
    </row>
    <row r="290" spans="1:3" x14ac:dyDescent="0.35">
      <c r="A290" s="4">
        <v>22101</v>
      </c>
      <c r="B290" s="9">
        <v>6.2</v>
      </c>
      <c r="C290" t="str">
        <f>IF(acs2015_county_data[[#This Row],[Unemployment]]&gt;='Описательные характеристики'!$I$5,"да","нет")</f>
        <v>нет</v>
      </c>
    </row>
    <row r="291" spans="1:3" x14ac:dyDescent="0.35">
      <c r="A291" s="6">
        <v>19228</v>
      </c>
      <c r="B291" s="10">
        <v>10.7</v>
      </c>
      <c r="C291" t="str">
        <f>IF(acs2015_county_data[[#This Row],[Unemployment]]&gt;='Описательные характеристики'!$I$5,"да","нет")</f>
        <v>да</v>
      </c>
    </row>
    <row r="292" spans="1:3" x14ac:dyDescent="0.35">
      <c r="A292" s="4">
        <v>33392</v>
      </c>
      <c r="B292" s="9">
        <v>6.7</v>
      </c>
      <c r="C292" t="str">
        <f>IF(acs2015_county_data[[#This Row],[Unemployment]]&gt;='Описательные характеристики'!$I$5,"да","нет")</f>
        <v>нет</v>
      </c>
    </row>
    <row r="293" spans="1:3" x14ac:dyDescent="0.35">
      <c r="A293" s="6">
        <v>31734</v>
      </c>
      <c r="B293" s="10">
        <v>5.6</v>
      </c>
      <c r="C293" t="str">
        <f>IF(acs2015_county_data[[#This Row],[Unemployment]]&gt;='Описательные характеристики'!$I$5,"да","нет")</f>
        <v>нет</v>
      </c>
    </row>
    <row r="294" spans="1:3" x14ac:dyDescent="0.35">
      <c r="A294" s="4">
        <v>24967</v>
      </c>
      <c r="B294" s="9">
        <v>5.3</v>
      </c>
      <c r="C294" t="str">
        <f>IF(acs2015_county_data[[#This Row],[Unemployment]]&gt;='Описательные характеристики'!$I$5,"да","нет")</f>
        <v>нет</v>
      </c>
    </row>
    <row r="295" spans="1:3" x14ac:dyDescent="0.35">
      <c r="A295" s="6">
        <v>55519</v>
      </c>
      <c r="B295" s="10">
        <v>7.7</v>
      </c>
      <c r="C295" t="str">
        <f>IF(acs2015_county_data[[#This Row],[Unemployment]]&gt;='Описательные характеристики'!$I$5,"да","нет")</f>
        <v>да</v>
      </c>
    </row>
    <row r="296" spans="1:3" x14ac:dyDescent="0.35">
      <c r="A296" s="4">
        <v>20087</v>
      </c>
      <c r="B296" s="9">
        <v>9.6999999999999993</v>
      </c>
      <c r="C296" t="str">
        <f>IF(acs2015_county_data[[#This Row],[Unemployment]]&gt;='Описательные характеристики'!$I$5,"да","нет")</f>
        <v>да</v>
      </c>
    </row>
    <row r="297" spans="1:3" x14ac:dyDescent="0.35">
      <c r="A297" s="6">
        <v>22191</v>
      </c>
      <c r="B297" s="10">
        <v>10.8</v>
      </c>
      <c r="C297" t="str">
        <f>IF(acs2015_county_data[[#This Row],[Unemployment]]&gt;='Описательные характеристики'!$I$5,"да","нет")</f>
        <v>да</v>
      </c>
    </row>
    <row r="298" spans="1:3" x14ac:dyDescent="0.35">
      <c r="A298" s="4">
        <v>27274</v>
      </c>
      <c r="B298" s="9">
        <v>4.2</v>
      </c>
      <c r="C298" t="str">
        <f>IF(acs2015_county_data[[#This Row],[Unemployment]]&gt;='Описательные характеристики'!$I$5,"да","нет")</f>
        <v>нет</v>
      </c>
    </row>
    <row r="299" spans="1:3" x14ac:dyDescent="0.35">
      <c r="A299" s="6">
        <v>22269</v>
      </c>
      <c r="B299" s="10">
        <v>8.1</v>
      </c>
      <c r="C299" t="str">
        <f>IF(acs2015_county_data[[#This Row],[Unemployment]]&gt;='Описательные характеристики'!$I$5,"да","нет")</f>
        <v>да</v>
      </c>
    </row>
    <row r="300" spans="1:3" x14ac:dyDescent="0.35">
      <c r="A300" s="4">
        <v>36472</v>
      </c>
      <c r="B300" s="9">
        <v>4</v>
      </c>
      <c r="C300" t="str">
        <f>IF(acs2015_county_data[[#This Row],[Unemployment]]&gt;='Описательные характеристики'!$I$5,"да","нет")</f>
        <v>нет</v>
      </c>
    </row>
    <row r="301" spans="1:3" x14ac:dyDescent="0.35">
      <c r="A301" s="6">
        <v>21711</v>
      </c>
      <c r="B301" s="10">
        <v>9.6999999999999993</v>
      </c>
      <c r="C301" t="str">
        <f>IF(acs2015_county_data[[#This Row],[Unemployment]]&gt;='Описательные характеристики'!$I$5,"да","нет")</f>
        <v>да</v>
      </c>
    </row>
    <row r="302" spans="1:3" x14ac:dyDescent="0.35">
      <c r="A302" s="4">
        <v>23143</v>
      </c>
      <c r="B302" s="9">
        <v>13.8</v>
      </c>
      <c r="C302" t="str">
        <f>IF(acs2015_county_data[[#This Row],[Unemployment]]&gt;='Описательные характеристики'!$I$5,"да","нет")</f>
        <v>да</v>
      </c>
    </row>
    <row r="303" spans="1:3" x14ac:dyDescent="0.35">
      <c r="A303" s="6">
        <v>40149</v>
      </c>
      <c r="B303" s="10">
        <v>5.8</v>
      </c>
      <c r="C303" t="str">
        <f>IF(acs2015_county_data[[#This Row],[Unemployment]]&gt;='Описательные характеристики'!$I$5,"да","нет")</f>
        <v>нет</v>
      </c>
    </row>
    <row r="304" spans="1:3" x14ac:dyDescent="0.35">
      <c r="A304" s="4">
        <v>22857</v>
      </c>
      <c r="B304" s="9">
        <v>6.4</v>
      </c>
      <c r="C304" t="str">
        <f>IF(acs2015_county_data[[#This Row],[Unemployment]]&gt;='Описательные характеристики'!$I$5,"да","нет")</f>
        <v>нет</v>
      </c>
    </row>
    <row r="305" spans="1:3" x14ac:dyDescent="0.35">
      <c r="A305" s="6">
        <v>35753</v>
      </c>
      <c r="B305" s="10">
        <v>4.7</v>
      </c>
      <c r="C305" t="str">
        <f>IF(acs2015_county_data[[#This Row],[Unemployment]]&gt;='Описательные характеристики'!$I$5,"да","нет")</f>
        <v>нет</v>
      </c>
    </row>
    <row r="306" spans="1:3" x14ac:dyDescent="0.35">
      <c r="A306" s="4">
        <v>32707</v>
      </c>
      <c r="B306" s="9">
        <v>8.1999999999999993</v>
      </c>
      <c r="C306" t="str">
        <f>IF(acs2015_county_data[[#This Row],[Unemployment]]&gt;='Описательные характеристики'!$I$5,"да","нет")</f>
        <v>да</v>
      </c>
    </row>
    <row r="307" spans="1:3" x14ac:dyDescent="0.35">
      <c r="A307" s="6">
        <v>24817</v>
      </c>
      <c r="B307" s="10">
        <v>5.0999999999999996</v>
      </c>
      <c r="C307" t="str">
        <f>IF(acs2015_county_data[[#This Row],[Unemployment]]&gt;='Описательные характеристики'!$I$5,"да","нет")</f>
        <v>нет</v>
      </c>
    </row>
    <row r="308" spans="1:3" x14ac:dyDescent="0.35">
      <c r="A308" s="4">
        <v>26751</v>
      </c>
      <c r="B308" s="9">
        <v>6.6</v>
      </c>
      <c r="C308" t="str">
        <f>IF(acs2015_county_data[[#This Row],[Unemployment]]&gt;='Описательные характеристики'!$I$5,"да","нет")</f>
        <v>нет</v>
      </c>
    </row>
    <row r="309" spans="1:3" x14ac:dyDescent="0.35">
      <c r="A309" s="6">
        <v>23246</v>
      </c>
      <c r="B309" s="10">
        <v>2.5</v>
      </c>
      <c r="C309" t="str">
        <f>IF(acs2015_county_data[[#This Row],[Unemployment]]&gt;='Описательные характеристики'!$I$5,"да","нет")</f>
        <v>нет</v>
      </c>
    </row>
    <row r="310" spans="1:3" x14ac:dyDescent="0.35">
      <c r="A310" s="4">
        <v>50137</v>
      </c>
      <c r="B310" s="9">
        <v>9</v>
      </c>
      <c r="C310" t="str">
        <f>IF(acs2015_county_data[[#This Row],[Unemployment]]&gt;='Описательные характеристики'!$I$5,"да","нет")</f>
        <v>да</v>
      </c>
    </row>
    <row r="311" spans="1:3" x14ac:dyDescent="0.35">
      <c r="A311" s="6">
        <v>35611</v>
      </c>
      <c r="B311" s="10">
        <v>9.3000000000000007</v>
      </c>
      <c r="C311" t="str">
        <f>IF(acs2015_county_data[[#This Row],[Unemployment]]&gt;='Описательные характеристики'!$I$5,"да","нет")</f>
        <v>да</v>
      </c>
    </row>
    <row r="312" spans="1:3" x14ac:dyDescent="0.35">
      <c r="A312" s="4">
        <v>38530</v>
      </c>
      <c r="B312" s="9">
        <v>7.1</v>
      </c>
      <c r="C312" t="str">
        <f>IF(acs2015_county_data[[#This Row],[Unemployment]]&gt;='Описательные характеристики'!$I$5,"да","нет")</f>
        <v>нет</v>
      </c>
    </row>
    <row r="313" spans="1:3" x14ac:dyDescent="0.35">
      <c r="A313" s="6">
        <v>41277</v>
      </c>
      <c r="B313" s="10">
        <v>6</v>
      </c>
      <c r="C313" t="str">
        <f>IF(acs2015_county_data[[#This Row],[Unemployment]]&gt;='Описательные характеристики'!$I$5,"да","нет")</f>
        <v>нет</v>
      </c>
    </row>
    <row r="314" spans="1:3" x14ac:dyDescent="0.35">
      <c r="A314" s="4">
        <v>32852</v>
      </c>
      <c r="B314" s="9">
        <v>9.5</v>
      </c>
      <c r="C314" t="str">
        <f>IF(acs2015_county_data[[#This Row],[Unemployment]]&gt;='Описательные характеристики'!$I$5,"да","нет")</f>
        <v>да</v>
      </c>
    </row>
    <row r="315" spans="1:3" x14ac:dyDescent="0.35">
      <c r="A315" s="6">
        <v>34208</v>
      </c>
      <c r="B315" s="10">
        <v>8.3000000000000007</v>
      </c>
      <c r="C315" t="str">
        <f>IF(acs2015_county_data[[#This Row],[Unemployment]]&gt;='Описательные характеристики'!$I$5,"да","нет")</f>
        <v>да</v>
      </c>
    </row>
    <row r="316" spans="1:3" x14ac:dyDescent="0.35">
      <c r="A316" s="4">
        <v>35446</v>
      </c>
      <c r="B316" s="9">
        <v>6.8</v>
      </c>
      <c r="C316" t="str">
        <f>IF(acs2015_county_data[[#This Row],[Unemployment]]&gt;='Описательные характеристики'!$I$5,"да","нет")</f>
        <v>нет</v>
      </c>
    </row>
    <row r="317" spans="1:3" x14ac:dyDescent="0.35">
      <c r="A317" s="6">
        <v>28140</v>
      </c>
      <c r="B317" s="10">
        <v>9.3000000000000007</v>
      </c>
      <c r="C317" t="str">
        <f>IF(acs2015_county_data[[#This Row],[Unemployment]]&gt;='Описательные характеристики'!$I$5,"да","нет")</f>
        <v>да</v>
      </c>
    </row>
    <row r="318" spans="1:3" x14ac:dyDescent="0.35">
      <c r="A318" s="4">
        <v>25404</v>
      </c>
      <c r="B318" s="9">
        <v>8.4</v>
      </c>
      <c r="C318" t="str">
        <f>IF(acs2015_county_data[[#This Row],[Unemployment]]&gt;='Описательные характеристики'!$I$5,"да","нет")</f>
        <v>да</v>
      </c>
    </row>
    <row r="319" spans="1:3" x14ac:dyDescent="0.35">
      <c r="A319" s="6">
        <v>32894</v>
      </c>
      <c r="B319" s="10">
        <v>7.4</v>
      </c>
      <c r="C319" t="str">
        <f>IF(acs2015_county_data[[#This Row],[Unemployment]]&gt;='Описательные характеристики'!$I$5,"да","нет")</f>
        <v>нет</v>
      </c>
    </row>
    <row r="320" spans="1:3" x14ac:dyDescent="0.35">
      <c r="A320" s="4">
        <v>28558</v>
      </c>
      <c r="B320" s="9">
        <v>8</v>
      </c>
      <c r="C320" t="str">
        <f>IF(acs2015_county_data[[#This Row],[Unemployment]]&gt;='Описательные характеристики'!$I$5,"да","нет")</f>
        <v>да</v>
      </c>
    </row>
    <row r="321" spans="1:3" x14ac:dyDescent="0.35">
      <c r="A321" s="6">
        <v>47675</v>
      </c>
      <c r="B321" s="10">
        <v>9.6</v>
      </c>
      <c r="C321" t="str">
        <f>IF(acs2015_county_data[[#This Row],[Unemployment]]&gt;='Описательные характеристики'!$I$5,"да","нет")</f>
        <v>да</v>
      </c>
    </row>
    <row r="322" spans="1:3" x14ac:dyDescent="0.35">
      <c r="A322" s="4">
        <v>25498</v>
      </c>
      <c r="B322" s="9">
        <v>7.9</v>
      </c>
      <c r="C322" t="str">
        <f>IF(acs2015_county_data[[#This Row],[Unemployment]]&gt;='Описательные характеристики'!$I$5,"да","нет")</f>
        <v>да</v>
      </c>
    </row>
    <row r="323" spans="1:3" x14ac:dyDescent="0.35">
      <c r="A323" s="6">
        <v>20471</v>
      </c>
      <c r="B323" s="10">
        <v>8.9</v>
      </c>
      <c r="C323" t="str">
        <f>IF(acs2015_county_data[[#This Row],[Unemployment]]&gt;='Описательные характеристики'!$I$5,"да","нет")</f>
        <v>да</v>
      </c>
    </row>
    <row r="324" spans="1:3" x14ac:dyDescent="0.35">
      <c r="A324" s="4">
        <v>25246</v>
      </c>
      <c r="B324" s="9">
        <v>8.6</v>
      </c>
      <c r="C324" t="str">
        <f>IF(acs2015_county_data[[#This Row],[Unemployment]]&gt;='Описательные характеристики'!$I$5,"да","нет")</f>
        <v>да</v>
      </c>
    </row>
    <row r="325" spans="1:3" x14ac:dyDescent="0.35">
      <c r="A325" s="6">
        <v>19739</v>
      </c>
      <c r="B325" s="10">
        <v>12.4</v>
      </c>
      <c r="C325" t="str">
        <f>IF(acs2015_county_data[[#This Row],[Unemployment]]&gt;='Описательные характеристики'!$I$5,"да","нет")</f>
        <v>да</v>
      </c>
    </row>
    <row r="326" spans="1:3" x14ac:dyDescent="0.35">
      <c r="A326" s="4">
        <v>27571</v>
      </c>
      <c r="B326" s="9">
        <v>10.9</v>
      </c>
      <c r="C326" t="str">
        <f>IF(acs2015_county_data[[#This Row],[Unemployment]]&gt;='Описательные характеристики'!$I$5,"да","нет")</f>
        <v>да</v>
      </c>
    </row>
    <row r="327" spans="1:3" x14ac:dyDescent="0.35">
      <c r="A327" s="6">
        <v>28381</v>
      </c>
      <c r="B327" s="10">
        <v>10</v>
      </c>
      <c r="C327" t="str">
        <f>IF(acs2015_county_data[[#This Row],[Unemployment]]&gt;='Описательные характеристики'!$I$5,"да","нет")</f>
        <v>да</v>
      </c>
    </row>
    <row r="328" spans="1:3" x14ac:dyDescent="0.35">
      <c r="A328" s="4">
        <v>16536</v>
      </c>
      <c r="B328" s="9">
        <v>10</v>
      </c>
      <c r="C328" t="str">
        <f>IF(acs2015_county_data[[#This Row],[Unemployment]]&gt;='Описательные характеристики'!$I$5,"да","нет")</f>
        <v>да</v>
      </c>
    </row>
    <row r="329" spans="1:3" x14ac:dyDescent="0.35">
      <c r="A329" s="6">
        <v>26984</v>
      </c>
      <c r="B329" s="10">
        <v>10.8</v>
      </c>
      <c r="C329" t="str">
        <f>IF(acs2015_county_data[[#This Row],[Unemployment]]&gt;='Описательные характеристики'!$I$5,"да","нет")</f>
        <v>да</v>
      </c>
    </row>
    <row r="330" spans="1:3" x14ac:dyDescent="0.35">
      <c r="A330" s="4">
        <v>23979</v>
      </c>
      <c r="B330" s="9">
        <v>13.1</v>
      </c>
      <c r="C330" t="str">
        <f>IF(acs2015_county_data[[#This Row],[Unemployment]]&gt;='Описательные характеристики'!$I$5,"да","нет")</f>
        <v>да</v>
      </c>
    </row>
    <row r="331" spans="1:3" x14ac:dyDescent="0.35">
      <c r="A331" s="6">
        <v>26464</v>
      </c>
      <c r="B331" s="10">
        <v>10.7</v>
      </c>
      <c r="C331" t="str">
        <f>IF(acs2015_county_data[[#This Row],[Unemployment]]&gt;='Описательные характеристики'!$I$5,"да","нет")</f>
        <v>да</v>
      </c>
    </row>
    <row r="332" spans="1:3" x14ac:dyDescent="0.35">
      <c r="A332" s="4">
        <v>38297</v>
      </c>
      <c r="B332" s="9">
        <v>7.8</v>
      </c>
      <c r="C332" t="str">
        <f>IF(acs2015_county_data[[#This Row],[Unemployment]]&gt;='Описательные характеристики'!$I$5,"да","нет")</f>
        <v>да</v>
      </c>
    </row>
    <row r="333" spans="1:3" x14ac:dyDescent="0.35">
      <c r="A333" s="6">
        <v>20563</v>
      </c>
      <c r="B333" s="10">
        <v>14.8</v>
      </c>
      <c r="C333" t="str">
        <f>IF(acs2015_county_data[[#This Row],[Unemployment]]&gt;='Описательные характеристики'!$I$5,"да","нет")</f>
        <v>да</v>
      </c>
    </row>
    <row r="334" spans="1:3" x14ac:dyDescent="0.35">
      <c r="A334" s="4">
        <v>16441</v>
      </c>
      <c r="B334" s="9">
        <v>9.4</v>
      </c>
      <c r="C334" t="str">
        <f>IF(acs2015_county_data[[#This Row],[Unemployment]]&gt;='Описательные характеристики'!$I$5,"да","нет")</f>
        <v>да</v>
      </c>
    </row>
    <row r="335" spans="1:3" x14ac:dyDescent="0.35">
      <c r="A335" s="6">
        <v>17850</v>
      </c>
      <c r="B335" s="10">
        <v>7.2</v>
      </c>
      <c r="C335" t="str">
        <f>IF(acs2015_county_data[[#This Row],[Unemployment]]&gt;='Описательные характеристики'!$I$5,"да","нет")</f>
        <v>нет</v>
      </c>
    </row>
    <row r="336" spans="1:3" x14ac:dyDescent="0.35">
      <c r="A336" s="4">
        <v>26543</v>
      </c>
      <c r="B336" s="9">
        <v>10</v>
      </c>
      <c r="C336" t="str">
        <f>IF(acs2015_county_data[[#This Row],[Unemployment]]&gt;='Описательные характеристики'!$I$5,"да","нет")</f>
        <v>да</v>
      </c>
    </row>
    <row r="337" spans="1:3" x14ac:dyDescent="0.35">
      <c r="A337" s="6">
        <v>24161</v>
      </c>
      <c r="B337" s="10">
        <v>9.4</v>
      </c>
      <c r="C337" t="str">
        <f>IF(acs2015_county_data[[#This Row],[Unemployment]]&gt;='Описательные характеристики'!$I$5,"да","нет")</f>
        <v>да</v>
      </c>
    </row>
    <row r="338" spans="1:3" x14ac:dyDescent="0.35">
      <c r="A338" s="4">
        <v>24360</v>
      </c>
      <c r="B338" s="9">
        <v>9.3000000000000007</v>
      </c>
      <c r="C338" t="str">
        <f>IF(acs2015_county_data[[#This Row],[Unemployment]]&gt;='Описательные характеристики'!$I$5,"да","нет")</f>
        <v>да</v>
      </c>
    </row>
    <row r="339" spans="1:3" x14ac:dyDescent="0.35">
      <c r="A339" s="6">
        <v>20868</v>
      </c>
      <c r="B339" s="10">
        <v>9.4</v>
      </c>
      <c r="C339" t="str">
        <f>IF(acs2015_county_data[[#This Row],[Unemployment]]&gt;='Описательные характеристики'!$I$5,"да","нет")</f>
        <v>да</v>
      </c>
    </row>
    <row r="340" spans="1:3" x14ac:dyDescent="0.35">
      <c r="A340" s="4">
        <v>17834</v>
      </c>
      <c r="B340" s="9">
        <v>11.2</v>
      </c>
      <c r="C340" t="str">
        <f>IF(acs2015_county_data[[#This Row],[Unemployment]]&gt;='Описательные характеристики'!$I$5,"да","нет")</f>
        <v>да</v>
      </c>
    </row>
    <row r="341" spans="1:3" x14ac:dyDescent="0.35">
      <c r="A341" s="6">
        <v>21436</v>
      </c>
      <c r="B341" s="10">
        <v>10.4</v>
      </c>
      <c r="C341" t="str">
        <f>IF(acs2015_county_data[[#This Row],[Unemployment]]&gt;='Описательные характеристики'!$I$5,"да","нет")</f>
        <v>да</v>
      </c>
    </row>
    <row r="342" spans="1:3" x14ac:dyDescent="0.35">
      <c r="A342" s="4">
        <v>17879</v>
      </c>
      <c r="B342" s="9">
        <v>12.9</v>
      </c>
      <c r="C342" t="str">
        <f>IF(acs2015_county_data[[#This Row],[Unemployment]]&gt;='Описательные характеристики'!$I$5,"да","нет")</f>
        <v>да</v>
      </c>
    </row>
    <row r="343" spans="1:3" x14ac:dyDescent="0.35">
      <c r="A343" s="6">
        <v>19631</v>
      </c>
      <c r="B343" s="10">
        <v>10.199999999999999</v>
      </c>
      <c r="C343" t="str">
        <f>IF(acs2015_county_data[[#This Row],[Unemployment]]&gt;='Описательные характеристики'!$I$5,"да","нет")</f>
        <v>да</v>
      </c>
    </row>
    <row r="344" spans="1:3" x14ac:dyDescent="0.35">
      <c r="A344" s="4">
        <v>14742</v>
      </c>
      <c r="B344" s="9">
        <v>15.8</v>
      </c>
      <c r="C344" t="str">
        <f>IF(acs2015_county_data[[#This Row],[Unemployment]]&gt;='Описательные характеристики'!$I$5,"да","нет")</f>
        <v>да</v>
      </c>
    </row>
    <row r="345" spans="1:3" x14ac:dyDescent="0.35">
      <c r="A345" s="6">
        <v>16298</v>
      </c>
      <c r="B345" s="10">
        <v>11</v>
      </c>
      <c r="C345" t="str">
        <f>IF(acs2015_county_data[[#This Row],[Unemployment]]&gt;='Описательные характеристики'!$I$5,"да","нет")</f>
        <v>да</v>
      </c>
    </row>
    <row r="346" spans="1:3" x14ac:dyDescent="0.35">
      <c r="A346" s="4">
        <v>16980</v>
      </c>
      <c r="B346" s="9">
        <v>11.9</v>
      </c>
      <c r="C346" t="str">
        <f>IF(acs2015_county_data[[#This Row],[Unemployment]]&gt;='Описательные характеристики'!$I$5,"да","нет")</f>
        <v>да</v>
      </c>
    </row>
    <row r="347" spans="1:3" x14ac:dyDescent="0.35">
      <c r="A347" s="6">
        <v>21586</v>
      </c>
      <c r="B347" s="10">
        <v>13.7</v>
      </c>
      <c r="C347" t="str">
        <f>IF(acs2015_county_data[[#This Row],[Unemployment]]&gt;='Описательные характеристики'!$I$5,"да","нет")</f>
        <v>да</v>
      </c>
    </row>
    <row r="348" spans="1:3" x14ac:dyDescent="0.35">
      <c r="A348" s="4">
        <v>21117</v>
      </c>
      <c r="B348" s="9">
        <v>13.3</v>
      </c>
      <c r="C348" t="str">
        <f>IF(acs2015_county_data[[#This Row],[Unemployment]]&gt;='Описательные характеристики'!$I$5,"да","нет")</f>
        <v>да</v>
      </c>
    </row>
    <row r="349" spans="1:3" x14ac:dyDescent="0.35">
      <c r="A349" s="6">
        <v>27764</v>
      </c>
      <c r="B349" s="10">
        <v>9</v>
      </c>
      <c r="C349" t="str">
        <f>IF(acs2015_county_data[[#This Row],[Unemployment]]&gt;='Описательные характеристики'!$I$5,"да","нет")</f>
        <v>да</v>
      </c>
    </row>
    <row r="350" spans="1:3" x14ac:dyDescent="0.35">
      <c r="A350" s="4">
        <v>16468</v>
      </c>
      <c r="B350" s="9">
        <v>15.4</v>
      </c>
      <c r="C350" t="str">
        <f>IF(acs2015_county_data[[#This Row],[Unemployment]]&gt;='Описательные характеристики'!$I$5,"да","нет")</f>
        <v>да</v>
      </c>
    </row>
    <row r="351" spans="1:3" x14ac:dyDescent="0.35">
      <c r="A351" s="6">
        <v>31882</v>
      </c>
      <c r="B351" s="10">
        <v>12.2</v>
      </c>
      <c r="C351" t="str">
        <f>IF(acs2015_county_data[[#This Row],[Unemployment]]&gt;='Описательные характеристики'!$I$5,"да","нет")</f>
        <v>да</v>
      </c>
    </row>
    <row r="352" spans="1:3" x14ac:dyDescent="0.35">
      <c r="A352" s="4">
        <v>17196</v>
      </c>
      <c r="B352" s="9">
        <v>13.2</v>
      </c>
      <c r="C352" t="str">
        <f>IF(acs2015_county_data[[#This Row],[Unemployment]]&gt;='Описательные характеристики'!$I$5,"да","нет")</f>
        <v>да</v>
      </c>
    </row>
    <row r="353" spans="1:3" x14ac:dyDescent="0.35">
      <c r="A353" s="6">
        <v>21080</v>
      </c>
      <c r="B353" s="10">
        <v>9.4</v>
      </c>
      <c r="C353" t="str">
        <f>IF(acs2015_county_data[[#This Row],[Unemployment]]&gt;='Описательные характеристики'!$I$5,"да","нет")</f>
        <v>да</v>
      </c>
    </row>
    <row r="354" spans="1:3" x14ac:dyDescent="0.35">
      <c r="A354" s="4">
        <v>19404</v>
      </c>
      <c r="B354" s="9">
        <v>14.6</v>
      </c>
      <c r="C354" t="str">
        <f>IF(acs2015_county_data[[#This Row],[Unemployment]]&gt;='Описательные характеристики'!$I$5,"да","нет")</f>
        <v>да</v>
      </c>
    </row>
    <row r="355" spans="1:3" x14ac:dyDescent="0.35">
      <c r="A355" s="6">
        <v>24236</v>
      </c>
      <c r="B355" s="10">
        <v>9.6999999999999993</v>
      </c>
      <c r="C355" t="str">
        <f>IF(acs2015_county_data[[#This Row],[Unemployment]]&gt;='Описательные характеристики'!$I$5,"да","нет")</f>
        <v>да</v>
      </c>
    </row>
    <row r="356" spans="1:3" x14ac:dyDescent="0.35">
      <c r="A356" s="4">
        <v>28010</v>
      </c>
      <c r="B356" s="9">
        <v>10.1</v>
      </c>
      <c r="C356" t="str">
        <f>IF(acs2015_county_data[[#This Row],[Unemployment]]&gt;='Описательные характеристики'!$I$5,"да","нет")</f>
        <v>да</v>
      </c>
    </row>
    <row r="357" spans="1:3" x14ac:dyDescent="0.35">
      <c r="A357" s="6">
        <v>26522</v>
      </c>
      <c r="B357" s="10">
        <v>10.6</v>
      </c>
      <c r="C357" t="str">
        <f>IF(acs2015_county_data[[#This Row],[Unemployment]]&gt;='Описательные характеристики'!$I$5,"да","нет")</f>
        <v>да</v>
      </c>
    </row>
    <row r="358" spans="1:3" x14ac:dyDescent="0.35">
      <c r="A358" s="4">
        <v>20299</v>
      </c>
      <c r="B358" s="9">
        <v>11.1</v>
      </c>
      <c r="C358" t="str">
        <f>IF(acs2015_county_data[[#This Row],[Unemployment]]&gt;='Описательные характеристики'!$I$5,"да","нет")</f>
        <v>да</v>
      </c>
    </row>
    <row r="359" spans="1:3" x14ac:dyDescent="0.35">
      <c r="A359" s="6">
        <v>16972</v>
      </c>
      <c r="B359" s="10">
        <v>10.199999999999999</v>
      </c>
      <c r="C359" t="str">
        <f>IF(acs2015_county_data[[#This Row],[Unemployment]]&gt;='Описательные характеристики'!$I$5,"да","нет")</f>
        <v>да</v>
      </c>
    </row>
    <row r="360" spans="1:3" x14ac:dyDescent="0.35">
      <c r="A360" s="4">
        <v>16274</v>
      </c>
      <c r="B360" s="9">
        <v>11.8</v>
      </c>
      <c r="C360" t="str">
        <f>IF(acs2015_county_data[[#This Row],[Unemployment]]&gt;='Описательные характеристики'!$I$5,"да","нет")</f>
        <v>да</v>
      </c>
    </row>
    <row r="361" spans="1:3" x14ac:dyDescent="0.35">
      <c r="A361" s="6">
        <v>27958</v>
      </c>
      <c r="B361" s="10">
        <v>8.6</v>
      </c>
      <c r="C361" t="str">
        <f>IF(acs2015_county_data[[#This Row],[Unemployment]]&gt;='Описательные характеристики'!$I$5,"да","нет")</f>
        <v>да</v>
      </c>
    </row>
    <row r="362" spans="1:3" x14ac:dyDescent="0.35">
      <c r="A362" s="4">
        <v>21675</v>
      </c>
      <c r="B362" s="9">
        <v>12</v>
      </c>
      <c r="C362" t="str">
        <f>IF(acs2015_county_data[[#This Row],[Unemployment]]&gt;='Описательные характеристики'!$I$5,"да","нет")</f>
        <v>да</v>
      </c>
    </row>
    <row r="363" spans="1:3" x14ac:dyDescent="0.35">
      <c r="A363" s="6">
        <v>34742</v>
      </c>
      <c r="B363" s="10">
        <v>9.6999999999999993</v>
      </c>
      <c r="C363" t="str">
        <f>IF(acs2015_county_data[[#This Row],[Unemployment]]&gt;='Описательные характеристики'!$I$5,"да","нет")</f>
        <v>да</v>
      </c>
    </row>
    <row r="364" spans="1:3" x14ac:dyDescent="0.35">
      <c r="A364" s="4">
        <v>23850</v>
      </c>
      <c r="B364" s="9">
        <v>10</v>
      </c>
      <c r="C364" t="str">
        <f>IF(acs2015_county_data[[#This Row],[Unemployment]]&gt;='Описательные характеристики'!$I$5,"да","нет")</f>
        <v>да</v>
      </c>
    </row>
    <row r="365" spans="1:3" x14ac:dyDescent="0.35">
      <c r="A365" s="6">
        <v>36208</v>
      </c>
      <c r="B365" s="10">
        <v>6</v>
      </c>
      <c r="C365" t="str">
        <f>IF(acs2015_county_data[[#This Row],[Unemployment]]&gt;='Описательные характеристики'!$I$5,"да","нет")</f>
        <v>нет</v>
      </c>
    </row>
    <row r="366" spans="1:3" x14ac:dyDescent="0.35">
      <c r="A366" s="4">
        <v>28670</v>
      </c>
      <c r="B366" s="9">
        <v>9.8000000000000007</v>
      </c>
      <c r="C366" t="str">
        <f>IF(acs2015_county_data[[#This Row],[Unemployment]]&gt;='Описательные характеристики'!$I$5,"да","нет")</f>
        <v>да</v>
      </c>
    </row>
    <row r="367" spans="1:3" x14ac:dyDescent="0.35">
      <c r="A367" s="6">
        <v>28902</v>
      </c>
      <c r="B367" s="10">
        <v>6.9</v>
      </c>
      <c r="C367" t="str">
        <f>IF(acs2015_county_data[[#This Row],[Unemployment]]&gt;='Описательные характеристики'!$I$5,"да","нет")</f>
        <v>нет</v>
      </c>
    </row>
    <row r="368" spans="1:3" x14ac:dyDescent="0.35">
      <c r="A368" s="4">
        <v>16931</v>
      </c>
      <c r="B368" s="9">
        <v>11.8</v>
      </c>
      <c r="C368" t="str">
        <f>IF(acs2015_county_data[[#This Row],[Unemployment]]&gt;='Описательные характеристики'!$I$5,"да","нет")</f>
        <v>да</v>
      </c>
    </row>
    <row r="369" spans="1:3" x14ac:dyDescent="0.35">
      <c r="A369" s="6">
        <v>25411</v>
      </c>
      <c r="B369" s="10">
        <v>9.1</v>
      </c>
      <c r="C369" t="str">
        <f>IF(acs2015_county_data[[#This Row],[Unemployment]]&gt;='Описательные характеристики'!$I$5,"да","нет")</f>
        <v>да</v>
      </c>
    </row>
    <row r="370" spans="1:3" x14ac:dyDescent="0.35">
      <c r="A370" s="4">
        <v>19165</v>
      </c>
      <c r="B370" s="9">
        <v>9.8000000000000007</v>
      </c>
      <c r="C370" t="str">
        <f>IF(acs2015_county_data[[#This Row],[Unemployment]]&gt;='Описательные характеристики'!$I$5,"да","нет")</f>
        <v>да</v>
      </c>
    </row>
    <row r="371" spans="1:3" x14ac:dyDescent="0.35">
      <c r="A371" s="6">
        <v>33650</v>
      </c>
      <c r="B371" s="10">
        <v>9.5</v>
      </c>
      <c r="C371" t="str">
        <f>IF(acs2015_county_data[[#This Row],[Unemployment]]&gt;='Описательные характеристики'!$I$5,"да","нет")</f>
        <v>да</v>
      </c>
    </row>
    <row r="372" spans="1:3" x14ac:dyDescent="0.35">
      <c r="A372" s="4">
        <v>24455</v>
      </c>
      <c r="B372" s="9">
        <v>9.4</v>
      </c>
      <c r="C372" t="str">
        <f>IF(acs2015_county_data[[#This Row],[Unemployment]]&gt;='Описательные характеристики'!$I$5,"да","нет")</f>
        <v>да</v>
      </c>
    </row>
    <row r="373" spans="1:3" x14ac:dyDescent="0.35">
      <c r="A373" s="6">
        <v>30170</v>
      </c>
      <c r="B373" s="10">
        <v>8.4</v>
      </c>
      <c r="C373" t="str">
        <f>IF(acs2015_county_data[[#This Row],[Unemployment]]&gt;='Описательные характеристики'!$I$5,"да","нет")</f>
        <v>да</v>
      </c>
    </row>
    <row r="374" spans="1:3" x14ac:dyDescent="0.35">
      <c r="A374" s="4">
        <v>21196</v>
      </c>
      <c r="B374" s="9">
        <v>10.6</v>
      </c>
      <c r="C374" t="str">
        <f>IF(acs2015_county_data[[#This Row],[Unemployment]]&gt;='Описательные характеристики'!$I$5,"да","нет")</f>
        <v>да</v>
      </c>
    </row>
    <row r="375" spans="1:3" x14ac:dyDescent="0.35">
      <c r="A375" s="6">
        <v>18082</v>
      </c>
      <c r="B375" s="10">
        <v>12.6</v>
      </c>
      <c r="C375" t="str">
        <f>IF(acs2015_county_data[[#This Row],[Unemployment]]&gt;='Описательные характеристики'!$I$5,"да","нет")</f>
        <v>да</v>
      </c>
    </row>
    <row r="376" spans="1:3" x14ac:dyDescent="0.35">
      <c r="A376" s="4">
        <v>37581</v>
      </c>
      <c r="B376" s="9">
        <v>6.7</v>
      </c>
      <c r="C376" t="str">
        <f>IF(acs2015_county_data[[#This Row],[Unemployment]]&gt;='Описательные характеристики'!$I$5,"да","нет")</f>
        <v>нет</v>
      </c>
    </row>
    <row r="377" spans="1:3" x14ac:dyDescent="0.35">
      <c r="A377" s="6">
        <v>23657</v>
      </c>
      <c r="B377" s="10">
        <v>12.4</v>
      </c>
      <c r="C377" t="str">
        <f>IF(acs2015_county_data[[#This Row],[Unemployment]]&gt;='Описательные характеристики'!$I$5,"да","нет")</f>
        <v>да</v>
      </c>
    </row>
    <row r="378" spans="1:3" x14ac:dyDescent="0.35">
      <c r="A378" s="4">
        <v>27892</v>
      </c>
      <c r="B378" s="9">
        <v>7.9</v>
      </c>
      <c r="C378" t="str">
        <f>IF(acs2015_county_data[[#This Row],[Unemployment]]&gt;='Описательные характеристики'!$I$5,"да","нет")</f>
        <v>да</v>
      </c>
    </row>
    <row r="379" spans="1:3" x14ac:dyDescent="0.35">
      <c r="A379" s="6">
        <v>34479</v>
      </c>
      <c r="B379" s="10">
        <v>8.1999999999999993</v>
      </c>
      <c r="C379" t="str">
        <f>IF(acs2015_county_data[[#This Row],[Unemployment]]&gt;='Описательные характеристики'!$I$5,"да","нет")</f>
        <v>да</v>
      </c>
    </row>
    <row r="380" spans="1:3" x14ac:dyDescent="0.35">
      <c r="A380" s="4">
        <v>29162</v>
      </c>
      <c r="B380" s="9">
        <v>9.4</v>
      </c>
      <c r="C380" t="str">
        <f>IF(acs2015_county_data[[#This Row],[Unemployment]]&gt;='Описательные характеристики'!$I$5,"да","нет")</f>
        <v>да</v>
      </c>
    </row>
    <row r="381" spans="1:3" x14ac:dyDescent="0.35">
      <c r="A381" s="6">
        <v>30145</v>
      </c>
      <c r="B381" s="10">
        <v>9</v>
      </c>
      <c r="C381" t="str">
        <f>IF(acs2015_county_data[[#This Row],[Unemployment]]&gt;='Описательные характеристики'!$I$5,"да","нет")</f>
        <v>да</v>
      </c>
    </row>
    <row r="382" spans="1:3" x14ac:dyDescent="0.35">
      <c r="A382" s="4">
        <v>18573</v>
      </c>
      <c r="B382" s="9">
        <v>11.1</v>
      </c>
      <c r="C382" t="str">
        <f>IF(acs2015_county_data[[#This Row],[Unemployment]]&gt;='Описательные характеристики'!$I$5,"да","нет")</f>
        <v>да</v>
      </c>
    </row>
    <row r="383" spans="1:3" x14ac:dyDescent="0.35">
      <c r="A383" s="6">
        <v>15811</v>
      </c>
      <c r="B383" s="10">
        <v>9</v>
      </c>
      <c r="C383" t="str">
        <f>IF(acs2015_county_data[[#This Row],[Unemployment]]&gt;='Описательные характеристики'!$I$5,"да","нет")</f>
        <v>да</v>
      </c>
    </row>
    <row r="384" spans="1:3" x14ac:dyDescent="0.35">
      <c r="A384" s="4">
        <v>12291</v>
      </c>
      <c r="B384" s="9">
        <v>11.7</v>
      </c>
      <c r="C384" t="str">
        <f>IF(acs2015_county_data[[#This Row],[Unemployment]]&gt;='Описательные характеристики'!$I$5,"да","нет")</f>
        <v>да</v>
      </c>
    </row>
    <row r="385" spans="1:3" x14ac:dyDescent="0.35">
      <c r="A385" s="6">
        <v>24026</v>
      </c>
      <c r="B385" s="10">
        <v>9.1</v>
      </c>
      <c r="C385" t="str">
        <f>IF(acs2015_county_data[[#This Row],[Unemployment]]&gt;='Описательные характеристики'!$I$5,"да","нет")</f>
        <v>да</v>
      </c>
    </row>
    <row r="386" spans="1:3" x14ac:dyDescent="0.35">
      <c r="A386" s="4">
        <v>20823</v>
      </c>
      <c r="B386" s="9">
        <v>9.3000000000000007</v>
      </c>
      <c r="C386" t="str">
        <f>IF(acs2015_county_data[[#This Row],[Unemployment]]&gt;='Описательные характеристики'!$I$5,"да","нет")</f>
        <v>да</v>
      </c>
    </row>
    <row r="387" spans="1:3" x14ac:dyDescent="0.35">
      <c r="A387" s="6">
        <v>27393</v>
      </c>
      <c r="B387" s="10">
        <v>7.9</v>
      </c>
      <c r="C387" t="str">
        <f>IF(acs2015_county_data[[#This Row],[Unemployment]]&gt;='Описательные характеристики'!$I$5,"да","нет")</f>
        <v>да</v>
      </c>
    </row>
    <row r="388" spans="1:3" x14ac:dyDescent="0.35">
      <c r="A388" s="4">
        <v>18164</v>
      </c>
      <c r="B388" s="9">
        <v>11.5</v>
      </c>
      <c r="C388" t="str">
        <f>IF(acs2015_county_data[[#This Row],[Unemployment]]&gt;='Описательные характеристики'!$I$5,"да","нет")</f>
        <v>да</v>
      </c>
    </row>
    <row r="389" spans="1:3" x14ac:dyDescent="0.35">
      <c r="A389" s="6">
        <v>19178</v>
      </c>
      <c r="B389" s="10">
        <v>7.9</v>
      </c>
      <c r="C389" t="str">
        <f>IF(acs2015_county_data[[#This Row],[Unemployment]]&gt;='Описательные характеристики'!$I$5,"да","нет")</f>
        <v>да</v>
      </c>
    </row>
    <row r="390" spans="1:3" x14ac:dyDescent="0.35">
      <c r="A390" s="4">
        <v>17022</v>
      </c>
      <c r="B390" s="9">
        <v>7.3</v>
      </c>
      <c r="C390" t="str">
        <f>IF(acs2015_county_data[[#This Row],[Unemployment]]&gt;='Описательные характеристики'!$I$5,"да","нет")</f>
        <v>нет</v>
      </c>
    </row>
    <row r="391" spans="1:3" x14ac:dyDescent="0.35">
      <c r="A391" s="6">
        <v>18349</v>
      </c>
      <c r="B391" s="10">
        <v>4.4000000000000004</v>
      </c>
      <c r="C391" t="str">
        <f>IF(acs2015_county_data[[#This Row],[Unemployment]]&gt;='Описательные характеристики'!$I$5,"да","нет")</f>
        <v>нет</v>
      </c>
    </row>
    <row r="392" spans="1:3" x14ac:dyDescent="0.35">
      <c r="A392" s="4">
        <v>20959</v>
      </c>
      <c r="B392" s="9">
        <v>7.1</v>
      </c>
      <c r="C392" t="str">
        <f>IF(acs2015_county_data[[#This Row],[Unemployment]]&gt;='Описательные характеристики'!$I$5,"да","нет")</f>
        <v>нет</v>
      </c>
    </row>
    <row r="393" spans="1:3" x14ac:dyDescent="0.35">
      <c r="A393" s="6">
        <v>18611</v>
      </c>
      <c r="B393" s="10">
        <v>8.4</v>
      </c>
      <c r="C393" t="str">
        <f>IF(acs2015_county_data[[#This Row],[Unemployment]]&gt;='Описательные характеристики'!$I$5,"да","нет")</f>
        <v>да</v>
      </c>
    </row>
    <row r="394" spans="1:3" x14ac:dyDescent="0.35">
      <c r="A394" s="4">
        <v>19211</v>
      </c>
      <c r="B394" s="9">
        <v>8.5</v>
      </c>
      <c r="C394" t="str">
        <f>IF(acs2015_county_data[[#This Row],[Unemployment]]&gt;='Описательные характеристики'!$I$5,"да","нет")</f>
        <v>да</v>
      </c>
    </row>
    <row r="395" spans="1:3" x14ac:dyDescent="0.35">
      <c r="A395" s="6">
        <v>21411</v>
      </c>
      <c r="B395" s="10">
        <v>10.1</v>
      </c>
      <c r="C395" t="str">
        <f>IF(acs2015_county_data[[#This Row],[Unemployment]]&gt;='Описательные характеристики'!$I$5,"да","нет")</f>
        <v>да</v>
      </c>
    </row>
    <row r="396" spans="1:3" x14ac:dyDescent="0.35">
      <c r="A396" s="4">
        <v>22592</v>
      </c>
      <c r="B396" s="9">
        <v>8.8000000000000007</v>
      </c>
      <c r="C396" t="str">
        <f>IF(acs2015_county_data[[#This Row],[Unemployment]]&gt;='Описательные характеристики'!$I$5,"да","нет")</f>
        <v>да</v>
      </c>
    </row>
    <row r="397" spans="1:3" x14ac:dyDescent="0.35">
      <c r="A397" s="6">
        <v>15316</v>
      </c>
      <c r="B397" s="10">
        <v>9.6999999999999993</v>
      </c>
      <c r="C397" t="str">
        <f>IF(acs2015_county_data[[#This Row],[Unemployment]]&gt;='Описательные характеристики'!$I$5,"да","нет")</f>
        <v>да</v>
      </c>
    </row>
    <row r="398" spans="1:3" x14ac:dyDescent="0.35">
      <c r="A398" s="4">
        <v>16523</v>
      </c>
      <c r="B398" s="9">
        <v>13.8</v>
      </c>
      <c r="C398" t="str">
        <f>IF(acs2015_county_data[[#This Row],[Unemployment]]&gt;='Описательные характеристики'!$I$5,"да","нет")</f>
        <v>да</v>
      </c>
    </row>
    <row r="399" spans="1:3" x14ac:dyDescent="0.35">
      <c r="A399" s="6">
        <v>21591</v>
      </c>
      <c r="B399" s="10">
        <v>12.4</v>
      </c>
      <c r="C399" t="str">
        <f>IF(acs2015_county_data[[#This Row],[Unemployment]]&gt;='Описательные характеристики'!$I$5,"да","нет")</f>
        <v>да</v>
      </c>
    </row>
    <row r="400" spans="1:3" x14ac:dyDescent="0.35">
      <c r="A400" s="4">
        <v>19503</v>
      </c>
      <c r="B400" s="9">
        <v>4.8</v>
      </c>
      <c r="C400" t="str">
        <f>IF(acs2015_county_data[[#This Row],[Unemployment]]&gt;='Описательные характеристики'!$I$5,"да","нет")</f>
        <v>нет</v>
      </c>
    </row>
    <row r="401" spans="1:3" x14ac:dyDescent="0.35">
      <c r="A401" s="6">
        <v>17276</v>
      </c>
      <c r="B401" s="10">
        <v>10.9</v>
      </c>
      <c r="C401" t="str">
        <f>IF(acs2015_county_data[[#This Row],[Unemployment]]&gt;='Описательные характеристики'!$I$5,"да","нет")</f>
        <v>да</v>
      </c>
    </row>
    <row r="402" spans="1:3" x14ac:dyDescent="0.35">
      <c r="A402" s="4">
        <v>19744</v>
      </c>
      <c r="B402" s="9">
        <v>17</v>
      </c>
      <c r="C402" t="str">
        <f>IF(acs2015_county_data[[#This Row],[Unemployment]]&gt;='Описательные характеристики'!$I$5,"да","нет")</f>
        <v>да</v>
      </c>
    </row>
    <row r="403" spans="1:3" x14ac:dyDescent="0.35">
      <c r="A403" s="6">
        <v>26934</v>
      </c>
      <c r="B403" s="10">
        <v>9</v>
      </c>
      <c r="C403" t="str">
        <f>IF(acs2015_county_data[[#This Row],[Unemployment]]&gt;='Описательные характеристики'!$I$5,"да","нет")</f>
        <v>да</v>
      </c>
    </row>
    <row r="404" spans="1:3" x14ac:dyDescent="0.35">
      <c r="A404" s="4">
        <v>18719</v>
      </c>
      <c r="B404" s="9">
        <v>9.1</v>
      </c>
      <c r="C404" t="str">
        <f>IF(acs2015_county_data[[#This Row],[Unemployment]]&gt;='Описательные характеристики'!$I$5,"да","нет")</f>
        <v>да</v>
      </c>
    </row>
    <row r="405" spans="1:3" x14ac:dyDescent="0.35">
      <c r="A405" s="6">
        <v>17546</v>
      </c>
      <c r="B405" s="10">
        <v>8.1999999999999993</v>
      </c>
      <c r="C405" t="str">
        <f>IF(acs2015_county_data[[#This Row],[Unemployment]]&gt;='Описательные характеристики'!$I$5,"да","нет")</f>
        <v>да</v>
      </c>
    </row>
    <row r="406" spans="1:3" x14ac:dyDescent="0.35">
      <c r="A406" s="4">
        <v>19433</v>
      </c>
      <c r="B406" s="9">
        <v>10.3</v>
      </c>
      <c r="C406" t="str">
        <f>IF(acs2015_county_data[[#This Row],[Unemployment]]&gt;='Описательные характеристики'!$I$5,"да","нет")</f>
        <v>да</v>
      </c>
    </row>
    <row r="407" spans="1:3" x14ac:dyDescent="0.35">
      <c r="A407" s="6">
        <v>14242</v>
      </c>
      <c r="B407" s="10">
        <v>7.7</v>
      </c>
      <c r="C407" t="str">
        <f>IF(acs2015_county_data[[#This Row],[Unemployment]]&gt;='Описательные характеристики'!$I$5,"да","нет")</f>
        <v>да</v>
      </c>
    </row>
    <row r="408" spans="1:3" x14ac:dyDescent="0.35">
      <c r="A408" s="4">
        <v>23856</v>
      </c>
      <c r="B408" s="9">
        <v>8.5</v>
      </c>
      <c r="C408" t="str">
        <f>IF(acs2015_county_data[[#This Row],[Unemployment]]&gt;='Описательные характеристики'!$I$5,"да","нет")</f>
        <v>да</v>
      </c>
    </row>
    <row r="409" spans="1:3" x14ac:dyDescent="0.35">
      <c r="A409" s="6">
        <v>16897</v>
      </c>
      <c r="B409" s="10">
        <v>8.1</v>
      </c>
      <c r="C409" t="str">
        <f>IF(acs2015_county_data[[#This Row],[Unemployment]]&gt;='Описательные характеристики'!$I$5,"да","нет")</f>
        <v>да</v>
      </c>
    </row>
    <row r="410" spans="1:3" x14ac:dyDescent="0.35">
      <c r="A410" s="4">
        <v>21320</v>
      </c>
      <c r="B410" s="9">
        <v>12.1</v>
      </c>
      <c r="C410" t="str">
        <f>IF(acs2015_county_data[[#This Row],[Unemployment]]&gt;='Описательные характеристики'!$I$5,"да","нет")</f>
        <v>да</v>
      </c>
    </row>
    <row r="411" spans="1:3" x14ac:dyDescent="0.35">
      <c r="A411" s="6">
        <v>22642</v>
      </c>
      <c r="B411" s="10">
        <v>8.1</v>
      </c>
      <c r="C411" t="str">
        <f>IF(acs2015_county_data[[#This Row],[Unemployment]]&gt;='Описательные характеристики'!$I$5,"да","нет")</f>
        <v>да</v>
      </c>
    </row>
    <row r="412" spans="1:3" x14ac:dyDescent="0.35">
      <c r="A412" s="4">
        <v>18036</v>
      </c>
      <c r="B412" s="9">
        <v>13.8</v>
      </c>
      <c r="C412" t="str">
        <f>IF(acs2015_county_data[[#This Row],[Unemployment]]&gt;='Описательные характеристики'!$I$5,"да","нет")</f>
        <v>да</v>
      </c>
    </row>
    <row r="413" spans="1:3" x14ac:dyDescent="0.35">
      <c r="A413" s="6">
        <v>25690</v>
      </c>
      <c r="B413" s="10">
        <v>9.6999999999999993</v>
      </c>
      <c r="C413" t="str">
        <f>IF(acs2015_county_data[[#This Row],[Unemployment]]&gt;='Описательные характеристики'!$I$5,"да","нет")</f>
        <v>да</v>
      </c>
    </row>
    <row r="414" spans="1:3" x14ac:dyDescent="0.35">
      <c r="A414" s="4">
        <v>19487</v>
      </c>
      <c r="B414" s="9">
        <v>16.5</v>
      </c>
      <c r="C414" t="str">
        <f>IF(acs2015_county_data[[#This Row],[Unemployment]]&gt;='Описательные характеристики'!$I$5,"да","нет")</f>
        <v>да</v>
      </c>
    </row>
    <row r="415" spans="1:3" x14ac:dyDescent="0.35">
      <c r="A415" s="6">
        <v>16333</v>
      </c>
      <c r="B415" s="10">
        <v>10</v>
      </c>
      <c r="C415" t="str">
        <f>IF(acs2015_county_data[[#This Row],[Unemployment]]&gt;='Описательные характеристики'!$I$5,"да","нет")</f>
        <v>да</v>
      </c>
    </row>
    <row r="416" spans="1:3" x14ac:dyDescent="0.35">
      <c r="A416" s="4">
        <v>30595</v>
      </c>
      <c r="B416" s="9">
        <v>6.3</v>
      </c>
      <c r="C416" t="str">
        <f>IF(acs2015_county_data[[#This Row],[Unemployment]]&gt;='Описательные характеристики'!$I$5,"да","нет")</f>
        <v>нет</v>
      </c>
    </row>
    <row r="417" spans="1:3" x14ac:dyDescent="0.35">
      <c r="A417" s="6">
        <v>19276</v>
      </c>
      <c r="B417" s="10">
        <v>9.1999999999999993</v>
      </c>
      <c r="C417" t="str">
        <f>IF(acs2015_county_data[[#This Row],[Unemployment]]&gt;='Описательные характеристики'!$I$5,"да","нет")</f>
        <v>да</v>
      </c>
    </row>
    <row r="418" spans="1:3" x14ac:dyDescent="0.35">
      <c r="A418" s="4">
        <v>12790</v>
      </c>
      <c r="B418" s="9">
        <v>19.2</v>
      </c>
      <c r="C418" t="str">
        <f>IF(acs2015_county_data[[#This Row],[Unemployment]]&gt;='Описательные характеристики'!$I$5,"да","нет")</f>
        <v>да</v>
      </c>
    </row>
    <row r="419" spans="1:3" x14ac:dyDescent="0.35">
      <c r="A419" s="6">
        <v>18107</v>
      </c>
      <c r="B419" s="10">
        <v>14.1</v>
      </c>
      <c r="C419" t="str">
        <f>IF(acs2015_county_data[[#This Row],[Unemployment]]&gt;='Описательные характеристики'!$I$5,"да","нет")</f>
        <v>да</v>
      </c>
    </row>
    <row r="420" spans="1:3" x14ac:dyDescent="0.35">
      <c r="A420" s="4">
        <v>17127</v>
      </c>
      <c r="B420" s="9">
        <v>10.7</v>
      </c>
      <c r="C420" t="str">
        <f>IF(acs2015_county_data[[#This Row],[Unemployment]]&gt;='Описательные характеристики'!$I$5,"да","нет")</f>
        <v>да</v>
      </c>
    </row>
    <row r="421" spans="1:3" x14ac:dyDescent="0.35">
      <c r="A421" s="6">
        <v>33778</v>
      </c>
      <c r="B421" s="10">
        <v>8</v>
      </c>
      <c r="C421" t="str">
        <f>IF(acs2015_county_data[[#This Row],[Unemployment]]&gt;='Описательные характеристики'!$I$5,"да","нет")</f>
        <v>да</v>
      </c>
    </row>
    <row r="422" spans="1:3" x14ac:dyDescent="0.35">
      <c r="A422" s="4">
        <v>17540</v>
      </c>
      <c r="B422" s="9">
        <v>8.3000000000000007</v>
      </c>
      <c r="C422" t="str">
        <f>IF(acs2015_county_data[[#This Row],[Unemployment]]&gt;='Описательные характеристики'!$I$5,"да","нет")</f>
        <v>да</v>
      </c>
    </row>
    <row r="423" spans="1:3" x14ac:dyDescent="0.35">
      <c r="A423" s="6">
        <v>17353</v>
      </c>
      <c r="B423" s="10">
        <v>8.3000000000000007</v>
      </c>
      <c r="C423" t="str">
        <f>IF(acs2015_county_data[[#This Row],[Unemployment]]&gt;='Описательные характеристики'!$I$5,"да","нет")</f>
        <v>да</v>
      </c>
    </row>
    <row r="424" spans="1:3" x14ac:dyDescent="0.35">
      <c r="A424" s="4">
        <v>30603</v>
      </c>
      <c r="B424" s="9">
        <v>7.1</v>
      </c>
      <c r="C424" t="str">
        <f>IF(acs2015_county_data[[#This Row],[Unemployment]]&gt;='Описательные характеристики'!$I$5,"да","нет")</f>
        <v>нет</v>
      </c>
    </row>
    <row r="425" spans="1:3" x14ac:dyDescent="0.35">
      <c r="A425" s="6">
        <v>18790</v>
      </c>
      <c r="B425" s="10">
        <v>6.6</v>
      </c>
      <c r="C425" t="str">
        <f>IF(acs2015_county_data[[#This Row],[Unemployment]]&gt;='Описательные характеристики'!$I$5,"да","нет")</f>
        <v>нет</v>
      </c>
    </row>
    <row r="426" spans="1:3" x14ac:dyDescent="0.35">
      <c r="A426" s="4">
        <v>28106</v>
      </c>
      <c r="B426" s="9">
        <v>7</v>
      </c>
      <c r="C426" t="str">
        <f>IF(acs2015_county_data[[#This Row],[Unemployment]]&gt;='Описательные характеристики'!$I$5,"да","нет")</f>
        <v>нет</v>
      </c>
    </row>
    <row r="427" spans="1:3" x14ac:dyDescent="0.35">
      <c r="A427" s="6">
        <v>20904</v>
      </c>
      <c r="B427" s="10">
        <v>11</v>
      </c>
      <c r="C427" t="str">
        <f>IF(acs2015_county_data[[#This Row],[Unemployment]]&gt;='Описательные характеристики'!$I$5,"да","нет")</f>
        <v>да</v>
      </c>
    </row>
    <row r="428" spans="1:3" x14ac:dyDescent="0.35">
      <c r="A428" s="4">
        <v>19439</v>
      </c>
      <c r="B428" s="9">
        <v>15.5</v>
      </c>
      <c r="C428" t="str">
        <f>IF(acs2015_county_data[[#This Row],[Unemployment]]&gt;='Описательные характеристики'!$I$5,"да","нет")</f>
        <v>да</v>
      </c>
    </row>
    <row r="429" spans="1:3" x14ac:dyDescent="0.35">
      <c r="A429" s="6">
        <v>21547</v>
      </c>
      <c r="B429" s="10">
        <v>6.1</v>
      </c>
      <c r="C429" t="str">
        <f>IF(acs2015_county_data[[#This Row],[Unemployment]]&gt;='Описательные характеристики'!$I$5,"да","нет")</f>
        <v>нет</v>
      </c>
    </row>
    <row r="430" spans="1:3" x14ac:dyDescent="0.35">
      <c r="A430" s="4">
        <v>28832</v>
      </c>
      <c r="B430" s="9">
        <v>8.5</v>
      </c>
      <c r="C430" t="str">
        <f>IF(acs2015_county_data[[#This Row],[Unemployment]]&gt;='Описательные характеристики'!$I$5,"да","нет")</f>
        <v>да</v>
      </c>
    </row>
    <row r="431" spans="1:3" x14ac:dyDescent="0.35">
      <c r="A431" s="6">
        <v>18310</v>
      </c>
      <c r="B431" s="10">
        <v>6.5</v>
      </c>
      <c r="C431" t="str">
        <f>IF(acs2015_county_data[[#This Row],[Unemployment]]&gt;='Описательные характеристики'!$I$5,"да","нет")</f>
        <v>нет</v>
      </c>
    </row>
    <row r="432" spans="1:3" x14ac:dyDescent="0.35">
      <c r="A432" s="4">
        <v>29486</v>
      </c>
      <c r="B432" s="9">
        <v>11.3</v>
      </c>
      <c r="C432" t="str">
        <f>IF(acs2015_county_data[[#This Row],[Unemployment]]&gt;='Описательные характеристики'!$I$5,"да","нет")</f>
        <v>да</v>
      </c>
    </row>
    <row r="433" spans="1:3" x14ac:dyDescent="0.35">
      <c r="A433" s="6">
        <v>17887</v>
      </c>
      <c r="B433" s="10">
        <v>9.8000000000000007</v>
      </c>
      <c r="C433" t="str">
        <f>IF(acs2015_county_data[[#This Row],[Unemployment]]&gt;='Описательные характеристики'!$I$5,"да","нет")</f>
        <v>да</v>
      </c>
    </row>
    <row r="434" spans="1:3" x14ac:dyDescent="0.35">
      <c r="A434" s="4">
        <v>14295</v>
      </c>
      <c r="B434" s="9">
        <v>11.7</v>
      </c>
      <c r="C434" t="str">
        <f>IF(acs2015_county_data[[#This Row],[Unemployment]]&gt;='Описательные характеристики'!$I$5,"да","нет")</f>
        <v>да</v>
      </c>
    </row>
    <row r="435" spans="1:3" x14ac:dyDescent="0.35">
      <c r="A435" s="6">
        <v>18999</v>
      </c>
      <c r="B435" s="10">
        <v>18</v>
      </c>
      <c r="C435" t="str">
        <f>IF(acs2015_county_data[[#This Row],[Unemployment]]&gt;='Описательные характеристики'!$I$5,"да","нет")</f>
        <v>да</v>
      </c>
    </row>
    <row r="436" spans="1:3" x14ac:dyDescent="0.35">
      <c r="A436" s="4">
        <v>23158</v>
      </c>
      <c r="B436" s="9">
        <v>10.5</v>
      </c>
      <c r="C436" t="str">
        <f>IF(acs2015_county_data[[#This Row],[Unemployment]]&gt;='Описательные характеристики'!$I$5,"да","нет")</f>
        <v>да</v>
      </c>
    </row>
    <row r="437" spans="1:3" x14ac:dyDescent="0.35">
      <c r="A437" s="6">
        <v>18116</v>
      </c>
      <c r="B437" s="10">
        <v>9.4</v>
      </c>
      <c r="C437" t="str">
        <f>IF(acs2015_county_data[[#This Row],[Unemployment]]&gt;='Описательные характеристики'!$I$5,"да","нет")</f>
        <v>да</v>
      </c>
    </row>
    <row r="438" spans="1:3" x14ac:dyDescent="0.35">
      <c r="A438" s="4">
        <v>16954</v>
      </c>
      <c r="B438" s="9">
        <v>10.1</v>
      </c>
      <c r="C438" t="str">
        <f>IF(acs2015_county_data[[#This Row],[Unemployment]]&gt;='Описательные характеристики'!$I$5,"да","нет")</f>
        <v>да</v>
      </c>
    </row>
    <row r="439" spans="1:3" x14ac:dyDescent="0.35">
      <c r="A439" s="6">
        <v>25123</v>
      </c>
      <c r="B439" s="10">
        <v>6</v>
      </c>
      <c r="C439" t="str">
        <f>IF(acs2015_county_data[[#This Row],[Unemployment]]&gt;='Описательные характеристики'!$I$5,"да","нет")</f>
        <v>нет</v>
      </c>
    </row>
    <row r="440" spans="1:3" x14ac:dyDescent="0.35">
      <c r="A440" s="4">
        <v>19841</v>
      </c>
      <c r="B440" s="9">
        <v>10.8</v>
      </c>
      <c r="C440" t="str">
        <f>IF(acs2015_county_data[[#This Row],[Unemployment]]&gt;='Описательные характеристики'!$I$5,"да","нет")</f>
        <v>да</v>
      </c>
    </row>
    <row r="441" spans="1:3" x14ac:dyDescent="0.35">
      <c r="A441" s="6">
        <v>17096</v>
      </c>
      <c r="B441" s="10">
        <v>13.2</v>
      </c>
      <c r="C441" t="str">
        <f>IF(acs2015_county_data[[#This Row],[Unemployment]]&gt;='Описательные характеристики'!$I$5,"да","нет")</f>
        <v>да</v>
      </c>
    </row>
    <row r="442" spans="1:3" x14ac:dyDescent="0.35">
      <c r="A442" s="4">
        <v>19625</v>
      </c>
      <c r="B442" s="9">
        <v>10.3</v>
      </c>
      <c r="C442" t="str">
        <f>IF(acs2015_county_data[[#This Row],[Unemployment]]&gt;='Описательные характеристики'!$I$5,"да","нет")</f>
        <v>да</v>
      </c>
    </row>
    <row r="443" spans="1:3" x14ac:dyDescent="0.35">
      <c r="A443" s="6">
        <v>20534</v>
      </c>
      <c r="B443" s="10">
        <v>12</v>
      </c>
      <c r="C443" t="str">
        <f>IF(acs2015_county_data[[#This Row],[Unemployment]]&gt;='Описательные характеристики'!$I$5,"да","нет")</f>
        <v>да</v>
      </c>
    </row>
    <row r="444" spans="1:3" x14ac:dyDescent="0.35">
      <c r="A444" s="4">
        <v>36362</v>
      </c>
      <c r="B444" s="9">
        <v>7.6</v>
      </c>
      <c r="C444" t="str">
        <f>IF(acs2015_county_data[[#This Row],[Unemployment]]&gt;='Описательные характеристики'!$I$5,"да","нет")</f>
        <v>да</v>
      </c>
    </row>
    <row r="445" spans="1:3" x14ac:dyDescent="0.35">
      <c r="A445" s="6">
        <v>21218</v>
      </c>
      <c r="B445" s="10">
        <v>10.9</v>
      </c>
      <c r="C445" t="str">
        <f>IF(acs2015_county_data[[#This Row],[Unemployment]]&gt;='Описательные характеристики'!$I$5,"да","нет")</f>
        <v>да</v>
      </c>
    </row>
    <row r="446" spans="1:3" x14ac:dyDescent="0.35">
      <c r="A446" s="4">
        <v>35696</v>
      </c>
      <c r="B446" s="9">
        <v>6.2</v>
      </c>
      <c r="C446" t="str">
        <f>IF(acs2015_county_data[[#This Row],[Unemployment]]&gt;='Описательные характеристики'!$I$5,"да","нет")</f>
        <v>нет</v>
      </c>
    </row>
    <row r="447" spans="1:3" x14ac:dyDescent="0.35">
      <c r="A447" s="6">
        <v>17743</v>
      </c>
      <c r="B447" s="10">
        <v>8.4</v>
      </c>
      <c r="C447" t="str">
        <f>IF(acs2015_county_data[[#This Row],[Unemployment]]&gt;='Описательные характеристики'!$I$5,"да","нет")</f>
        <v>да</v>
      </c>
    </row>
    <row r="448" spans="1:3" x14ac:dyDescent="0.35">
      <c r="A448" s="4">
        <v>37926</v>
      </c>
      <c r="B448" s="9">
        <v>9.9</v>
      </c>
      <c r="C448" t="str">
        <f>IF(acs2015_county_data[[#This Row],[Unemployment]]&gt;='Описательные характеристики'!$I$5,"да","нет")</f>
        <v>да</v>
      </c>
    </row>
    <row r="449" spans="1:3" x14ac:dyDescent="0.35">
      <c r="A449" s="6">
        <v>21766</v>
      </c>
      <c r="B449" s="10">
        <v>10</v>
      </c>
      <c r="C449" t="str">
        <f>IF(acs2015_county_data[[#This Row],[Unemployment]]&gt;='Описательные характеристики'!$I$5,"да","нет")</f>
        <v>да</v>
      </c>
    </row>
    <row r="450" spans="1:3" x14ac:dyDescent="0.35">
      <c r="A450" s="4">
        <v>18921</v>
      </c>
      <c r="B450" s="9">
        <v>7.1</v>
      </c>
      <c r="C450" t="str">
        <f>IF(acs2015_county_data[[#This Row],[Unemployment]]&gt;='Описательные характеристики'!$I$5,"да","нет")</f>
        <v>нет</v>
      </c>
    </row>
    <row r="451" spans="1:3" x14ac:dyDescent="0.35">
      <c r="A451" s="6">
        <v>26541</v>
      </c>
      <c r="B451" s="10">
        <v>9.3000000000000007</v>
      </c>
      <c r="C451" t="str">
        <f>IF(acs2015_county_data[[#This Row],[Unemployment]]&gt;='Описательные характеристики'!$I$5,"да","нет")</f>
        <v>да</v>
      </c>
    </row>
    <row r="452" spans="1:3" x14ac:dyDescent="0.35">
      <c r="A452" s="4">
        <v>19707</v>
      </c>
      <c r="B452" s="9">
        <v>8.3000000000000007</v>
      </c>
      <c r="C452" t="str">
        <f>IF(acs2015_county_data[[#This Row],[Unemployment]]&gt;='Описательные характеристики'!$I$5,"да","нет")</f>
        <v>да</v>
      </c>
    </row>
    <row r="453" spans="1:3" x14ac:dyDescent="0.35">
      <c r="A453" s="6">
        <v>16953</v>
      </c>
      <c r="B453" s="10">
        <v>10.5</v>
      </c>
      <c r="C453" t="str">
        <f>IF(acs2015_county_data[[#This Row],[Unemployment]]&gt;='Описательные характеристики'!$I$5,"да","нет")</f>
        <v>да</v>
      </c>
    </row>
    <row r="454" spans="1:3" x14ac:dyDescent="0.35">
      <c r="A454" s="4">
        <v>28209</v>
      </c>
      <c r="B454" s="9">
        <v>6.8</v>
      </c>
      <c r="C454" t="str">
        <f>IF(acs2015_county_data[[#This Row],[Unemployment]]&gt;='Описательные характеристики'!$I$5,"да","нет")</f>
        <v>нет</v>
      </c>
    </row>
    <row r="455" spans="1:3" x14ac:dyDescent="0.35">
      <c r="A455" s="6">
        <v>25831</v>
      </c>
      <c r="B455" s="10">
        <v>8.3000000000000007</v>
      </c>
      <c r="C455" t="str">
        <f>IF(acs2015_county_data[[#This Row],[Unemployment]]&gt;='Описательные характеристики'!$I$5,"да","нет")</f>
        <v>да</v>
      </c>
    </row>
    <row r="456" spans="1:3" x14ac:dyDescent="0.35">
      <c r="A456" s="4">
        <v>19026</v>
      </c>
      <c r="B456" s="9">
        <v>7.7</v>
      </c>
      <c r="C456" t="str">
        <f>IF(acs2015_county_data[[#This Row],[Unemployment]]&gt;='Описательные характеристики'!$I$5,"да","нет")</f>
        <v>да</v>
      </c>
    </row>
    <row r="457" spans="1:3" x14ac:dyDescent="0.35">
      <c r="A457" s="6">
        <v>24292</v>
      </c>
      <c r="B457" s="10">
        <v>7.5</v>
      </c>
      <c r="C457" t="str">
        <f>IF(acs2015_county_data[[#This Row],[Unemployment]]&gt;='Описательные характеристики'!$I$5,"да","нет")</f>
        <v>нет</v>
      </c>
    </row>
    <row r="458" spans="1:3" x14ac:dyDescent="0.35">
      <c r="A458" s="4">
        <v>12358</v>
      </c>
      <c r="B458" s="9">
        <v>14.6</v>
      </c>
      <c r="C458" t="str">
        <f>IF(acs2015_county_data[[#This Row],[Unemployment]]&gt;='Описательные характеристики'!$I$5,"да","нет")</f>
        <v>да</v>
      </c>
    </row>
    <row r="459" spans="1:3" x14ac:dyDescent="0.35">
      <c r="A459" s="6">
        <v>20740</v>
      </c>
      <c r="B459" s="10">
        <v>12.3</v>
      </c>
      <c r="C459" t="str">
        <f>IF(acs2015_county_data[[#This Row],[Unemployment]]&gt;='Описательные характеристики'!$I$5,"да","нет")</f>
        <v>да</v>
      </c>
    </row>
    <row r="460" spans="1:3" x14ac:dyDescent="0.35">
      <c r="A460" s="4">
        <v>30386</v>
      </c>
      <c r="B460" s="9">
        <v>8</v>
      </c>
      <c r="C460" t="str">
        <f>IF(acs2015_county_data[[#This Row],[Unemployment]]&gt;='Описательные характеристики'!$I$5,"да","нет")</f>
        <v>да</v>
      </c>
    </row>
    <row r="461" spans="1:3" x14ac:dyDescent="0.35">
      <c r="A461" s="6">
        <v>20733</v>
      </c>
      <c r="B461" s="10">
        <v>6.2</v>
      </c>
      <c r="C461" t="str">
        <f>IF(acs2015_county_data[[#This Row],[Unemployment]]&gt;='Описательные характеристики'!$I$5,"да","нет")</f>
        <v>нет</v>
      </c>
    </row>
    <row r="462" spans="1:3" x14ac:dyDescent="0.35">
      <c r="A462" s="4">
        <v>19222</v>
      </c>
      <c r="B462" s="9">
        <v>12.1</v>
      </c>
      <c r="C462" t="str">
        <f>IF(acs2015_county_data[[#This Row],[Unemployment]]&gt;='Описательные характеристики'!$I$5,"да","нет")</f>
        <v>да</v>
      </c>
    </row>
    <row r="463" spans="1:3" x14ac:dyDescent="0.35">
      <c r="A463" s="6">
        <v>24996</v>
      </c>
      <c r="B463" s="10">
        <v>10.3</v>
      </c>
      <c r="C463" t="str">
        <f>IF(acs2015_county_data[[#This Row],[Unemployment]]&gt;='Описательные характеристики'!$I$5,"да","нет")</f>
        <v>да</v>
      </c>
    </row>
    <row r="464" spans="1:3" x14ac:dyDescent="0.35">
      <c r="A464" s="4">
        <v>24368</v>
      </c>
      <c r="B464" s="9">
        <v>9.6999999999999993</v>
      </c>
      <c r="C464" t="str">
        <f>IF(acs2015_county_data[[#This Row],[Unemployment]]&gt;='Описательные характеристики'!$I$5,"да","нет")</f>
        <v>да</v>
      </c>
    </row>
    <row r="465" spans="1:3" x14ac:dyDescent="0.35">
      <c r="A465" s="6">
        <v>17576</v>
      </c>
      <c r="B465" s="10">
        <v>6.8</v>
      </c>
      <c r="C465" t="str">
        <f>IF(acs2015_county_data[[#This Row],[Unemployment]]&gt;='Описательные характеристики'!$I$5,"да","нет")</f>
        <v>нет</v>
      </c>
    </row>
    <row r="466" spans="1:3" x14ac:dyDescent="0.35">
      <c r="A466" s="4">
        <v>23504</v>
      </c>
      <c r="B466" s="9">
        <v>7.9</v>
      </c>
      <c r="C466" t="str">
        <f>IF(acs2015_county_data[[#This Row],[Unemployment]]&gt;='Описательные характеристики'!$I$5,"да","нет")</f>
        <v>да</v>
      </c>
    </row>
    <row r="467" spans="1:3" x14ac:dyDescent="0.35">
      <c r="A467" s="6">
        <v>20570</v>
      </c>
      <c r="B467" s="10">
        <v>12.7</v>
      </c>
      <c r="C467" t="str">
        <f>IF(acs2015_county_data[[#This Row],[Unemployment]]&gt;='Описательные характеристики'!$I$5,"да","нет")</f>
        <v>да</v>
      </c>
    </row>
    <row r="468" spans="1:3" x14ac:dyDescent="0.35">
      <c r="A468" s="4">
        <v>18446</v>
      </c>
      <c r="B468" s="9">
        <v>6.6</v>
      </c>
      <c r="C468" t="str">
        <f>IF(acs2015_county_data[[#This Row],[Unemployment]]&gt;='Описательные характеристики'!$I$5,"да","нет")</f>
        <v>нет</v>
      </c>
    </row>
    <row r="469" spans="1:3" x14ac:dyDescent="0.35">
      <c r="A469" s="6">
        <v>16048</v>
      </c>
      <c r="B469" s="10">
        <v>17</v>
      </c>
      <c r="C469" t="str">
        <f>IF(acs2015_county_data[[#This Row],[Unemployment]]&gt;='Описательные характеристики'!$I$5,"да","нет")</f>
        <v>да</v>
      </c>
    </row>
    <row r="470" spans="1:3" x14ac:dyDescent="0.35">
      <c r="A470" s="4">
        <v>17366</v>
      </c>
      <c r="B470" s="9">
        <v>10.3</v>
      </c>
      <c r="C470" t="str">
        <f>IF(acs2015_county_data[[#This Row],[Unemployment]]&gt;='Описательные характеристики'!$I$5,"да","нет")</f>
        <v>да</v>
      </c>
    </row>
    <row r="471" spans="1:3" x14ac:dyDescent="0.35">
      <c r="A471" s="6">
        <v>16954</v>
      </c>
      <c r="B471" s="10">
        <v>9</v>
      </c>
      <c r="C471" t="str">
        <f>IF(acs2015_county_data[[#This Row],[Unemployment]]&gt;='Описательные характеристики'!$I$5,"да","нет")</f>
        <v>да</v>
      </c>
    </row>
    <row r="472" spans="1:3" x14ac:dyDescent="0.35">
      <c r="A472" s="4">
        <v>26005</v>
      </c>
      <c r="B472" s="9">
        <v>9.5</v>
      </c>
      <c r="C472" t="str">
        <f>IF(acs2015_county_data[[#This Row],[Unemployment]]&gt;='Описательные характеристики'!$I$5,"да","нет")</f>
        <v>да</v>
      </c>
    </row>
    <row r="473" spans="1:3" x14ac:dyDescent="0.35">
      <c r="A473" s="6">
        <v>19217</v>
      </c>
      <c r="B473" s="10">
        <v>15.6</v>
      </c>
      <c r="C473" t="str">
        <f>IF(acs2015_county_data[[#This Row],[Unemployment]]&gt;='Описательные характеристики'!$I$5,"да","нет")</f>
        <v>да</v>
      </c>
    </row>
    <row r="474" spans="1:3" x14ac:dyDescent="0.35">
      <c r="A474" s="4">
        <v>16688</v>
      </c>
      <c r="B474" s="9">
        <v>14.6</v>
      </c>
      <c r="C474" t="str">
        <f>IF(acs2015_county_data[[#This Row],[Unemployment]]&gt;='Описательные характеристики'!$I$5,"да","нет")</f>
        <v>да</v>
      </c>
    </row>
    <row r="475" spans="1:3" x14ac:dyDescent="0.35">
      <c r="A475" s="6">
        <v>19194</v>
      </c>
      <c r="B475" s="10">
        <v>6.6</v>
      </c>
      <c r="C475" t="str">
        <f>IF(acs2015_county_data[[#This Row],[Unemployment]]&gt;='Описательные характеристики'!$I$5,"да","нет")</f>
        <v>нет</v>
      </c>
    </row>
    <row r="476" spans="1:3" x14ac:dyDescent="0.35">
      <c r="A476" s="4">
        <v>27999</v>
      </c>
      <c r="B476" s="9">
        <v>7.2</v>
      </c>
      <c r="C476" t="str">
        <f>IF(acs2015_county_data[[#This Row],[Unemployment]]&gt;='Описательные характеристики'!$I$5,"да","нет")</f>
        <v>нет</v>
      </c>
    </row>
    <row r="477" spans="1:3" x14ac:dyDescent="0.35">
      <c r="A477" s="6">
        <v>19785</v>
      </c>
      <c r="B477" s="10">
        <v>12.9</v>
      </c>
      <c r="C477" t="str">
        <f>IF(acs2015_county_data[[#This Row],[Unemployment]]&gt;='Описательные характеристики'!$I$5,"да","нет")</f>
        <v>да</v>
      </c>
    </row>
    <row r="478" spans="1:3" x14ac:dyDescent="0.35">
      <c r="A478" s="4">
        <v>22373</v>
      </c>
      <c r="B478" s="9">
        <v>9.3000000000000007</v>
      </c>
      <c r="C478" t="str">
        <f>IF(acs2015_county_data[[#This Row],[Unemployment]]&gt;='Описательные характеристики'!$I$5,"да","нет")</f>
        <v>да</v>
      </c>
    </row>
    <row r="479" spans="1:3" x14ac:dyDescent="0.35">
      <c r="A479" s="6">
        <v>18166</v>
      </c>
      <c r="B479" s="10">
        <v>15.6</v>
      </c>
      <c r="C479" t="str">
        <f>IF(acs2015_county_data[[#This Row],[Unemployment]]&gt;='Описательные характеристики'!$I$5,"да","нет")</f>
        <v>да</v>
      </c>
    </row>
    <row r="480" spans="1:3" x14ac:dyDescent="0.35">
      <c r="A480" s="4">
        <v>19173</v>
      </c>
      <c r="B480" s="9">
        <v>13</v>
      </c>
      <c r="C480" t="str">
        <f>IF(acs2015_county_data[[#This Row],[Unemployment]]&gt;='Описательные характеристики'!$I$5,"да","нет")</f>
        <v>да</v>
      </c>
    </row>
    <row r="481" spans="1:3" x14ac:dyDescent="0.35">
      <c r="A481" s="6">
        <v>21963</v>
      </c>
      <c r="B481" s="10">
        <v>8.1999999999999993</v>
      </c>
      <c r="C481" t="str">
        <f>IF(acs2015_county_data[[#This Row],[Unemployment]]&gt;='Описательные характеристики'!$I$5,"да","нет")</f>
        <v>да</v>
      </c>
    </row>
    <row r="482" spans="1:3" x14ac:dyDescent="0.35">
      <c r="A482" s="4">
        <v>19065</v>
      </c>
      <c r="B482" s="9">
        <v>9.5</v>
      </c>
      <c r="C482" t="str">
        <f>IF(acs2015_county_data[[#This Row],[Unemployment]]&gt;='Описательные характеристики'!$I$5,"да","нет")</f>
        <v>да</v>
      </c>
    </row>
    <row r="483" spans="1:3" x14ac:dyDescent="0.35">
      <c r="A483" s="6">
        <v>23887</v>
      </c>
      <c r="B483" s="10">
        <v>8.8000000000000007</v>
      </c>
      <c r="C483" t="str">
        <f>IF(acs2015_county_data[[#This Row],[Unemployment]]&gt;='Описательные характеристики'!$I$5,"да","нет")</f>
        <v>да</v>
      </c>
    </row>
    <row r="484" spans="1:3" x14ac:dyDescent="0.35">
      <c r="A484" s="4">
        <v>13431</v>
      </c>
      <c r="B484" s="9">
        <v>18.7</v>
      </c>
      <c r="C484" t="str">
        <f>IF(acs2015_county_data[[#This Row],[Unemployment]]&gt;='Описательные характеристики'!$I$5,"да","нет")</f>
        <v>да</v>
      </c>
    </row>
    <row r="485" spans="1:3" x14ac:dyDescent="0.35">
      <c r="A485" s="6">
        <v>20857</v>
      </c>
      <c r="B485" s="10">
        <v>8.6999999999999993</v>
      </c>
      <c r="C485" t="str">
        <f>IF(acs2015_county_data[[#This Row],[Unemployment]]&gt;='Описательные характеристики'!$I$5,"да","нет")</f>
        <v>да</v>
      </c>
    </row>
    <row r="486" spans="1:3" x14ac:dyDescent="0.35">
      <c r="A486" s="4">
        <v>19077</v>
      </c>
      <c r="B486" s="9">
        <v>14.3</v>
      </c>
      <c r="C486" t="str">
        <f>IF(acs2015_county_data[[#This Row],[Unemployment]]&gt;='Описательные характеристики'!$I$5,"да","нет")</f>
        <v>да</v>
      </c>
    </row>
    <row r="487" spans="1:3" x14ac:dyDescent="0.35">
      <c r="A487" s="6">
        <v>18059</v>
      </c>
      <c r="B487" s="10">
        <v>12.8</v>
      </c>
      <c r="C487" t="str">
        <f>IF(acs2015_county_data[[#This Row],[Unemployment]]&gt;='Описательные характеристики'!$I$5,"да","нет")</f>
        <v>да</v>
      </c>
    </row>
    <row r="488" spans="1:3" x14ac:dyDescent="0.35">
      <c r="A488" s="4">
        <v>18904</v>
      </c>
      <c r="B488" s="9">
        <v>6.5</v>
      </c>
      <c r="C488" t="str">
        <f>IF(acs2015_county_data[[#This Row],[Unemployment]]&gt;='Описательные характеристики'!$I$5,"да","нет")</f>
        <v>нет</v>
      </c>
    </row>
    <row r="489" spans="1:3" x14ac:dyDescent="0.35">
      <c r="A489" s="6">
        <v>15297</v>
      </c>
      <c r="B489" s="10">
        <v>13.5</v>
      </c>
      <c r="C489" t="str">
        <f>IF(acs2015_county_data[[#This Row],[Unemployment]]&gt;='Описательные характеристики'!$I$5,"да","нет")</f>
        <v>да</v>
      </c>
    </row>
    <row r="490" spans="1:3" x14ac:dyDescent="0.35">
      <c r="A490" s="4">
        <v>25539</v>
      </c>
      <c r="B490" s="9">
        <v>10.5</v>
      </c>
      <c r="C490" t="str">
        <f>IF(acs2015_county_data[[#This Row],[Unemployment]]&gt;='Описательные характеристики'!$I$5,"да","нет")</f>
        <v>да</v>
      </c>
    </row>
    <row r="491" spans="1:3" x14ac:dyDescent="0.35">
      <c r="A491" s="6">
        <v>17402</v>
      </c>
      <c r="B491" s="10">
        <v>6.7</v>
      </c>
      <c r="C491" t="str">
        <f>IF(acs2015_county_data[[#This Row],[Unemployment]]&gt;='Описательные характеристики'!$I$5,"да","нет")</f>
        <v>нет</v>
      </c>
    </row>
    <row r="492" spans="1:3" x14ac:dyDescent="0.35">
      <c r="A492" s="4">
        <v>24435</v>
      </c>
      <c r="B492" s="9">
        <v>6.9</v>
      </c>
      <c r="C492" t="str">
        <f>IF(acs2015_county_data[[#This Row],[Unemployment]]&gt;='Описательные характеристики'!$I$5,"да","нет")</f>
        <v>нет</v>
      </c>
    </row>
    <row r="493" spans="1:3" x14ac:dyDescent="0.35">
      <c r="A493" s="6">
        <v>17043</v>
      </c>
      <c r="B493" s="10">
        <v>11.1</v>
      </c>
      <c r="C493" t="str">
        <f>IF(acs2015_county_data[[#This Row],[Unemployment]]&gt;='Описательные характеристики'!$I$5,"да","нет")</f>
        <v>да</v>
      </c>
    </row>
    <row r="494" spans="1:3" x14ac:dyDescent="0.35">
      <c r="A494" s="4">
        <v>23318</v>
      </c>
      <c r="B494" s="9">
        <v>11</v>
      </c>
      <c r="C494" t="str">
        <f>IF(acs2015_county_data[[#This Row],[Unemployment]]&gt;='Описательные характеристики'!$I$5,"да","нет")</f>
        <v>да</v>
      </c>
    </row>
    <row r="495" spans="1:3" x14ac:dyDescent="0.35">
      <c r="A495" s="6">
        <v>21717</v>
      </c>
      <c r="B495" s="10">
        <v>11.8</v>
      </c>
      <c r="C495" t="str">
        <f>IF(acs2015_county_data[[#This Row],[Unemployment]]&gt;='Описательные характеристики'!$I$5,"да","нет")</f>
        <v>да</v>
      </c>
    </row>
    <row r="496" spans="1:3" x14ac:dyDescent="0.35">
      <c r="A496" s="4">
        <v>33528</v>
      </c>
      <c r="B496" s="9">
        <v>5</v>
      </c>
      <c r="C496" t="str">
        <f>IF(acs2015_county_data[[#This Row],[Unemployment]]&gt;='Описательные характеристики'!$I$5,"да","нет")</f>
        <v>нет</v>
      </c>
    </row>
    <row r="497" spans="1:3" x14ac:dyDescent="0.35">
      <c r="A497" s="6">
        <v>21848</v>
      </c>
      <c r="B497" s="10">
        <v>5.3</v>
      </c>
      <c r="C497" t="str">
        <f>IF(acs2015_county_data[[#This Row],[Unemployment]]&gt;='Описательные характеристики'!$I$5,"да","нет")</f>
        <v>нет</v>
      </c>
    </row>
    <row r="498" spans="1:3" x14ac:dyDescent="0.35">
      <c r="A498" s="4">
        <v>24930</v>
      </c>
      <c r="B498" s="9">
        <v>8.6999999999999993</v>
      </c>
      <c r="C498" t="str">
        <f>IF(acs2015_county_data[[#This Row],[Unemployment]]&gt;='Описательные характеристики'!$I$5,"да","нет")</f>
        <v>да</v>
      </c>
    </row>
    <row r="499" spans="1:3" x14ac:dyDescent="0.35">
      <c r="A499" s="6">
        <v>20689</v>
      </c>
      <c r="B499" s="10">
        <v>11.3</v>
      </c>
      <c r="C499" t="str">
        <f>IF(acs2015_county_data[[#This Row],[Unemployment]]&gt;='Описательные характеристики'!$I$5,"да","нет")</f>
        <v>да</v>
      </c>
    </row>
    <row r="500" spans="1:3" x14ac:dyDescent="0.35">
      <c r="A500" s="4">
        <v>27720</v>
      </c>
      <c r="B500" s="9">
        <v>8.3000000000000007</v>
      </c>
      <c r="C500" t="str">
        <f>IF(acs2015_county_data[[#This Row],[Unemployment]]&gt;='Описательные характеристики'!$I$5,"да","нет")</f>
        <v>да</v>
      </c>
    </row>
    <row r="501" spans="1:3" x14ac:dyDescent="0.35">
      <c r="A501" s="6">
        <v>21619</v>
      </c>
      <c r="B501" s="10">
        <v>8.9</v>
      </c>
      <c r="C501" t="str">
        <f>IF(acs2015_county_data[[#This Row],[Unemployment]]&gt;='Описательные характеристики'!$I$5,"да","нет")</f>
        <v>да</v>
      </c>
    </row>
    <row r="502" spans="1:3" x14ac:dyDescent="0.35">
      <c r="A502" s="4">
        <v>23150</v>
      </c>
      <c r="B502" s="9">
        <v>10.4</v>
      </c>
      <c r="C502" t="str">
        <f>IF(acs2015_county_data[[#This Row],[Unemployment]]&gt;='Описательные характеристики'!$I$5,"да","нет")</f>
        <v>да</v>
      </c>
    </row>
    <row r="503" spans="1:3" x14ac:dyDescent="0.35">
      <c r="A503" s="6">
        <v>20293</v>
      </c>
      <c r="B503" s="10">
        <v>10.199999999999999</v>
      </c>
      <c r="C503" t="str">
        <f>IF(acs2015_county_data[[#This Row],[Unemployment]]&gt;='Описательные характеристики'!$I$5,"да","нет")</f>
        <v>да</v>
      </c>
    </row>
    <row r="504" spans="1:3" x14ac:dyDescent="0.35">
      <c r="A504" s="4">
        <v>17656</v>
      </c>
      <c r="B504" s="9">
        <v>7.4</v>
      </c>
      <c r="C504" t="str">
        <f>IF(acs2015_county_data[[#This Row],[Unemployment]]&gt;='Описательные характеристики'!$I$5,"да","нет")</f>
        <v>нет</v>
      </c>
    </row>
    <row r="505" spans="1:3" x14ac:dyDescent="0.35">
      <c r="A505" s="6">
        <v>25864</v>
      </c>
      <c r="B505" s="10">
        <v>6.3</v>
      </c>
      <c r="C505" t="str">
        <f>IF(acs2015_county_data[[#This Row],[Unemployment]]&gt;='Описательные характеристики'!$I$5,"да","нет")</f>
        <v>нет</v>
      </c>
    </row>
    <row r="506" spans="1:3" x14ac:dyDescent="0.35">
      <c r="A506" s="4">
        <v>17334</v>
      </c>
      <c r="B506" s="9">
        <v>11.2</v>
      </c>
      <c r="C506" t="str">
        <f>IF(acs2015_county_data[[#This Row],[Unemployment]]&gt;='Описательные характеристики'!$I$5,"да","нет")</f>
        <v>да</v>
      </c>
    </row>
    <row r="507" spans="1:3" x14ac:dyDescent="0.35">
      <c r="A507" s="6">
        <v>22869</v>
      </c>
      <c r="B507" s="10">
        <v>7.3</v>
      </c>
      <c r="C507" t="str">
        <f>IF(acs2015_county_data[[#This Row],[Unemployment]]&gt;='Описательные характеристики'!$I$5,"да","нет")</f>
        <v>нет</v>
      </c>
    </row>
    <row r="508" spans="1:3" x14ac:dyDescent="0.35">
      <c r="A508" s="4">
        <v>26031</v>
      </c>
      <c r="B508" s="9">
        <v>10.4</v>
      </c>
      <c r="C508" t="str">
        <f>IF(acs2015_county_data[[#This Row],[Unemployment]]&gt;='Описательные характеристики'!$I$5,"да","нет")</f>
        <v>да</v>
      </c>
    </row>
    <row r="509" spans="1:3" x14ac:dyDescent="0.35">
      <c r="A509" s="6">
        <v>20659</v>
      </c>
      <c r="B509" s="10">
        <v>12</v>
      </c>
      <c r="C509" t="str">
        <f>IF(acs2015_county_data[[#This Row],[Unemployment]]&gt;='Описательные характеристики'!$I$5,"да","нет")</f>
        <v>да</v>
      </c>
    </row>
    <row r="510" spans="1:3" x14ac:dyDescent="0.35">
      <c r="A510" s="4">
        <v>22614</v>
      </c>
      <c r="B510" s="9">
        <v>11.2</v>
      </c>
      <c r="C510" t="str">
        <f>IF(acs2015_county_data[[#This Row],[Unemployment]]&gt;='Описательные характеристики'!$I$5,"да","нет")</f>
        <v>да</v>
      </c>
    </row>
    <row r="511" spans="1:3" x14ac:dyDescent="0.35">
      <c r="A511" s="6">
        <v>19858</v>
      </c>
      <c r="B511" s="10">
        <v>12.4</v>
      </c>
      <c r="C511" t="str">
        <f>IF(acs2015_county_data[[#This Row],[Unemployment]]&gt;='Описательные характеристики'!$I$5,"да","нет")</f>
        <v>да</v>
      </c>
    </row>
    <row r="512" spans="1:3" x14ac:dyDescent="0.35">
      <c r="A512" s="4">
        <v>18597</v>
      </c>
      <c r="B512" s="9">
        <v>9.8000000000000007</v>
      </c>
      <c r="C512" t="str">
        <f>IF(acs2015_county_data[[#This Row],[Unemployment]]&gt;='Описательные характеристики'!$I$5,"да","нет")</f>
        <v>да</v>
      </c>
    </row>
    <row r="513" spans="1:3" x14ac:dyDescent="0.35">
      <c r="A513" s="6">
        <v>19891</v>
      </c>
      <c r="B513" s="10">
        <v>9.4</v>
      </c>
      <c r="C513" t="str">
        <f>IF(acs2015_county_data[[#This Row],[Unemployment]]&gt;='Описательные характеристики'!$I$5,"да","нет")</f>
        <v>да</v>
      </c>
    </row>
    <row r="514" spans="1:3" x14ac:dyDescent="0.35">
      <c r="A514" s="4">
        <v>19588</v>
      </c>
      <c r="B514" s="9">
        <v>12.4</v>
      </c>
      <c r="C514" t="str">
        <f>IF(acs2015_county_data[[#This Row],[Unemployment]]&gt;='Описательные характеристики'!$I$5,"да","нет")</f>
        <v>да</v>
      </c>
    </row>
    <row r="515" spans="1:3" x14ac:dyDescent="0.35">
      <c r="A515" s="6">
        <v>20001</v>
      </c>
      <c r="B515" s="10">
        <v>10.6</v>
      </c>
      <c r="C515" t="str">
        <f>IF(acs2015_county_data[[#This Row],[Unemployment]]&gt;='Описательные характеристики'!$I$5,"да","нет")</f>
        <v>да</v>
      </c>
    </row>
    <row r="516" spans="1:3" x14ac:dyDescent="0.35">
      <c r="A516" s="4">
        <v>13721</v>
      </c>
      <c r="B516" s="9">
        <v>14.5</v>
      </c>
      <c r="C516" t="str">
        <f>IF(acs2015_county_data[[#This Row],[Unemployment]]&gt;='Описательные характеристики'!$I$5,"да","нет")</f>
        <v>да</v>
      </c>
    </row>
    <row r="517" spans="1:3" x14ac:dyDescent="0.35">
      <c r="A517" s="6">
        <v>17404</v>
      </c>
      <c r="B517" s="10">
        <v>14.4</v>
      </c>
      <c r="C517" t="str">
        <f>IF(acs2015_county_data[[#This Row],[Unemployment]]&gt;='Описательные характеристики'!$I$5,"да","нет")</f>
        <v>да</v>
      </c>
    </row>
    <row r="518" spans="1:3" x14ac:dyDescent="0.35">
      <c r="A518" s="4">
        <v>18971</v>
      </c>
      <c r="B518" s="9">
        <v>10.6</v>
      </c>
      <c r="C518" t="str">
        <f>IF(acs2015_county_data[[#This Row],[Unemployment]]&gt;='Описательные характеристики'!$I$5,"да","нет")</f>
        <v>да</v>
      </c>
    </row>
    <row r="519" spans="1:3" x14ac:dyDescent="0.35">
      <c r="A519" s="6">
        <v>14805</v>
      </c>
      <c r="B519" s="10">
        <v>12.1</v>
      </c>
      <c r="C519" t="str">
        <f>IF(acs2015_county_data[[#This Row],[Unemployment]]&gt;='Описательные характеристики'!$I$5,"да","нет")</f>
        <v>да</v>
      </c>
    </row>
    <row r="520" spans="1:3" x14ac:dyDescent="0.35">
      <c r="A520" s="4">
        <v>14957</v>
      </c>
      <c r="B520" s="9">
        <v>7.9</v>
      </c>
      <c r="C520" t="str">
        <f>IF(acs2015_county_data[[#This Row],[Unemployment]]&gt;='Описательные характеристики'!$I$5,"да","нет")</f>
        <v>да</v>
      </c>
    </row>
    <row r="521" spans="1:3" x14ac:dyDescent="0.35">
      <c r="A521" s="6">
        <v>16857</v>
      </c>
      <c r="B521" s="10">
        <v>20.6</v>
      </c>
      <c r="C521" t="str">
        <f>IF(acs2015_county_data[[#This Row],[Unemployment]]&gt;='Описательные характеристики'!$I$5,"да","нет")</f>
        <v>да</v>
      </c>
    </row>
    <row r="522" spans="1:3" x14ac:dyDescent="0.35">
      <c r="A522" s="4">
        <v>12155</v>
      </c>
      <c r="B522" s="9">
        <v>4.4000000000000004</v>
      </c>
      <c r="C522" t="str">
        <f>IF(acs2015_county_data[[#This Row],[Unemployment]]&gt;='Описательные характеристики'!$I$5,"да","нет")</f>
        <v>нет</v>
      </c>
    </row>
    <row r="523" spans="1:3" x14ac:dyDescent="0.35">
      <c r="A523" s="6">
        <v>16242</v>
      </c>
      <c r="B523" s="10">
        <v>14.4</v>
      </c>
      <c r="C523" t="str">
        <f>IF(acs2015_county_data[[#This Row],[Unemployment]]&gt;='Описательные характеристики'!$I$5,"да","нет")</f>
        <v>да</v>
      </c>
    </row>
    <row r="524" spans="1:3" x14ac:dyDescent="0.35">
      <c r="A524" s="4">
        <v>20471</v>
      </c>
      <c r="B524" s="9">
        <v>10.5</v>
      </c>
      <c r="C524" t="str">
        <f>IF(acs2015_county_data[[#This Row],[Unemployment]]&gt;='Описательные характеристики'!$I$5,"да","нет")</f>
        <v>да</v>
      </c>
    </row>
    <row r="525" spans="1:3" x14ac:dyDescent="0.35">
      <c r="A525" s="6">
        <v>20078</v>
      </c>
      <c r="B525" s="10">
        <v>5.8</v>
      </c>
      <c r="C525" t="str">
        <f>IF(acs2015_county_data[[#This Row],[Unemployment]]&gt;='Описательные характеристики'!$I$5,"да","нет")</f>
        <v>нет</v>
      </c>
    </row>
    <row r="526" spans="1:3" x14ac:dyDescent="0.35">
      <c r="A526" s="4">
        <v>19564</v>
      </c>
      <c r="B526" s="9">
        <v>9.6</v>
      </c>
      <c r="C526" t="str">
        <f>IF(acs2015_county_data[[#This Row],[Unemployment]]&gt;='Описательные характеристики'!$I$5,"да","нет")</f>
        <v>да</v>
      </c>
    </row>
    <row r="527" spans="1:3" x14ac:dyDescent="0.35">
      <c r="A527" s="6">
        <v>19978</v>
      </c>
      <c r="B527" s="10">
        <v>10</v>
      </c>
      <c r="C527" t="str">
        <f>IF(acs2015_county_data[[#This Row],[Unemployment]]&gt;='Описательные характеристики'!$I$5,"да","нет")</f>
        <v>да</v>
      </c>
    </row>
    <row r="528" spans="1:3" x14ac:dyDescent="0.35">
      <c r="A528" s="4">
        <v>21127</v>
      </c>
      <c r="B528" s="9">
        <v>5.4</v>
      </c>
      <c r="C528" t="str">
        <f>IF(acs2015_county_data[[#This Row],[Unemployment]]&gt;='Описательные характеристики'!$I$5,"да","нет")</f>
        <v>нет</v>
      </c>
    </row>
    <row r="529" spans="1:3" x14ac:dyDescent="0.35">
      <c r="A529" s="6">
        <v>21559</v>
      </c>
      <c r="B529" s="10">
        <v>11.9</v>
      </c>
      <c r="C529" t="str">
        <f>IF(acs2015_county_data[[#This Row],[Unemployment]]&gt;='Описательные характеристики'!$I$5,"да","нет")</f>
        <v>да</v>
      </c>
    </row>
    <row r="530" spans="1:3" x14ac:dyDescent="0.35">
      <c r="A530" s="4">
        <v>18227</v>
      </c>
      <c r="B530" s="9">
        <v>12.5</v>
      </c>
      <c r="C530" t="str">
        <f>IF(acs2015_county_data[[#This Row],[Unemployment]]&gt;='Описательные характеристики'!$I$5,"да","нет")</f>
        <v>да</v>
      </c>
    </row>
    <row r="531" spans="1:3" x14ac:dyDescent="0.35">
      <c r="A531" s="6">
        <v>17768</v>
      </c>
      <c r="B531" s="10">
        <v>6.7</v>
      </c>
      <c r="C531" t="str">
        <f>IF(acs2015_county_data[[#This Row],[Unemployment]]&gt;='Описательные характеристики'!$I$5,"да","нет")</f>
        <v>нет</v>
      </c>
    </row>
    <row r="532" spans="1:3" x14ac:dyDescent="0.35">
      <c r="A532" s="4">
        <v>21872</v>
      </c>
      <c r="B532" s="9">
        <v>13</v>
      </c>
      <c r="C532" t="str">
        <f>IF(acs2015_county_data[[#This Row],[Unemployment]]&gt;='Описательные характеристики'!$I$5,"да","нет")</f>
        <v>да</v>
      </c>
    </row>
    <row r="533" spans="1:3" x14ac:dyDescent="0.35">
      <c r="A533" s="6">
        <v>19069</v>
      </c>
      <c r="B533" s="10">
        <v>11.1</v>
      </c>
      <c r="C533" t="str">
        <f>IF(acs2015_county_data[[#This Row],[Unemployment]]&gt;='Описательные характеристики'!$I$5,"да","нет")</f>
        <v>да</v>
      </c>
    </row>
    <row r="534" spans="1:3" x14ac:dyDescent="0.35">
      <c r="A534" s="4">
        <v>21430</v>
      </c>
      <c r="B534" s="9">
        <v>8.4</v>
      </c>
      <c r="C534" t="str">
        <f>IF(acs2015_county_data[[#This Row],[Unemployment]]&gt;='Описательные характеристики'!$I$5,"да","нет")</f>
        <v>да</v>
      </c>
    </row>
    <row r="535" spans="1:3" x14ac:dyDescent="0.35">
      <c r="A535" s="6">
        <v>23625</v>
      </c>
      <c r="B535" s="10">
        <v>7.9</v>
      </c>
      <c r="C535" t="str">
        <f>IF(acs2015_county_data[[#This Row],[Unemployment]]&gt;='Описательные характеристики'!$I$5,"да","нет")</f>
        <v>да</v>
      </c>
    </row>
    <row r="536" spans="1:3" x14ac:dyDescent="0.35">
      <c r="A536" s="4">
        <v>18100</v>
      </c>
      <c r="B536" s="9">
        <v>7.2</v>
      </c>
      <c r="C536" t="str">
        <f>IF(acs2015_county_data[[#This Row],[Unemployment]]&gt;='Описательные характеристики'!$I$5,"да","нет")</f>
        <v>нет</v>
      </c>
    </row>
    <row r="537" spans="1:3" x14ac:dyDescent="0.35">
      <c r="A537" s="6">
        <v>18174</v>
      </c>
      <c r="B537" s="10">
        <v>16.399999999999999</v>
      </c>
      <c r="C537" t="str">
        <f>IF(acs2015_county_data[[#This Row],[Unemployment]]&gt;='Описательные характеристики'!$I$5,"да","нет")</f>
        <v>да</v>
      </c>
    </row>
    <row r="538" spans="1:3" x14ac:dyDescent="0.35">
      <c r="A538" s="4">
        <v>18285</v>
      </c>
      <c r="B538" s="9">
        <v>12.2</v>
      </c>
      <c r="C538" t="str">
        <f>IF(acs2015_county_data[[#This Row],[Unemployment]]&gt;='Описательные характеристики'!$I$5,"да","нет")</f>
        <v>да</v>
      </c>
    </row>
    <row r="539" spans="1:3" x14ac:dyDescent="0.35">
      <c r="A539" s="6">
        <v>18291</v>
      </c>
      <c r="B539" s="10">
        <v>11.3</v>
      </c>
      <c r="C539" t="str">
        <f>IF(acs2015_county_data[[#This Row],[Unemployment]]&gt;='Описательные характеристики'!$I$5,"да","нет")</f>
        <v>да</v>
      </c>
    </row>
    <row r="540" spans="1:3" x14ac:dyDescent="0.35">
      <c r="A540" s="4">
        <v>18767</v>
      </c>
      <c r="B540" s="9">
        <v>5.8</v>
      </c>
      <c r="C540" t="str">
        <f>IF(acs2015_county_data[[#This Row],[Unemployment]]&gt;='Описательные характеристики'!$I$5,"да","нет")</f>
        <v>нет</v>
      </c>
    </row>
    <row r="541" spans="1:3" x14ac:dyDescent="0.35">
      <c r="A541" s="6">
        <v>8292</v>
      </c>
      <c r="B541" s="10">
        <v>10</v>
      </c>
      <c r="C541" t="str">
        <f>IF(acs2015_county_data[[#This Row],[Unemployment]]&gt;='Описательные характеристики'!$I$5,"да","нет")</f>
        <v>да</v>
      </c>
    </row>
    <row r="542" spans="1:3" x14ac:dyDescent="0.35">
      <c r="A542" s="4">
        <v>21718</v>
      </c>
      <c r="B542" s="9">
        <v>6.8</v>
      </c>
      <c r="C542" t="str">
        <f>IF(acs2015_county_data[[#This Row],[Unemployment]]&gt;='Описательные характеристики'!$I$5,"да","нет")</f>
        <v>нет</v>
      </c>
    </row>
    <row r="543" spans="1:3" x14ac:dyDescent="0.35">
      <c r="A543" s="6">
        <v>20353</v>
      </c>
      <c r="B543" s="10">
        <v>10.3</v>
      </c>
      <c r="C543" t="str">
        <f>IF(acs2015_county_data[[#This Row],[Unemployment]]&gt;='Описательные характеристики'!$I$5,"да","нет")</f>
        <v>да</v>
      </c>
    </row>
    <row r="544" spans="1:3" x14ac:dyDescent="0.35">
      <c r="A544" s="4">
        <v>13521</v>
      </c>
      <c r="B544" s="9">
        <v>6.7</v>
      </c>
      <c r="C544" t="str">
        <f>IF(acs2015_county_data[[#This Row],[Unemployment]]&gt;='Описательные характеристики'!$I$5,"да","нет")</f>
        <v>нет</v>
      </c>
    </row>
    <row r="545" spans="1:3" x14ac:dyDescent="0.35">
      <c r="A545" s="6">
        <v>18392</v>
      </c>
      <c r="B545" s="10">
        <v>8.9</v>
      </c>
      <c r="C545" t="str">
        <f>IF(acs2015_county_data[[#This Row],[Unemployment]]&gt;='Описательные характеристики'!$I$5,"да","нет")</f>
        <v>да</v>
      </c>
    </row>
    <row r="546" spans="1:3" x14ac:dyDescent="0.35">
      <c r="A546" s="4">
        <v>18037</v>
      </c>
      <c r="B546" s="9">
        <v>7.3</v>
      </c>
      <c r="C546" t="str">
        <f>IF(acs2015_county_data[[#This Row],[Unemployment]]&gt;='Описательные характеристики'!$I$5,"да","нет")</f>
        <v>нет</v>
      </c>
    </row>
    <row r="547" spans="1:3" x14ac:dyDescent="0.35">
      <c r="A547" s="6">
        <v>18762</v>
      </c>
      <c r="B547" s="10">
        <v>9.8000000000000007</v>
      </c>
      <c r="C547" t="str">
        <f>IF(acs2015_county_data[[#This Row],[Unemployment]]&gt;='Описательные характеристики'!$I$5,"да","нет")</f>
        <v>да</v>
      </c>
    </row>
    <row r="548" spans="1:3" x14ac:dyDescent="0.35">
      <c r="A548" s="4">
        <v>24548</v>
      </c>
      <c r="B548" s="9">
        <v>8.1</v>
      </c>
      <c r="C548" t="str">
        <f>IF(acs2015_county_data[[#This Row],[Unemployment]]&gt;='Описательные характеристики'!$I$5,"да","нет")</f>
        <v>да</v>
      </c>
    </row>
    <row r="549" spans="1:3" x14ac:dyDescent="0.35">
      <c r="A549" s="6">
        <v>31041</v>
      </c>
      <c r="B549" s="10">
        <v>5.6</v>
      </c>
      <c r="C549" t="str">
        <f>IF(acs2015_county_data[[#This Row],[Unemployment]]&gt;='Описательные характеристики'!$I$5,"да","нет")</f>
        <v>нет</v>
      </c>
    </row>
    <row r="550" spans="1:3" x14ac:dyDescent="0.35">
      <c r="A550" s="4">
        <v>46769</v>
      </c>
      <c r="B550" s="9">
        <v>0</v>
      </c>
      <c r="C550" t="str">
        <f>IF(acs2015_county_data[[#This Row],[Unemployment]]&gt;='Описательные характеристики'!$I$5,"да","нет")</f>
        <v>нет</v>
      </c>
    </row>
    <row r="551" spans="1:3" x14ac:dyDescent="0.35">
      <c r="A551" s="6">
        <v>27441</v>
      </c>
      <c r="B551" s="10">
        <v>5.4</v>
      </c>
      <c r="C551" t="str">
        <f>IF(acs2015_county_data[[#This Row],[Unemployment]]&gt;='Описательные характеристики'!$I$5,"да","нет")</f>
        <v>нет</v>
      </c>
    </row>
    <row r="552" spans="1:3" x14ac:dyDescent="0.35">
      <c r="A552" s="4">
        <v>29664</v>
      </c>
      <c r="B552" s="9">
        <v>6.9</v>
      </c>
      <c r="C552" t="str">
        <f>IF(acs2015_county_data[[#This Row],[Unemployment]]&gt;='Описательные характеристики'!$I$5,"да","нет")</f>
        <v>нет</v>
      </c>
    </row>
    <row r="553" spans="1:3" x14ac:dyDescent="0.35">
      <c r="A553" s="6">
        <v>28851</v>
      </c>
      <c r="B553" s="10">
        <v>6.6</v>
      </c>
      <c r="C553" t="str">
        <f>IF(acs2015_county_data[[#This Row],[Unemployment]]&gt;='Описательные характеристики'!$I$5,"да","нет")</f>
        <v>нет</v>
      </c>
    </row>
    <row r="554" spans="1:3" x14ac:dyDescent="0.35">
      <c r="A554" s="4">
        <v>21219</v>
      </c>
      <c r="B554" s="9">
        <v>11.3</v>
      </c>
      <c r="C554" t="str">
        <f>IF(acs2015_county_data[[#This Row],[Unemployment]]&gt;='Описательные характеристики'!$I$5,"да","нет")</f>
        <v>да</v>
      </c>
    </row>
    <row r="555" spans="1:3" x14ac:dyDescent="0.35">
      <c r="A555" s="6">
        <v>21598</v>
      </c>
      <c r="B555" s="10">
        <v>7.2</v>
      </c>
      <c r="C555" t="str">
        <f>IF(acs2015_county_data[[#This Row],[Unemployment]]&gt;='Описательные характеристики'!$I$5,"да","нет")</f>
        <v>нет</v>
      </c>
    </row>
    <row r="556" spans="1:3" x14ac:dyDescent="0.35">
      <c r="A556" s="4">
        <v>22959</v>
      </c>
      <c r="B556" s="9">
        <v>3.3</v>
      </c>
      <c r="C556" t="str">
        <f>IF(acs2015_county_data[[#This Row],[Unemployment]]&gt;='Описательные характеристики'!$I$5,"да","нет")</f>
        <v>нет</v>
      </c>
    </row>
    <row r="557" spans="1:3" x14ac:dyDescent="0.35">
      <c r="A557" s="6">
        <v>20937</v>
      </c>
      <c r="B557" s="10">
        <v>10.1</v>
      </c>
      <c r="C557" t="str">
        <f>IF(acs2015_county_data[[#This Row],[Unemployment]]&gt;='Описательные характеристики'!$I$5,"да","нет")</f>
        <v>да</v>
      </c>
    </row>
    <row r="558" spans="1:3" x14ac:dyDescent="0.35">
      <c r="A558" s="4">
        <v>20164</v>
      </c>
      <c r="B558" s="9">
        <v>7.1</v>
      </c>
      <c r="C558" t="str">
        <f>IF(acs2015_county_data[[#This Row],[Unemployment]]&gt;='Описательные характеристики'!$I$5,"да","нет")</f>
        <v>нет</v>
      </c>
    </row>
    <row r="559" spans="1:3" x14ac:dyDescent="0.35">
      <c r="A559" s="6">
        <v>34208</v>
      </c>
      <c r="B559" s="10">
        <v>4.0999999999999996</v>
      </c>
      <c r="C559" t="str">
        <f>IF(acs2015_county_data[[#This Row],[Unemployment]]&gt;='Описательные характеристики'!$I$5,"да","нет")</f>
        <v>нет</v>
      </c>
    </row>
    <row r="560" spans="1:3" x14ac:dyDescent="0.35">
      <c r="A560" s="4">
        <v>27276</v>
      </c>
      <c r="B560" s="9">
        <v>10.5</v>
      </c>
      <c r="C560" t="str">
        <f>IF(acs2015_county_data[[#This Row],[Unemployment]]&gt;='Описательные характеристики'!$I$5,"да","нет")</f>
        <v>да</v>
      </c>
    </row>
    <row r="561" spans="1:3" x14ac:dyDescent="0.35">
      <c r="A561" s="6">
        <v>23981</v>
      </c>
      <c r="B561" s="10">
        <v>6.2</v>
      </c>
      <c r="C561" t="str">
        <f>IF(acs2015_county_data[[#This Row],[Unemployment]]&gt;='Описательные характеристики'!$I$5,"да","нет")</f>
        <v>нет</v>
      </c>
    </row>
    <row r="562" spans="1:3" x14ac:dyDescent="0.35">
      <c r="A562" s="4">
        <v>23926</v>
      </c>
      <c r="B562" s="9">
        <v>5.6</v>
      </c>
      <c r="C562" t="str">
        <f>IF(acs2015_county_data[[#This Row],[Unemployment]]&gt;='Описательные характеристики'!$I$5,"да","нет")</f>
        <v>нет</v>
      </c>
    </row>
    <row r="563" spans="1:3" x14ac:dyDescent="0.35">
      <c r="A563" s="6">
        <v>20795</v>
      </c>
      <c r="B563" s="10">
        <v>4.7</v>
      </c>
      <c r="C563" t="str">
        <f>IF(acs2015_county_data[[#This Row],[Unemployment]]&gt;='Описательные характеристики'!$I$5,"да","нет")</f>
        <v>нет</v>
      </c>
    </row>
    <row r="564" spans="1:3" x14ac:dyDescent="0.35">
      <c r="A564" s="4">
        <v>21982</v>
      </c>
      <c r="B564" s="9">
        <v>6.8</v>
      </c>
      <c r="C564" t="str">
        <f>IF(acs2015_county_data[[#This Row],[Unemployment]]&gt;='Описательные характеристики'!$I$5,"да","нет")</f>
        <v>нет</v>
      </c>
    </row>
    <row r="565" spans="1:3" x14ac:dyDescent="0.35">
      <c r="A565" s="6">
        <v>24588</v>
      </c>
      <c r="B565" s="10">
        <v>5.8</v>
      </c>
      <c r="C565" t="str">
        <f>IF(acs2015_county_data[[#This Row],[Unemployment]]&gt;='Описательные характеристики'!$I$5,"да","нет")</f>
        <v>нет</v>
      </c>
    </row>
    <row r="566" spans="1:3" x14ac:dyDescent="0.35">
      <c r="A566" s="4">
        <v>17915</v>
      </c>
      <c r="B566" s="9">
        <v>9.4</v>
      </c>
      <c r="C566" t="str">
        <f>IF(acs2015_county_data[[#This Row],[Unemployment]]&gt;='Описательные характеристики'!$I$5,"да","нет")</f>
        <v>да</v>
      </c>
    </row>
    <row r="567" spans="1:3" x14ac:dyDescent="0.35">
      <c r="A567" s="6">
        <v>25172</v>
      </c>
      <c r="B567" s="10">
        <v>1.5</v>
      </c>
      <c r="C567" t="str">
        <f>IF(acs2015_county_data[[#This Row],[Unemployment]]&gt;='Описательные характеристики'!$I$5,"да","нет")</f>
        <v>нет</v>
      </c>
    </row>
    <row r="568" spans="1:3" x14ac:dyDescent="0.35">
      <c r="A568" s="4">
        <v>18227</v>
      </c>
      <c r="B568" s="9">
        <v>5.7</v>
      </c>
      <c r="C568" t="str">
        <f>IF(acs2015_county_data[[#This Row],[Unemployment]]&gt;='Описательные характеристики'!$I$5,"да","нет")</f>
        <v>нет</v>
      </c>
    </row>
    <row r="569" spans="1:3" x14ac:dyDescent="0.35">
      <c r="A569" s="6">
        <v>15151</v>
      </c>
      <c r="B569" s="10">
        <v>3.9</v>
      </c>
      <c r="C569" t="str">
        <f>IF(acs2015_county_data[[#This Row],[Unemployment]]&gt;='Описательные характеристики'!$I$5,"да","нет")</f>
        <v>нет</v>
      </c>
    </row>
    <row r="570" spans="1:3" x14ac:dyDescent="0.35">
      <c r="A570" s="4">
        <v>20079</v>
      </c>
      <c r="B570" s="9">
        <v>7.3</v>
      </c>
      <c r="C570" t="str">
        <f>IF(acs2015_county_data[[#This Row],[Unemployment]]&gt;='Описательные характеристики'!$I$5,"да","нет")</f>
        <v>нет</v>
      </c>
    </row>
    <row r="571" spans="1:3" x14ac:dyDescent="0.35">
      <c r="A571" s="6">
        <v>22861</v>
      </c>
      <c r="B571" s="10">
        <v>3.3</v>
      </c>
      <c r="C571" t="str">
        <f>IF(acs2015_county_data[[#This Row],[Unemployment]]&gt;='Описательные характеристики'!$I$5,"да","нет")</f>
        <v>нет</v>
      </c>
    </row>
    <row r="572" spans="1:3" x14ac:dyDescent="0.35">
      <c r="A572" s="4">
        <v>21326</v>
      </c>
      <c r="B572" s="9">
        <v>8.4</v>
      </c>
      <c r="C572" t="str">
        <f>IF(acs2015_county_data[[#This Row],[Unemployment]]&gt;='Описательные характеристики'!$I$5,"да","нет")</f>
        <v>да</v>
      </c>
    </row>
    <row r="573" spans="1:3" x14ac:dyDescent="0.35">
      <c r="A573" s="6">
        <v>18855</v>
      </c>
      <c r="B573" s="10">
        <v>5</v>
      </c>
      <c r="C573" t="str">
        <f>IF(acs2015_county_data[[#This Row],[Unemployment]]&gt;='Описательные характеристики'!$I$5,"да","нет")</f>
        <v>нет</v>
      </c>
    </row>
    <row r="574" spans="1:3" x14ac:dyDescent="0.35">
      <c r="A574" s="4">
        <v>20302</v>
      </c>
      <c r="B574" s="9">
        <v>6</v>
      </c>
      <c r="C574" t="str">
        <f>IF(acs2015_county_data[[#This Row],[Unemployment]]&gt;='Описательные характеристики'!$I$5,"да","нет")</f>
        <v>нет</v>
      </c>
    </row>
    <row r="575" spans="1:3" x14ac:dyDescent="0.35">
      <c r="A575" s="6">
        <v>19726</v>
      </c>
      <c r="B575" s="10">
        <v>14.2</v>
      </c>
      <c r="C575" t="str">
        <f>IF(acs2015_county_data[[#This Row],[Unemployment]]&gt;='Описательные характеристики'!$I$5,"да","нет")</f>
        <v>да</v>
      </c>
    </row>
    <row r="576" spans="1:3" x14ac:dyDescent="0.35">
      <c r="A576" s="4">
        <v>19688</v>
      </c>
      <c r="B576" s="9">
        <v>3.8</v>
      </c>
      <c r="C576" t="str">
        <f>IF(acs2015_county_data[[#This Row],[Unemployment]]&gt;='Описательные характеристики'!$I$5,"да","нет")</f>
        <v>нет</v>
      </c>
    </row>
    <row r="577" spans="1:3" x14ac:dyDescent="0.35">
      <c r="A577" s="6">
        <v>19611</v>
      </c>
      <c r="B577" s="10">
        <v>6.4</v>
      </c>
      <c r="C577" t="str">
        <f>IF(acs2015_county_data[[#This Row],[Unemployment]]&gt;='Описательные характеристики'!$I$5,"да","нет")</f>
        <v>нет</v>
      </c>
    </row>
    <row r="578" spans="1:3" x14ac:dyDescent="0.35">
      <c r="A578" s="4">
        <v>19501</v>
      </c>
      <c r="B578" s="9">
        <v>6.1</v>
      </c>
      <c r="C578" t="str">
        <f>IF(acs2015_county_data[[#This Row],[Unemployment]]&gt;='Описательные характеристики'!$I$5,"да","нет")</f>
        <v>нет</v>
      </c>
    </row>
    <row r="579" spans="1:3" x14ac:dyDescent="0.35">
      <c r="A579" s="6">
        <v>17708</v>
      </c>
      <c r="B579" s="10">
        <v>6.6</v>
      </c>
      <c r="C579" t="str">
        <f>IF(acs2015_county_data[[#This Row],[Unemployment]]&gt;='Описательные характеристики'!$I$5,"да","нет")</f>
        <v>нет</v>
      </c>
    </row>
    <row r="580" spans="1:3" x14ac:dyDescent="0.35">
      <c r="A580" s="4">
        <v>25744</v>
      </c>
      <c r="B580" s="9">
        <v>7.9</v>
      </c>
      <c r="C580" t="str">
        <f>IF(acs2015_county_data[[#This Row],[Unemployment]]&gt;='Описательные характеристики'!$I$5,"да","нет")</f>
        <v>да</v>
      </c>
    </row>
    <row r="581" spans="1:3" x14ac:dyDescent="0.35">
      <c r="A581" s="6">
        <v>22766</v>
      </c>
      <c r="B581" s="10">
        <v>7.6</v>
      </c>
      <c r="C581" t="str">
        <f>IF(acs2015_county_data[[#This Row],[Unemployment]]&gt;='Описательные характеристики'!$I$5,"да","нет")</f>
        <v>да</v>
      </c>
    </row>
    <row r="582" spans="1:3" x14ac:dyDescent="0.35">
      <c r="A582" s="4">
        <v>22134</v>
      </c>
      <c r="B582" s="9">
        <v>6.1</v>
      </c>
      <c r="C582" t="str">
        <f>IF(acs2015_county_data[[#This Row],[Unemployment]]&gt;='Описательные характеристики'!$I$5,"да","нет")</f>
        <v>нет</v>
      </c>
    </row>
    <row r="583" spans="1:3" x14ac:dyDescent="0.35">
      <c r="A583" s="6">
        <v>21152</v>
      </c>
      <c r="B583" s="10">
        <v>6.5</v>
      </c>
      <c r="C583" t="str">
        <f>IF(acs2015_county_data[[#This Row],[Unemployment]]&gt;='Описательные характеристики'!$I$5,"да","нет")</f>
        <v>нет</v>
      </c>
    </row>
    <row r="584" spans="1:3" x14ac:dyDescent="0.35">
      <c r="A584" s="4">
        <v>17204</v>
      </c>
      <c r="B584" s="9">
        <v>6</v>
      </c>
      <c r="C584" t="str">
        <f>IF(acs2015_county_data[[#This Row],[Unemployment]]&gt;='Описательные характеристики'!$I$5,"да","нет")</f>
        <v>нет</v>
      </c>
    </row>
    <row r="585" spans="1:3" x14ac:dyDescent="0.35">
      <c r="A585" s="6">
        <v>14653</v>
      </c>
      <c r="B585" s="10">
        <v>10.199999999999999</v>
      </c>
      <c r="C585" t="str">
        <f>IF(acs2015_county_data[[#This Row],[Unemployment]]&gt;='Описательные характеристики'!$I$5,"да","нет")</f>
        <v>да</v>
      </c>
    </row>
    <row r="586" spans="1:3" x14ac:dyDescent="0.35">
      <c r="A586" s="4">
        <v>20674</v>
      </c>
      <c r="B586" s="9">
        <v>4.8</v>
      </c>
      <c r="C586" t="str">
        <f>IF(acs2015_county_data[[#This Row],[Unemployment]]&gt;='Описательные характеристики'!$I$5,"да","нет")</f>
        <v>нет</v>
      </c>
    </row>
    <row r="587" spans="1:3" x14ac:dyDescent="0.35">
      <c r="A587" s="6">
        <v>25177</v>
      </c>
      <c r="B587" s="10">
        <v>6.1</v>
      </c>
      <c r="C587" t="str">
        <f>IF(acs2015_county_data[[#This Row],[Unemployment]]&gt;='Описательные характеристики'!$I$5,"да","нет")</f>
        <v>нет</v>
      </c>
    </row>
    <row r="588" spans="1:3" x14ac:dyDescent="0.35">
      <c r="A588" s="4">
        <v>20089</v>
      </c>
      <c r="B588" s="9">
        <v>6.7</v>
      </c>
      <c r="C588" t="str">
        <f>IF(acs2015_county_data[[#This Row],[Unemployment]]&gt;='Описательные характеристики'!$I$5,"да","нет")</f>
        <v>нет</v>
      </c>
    </row>
    <row r="589" spans="1:3" x14ac:dyDescent="0.35">
      <c r="A589" s="6">
        <v>16854</v>
      </c>
      <c r="B589" s="10">
        <v>11.7</v>
      </c>
      <c r="C589" t="str">
        <f>IF(acs2015_county_data[[#This Row],[Unemployment]]&gt;='Описательные характеристики'!$I$5,"да","нет")</f>
        <v>да</v>
      </c>
    </row>
    <row r="590" spans="1:3" x14ac:dyDescent="0.35">
      <c r="A590" s="4">
        <v>20689</v>
      </c>
      <c r="B590" s="9">
        <v>10.1</v>
      </c>
      <c r="C590" t="str">
        <f>IF(acs2015_county_data[[#This Row],[Unemployment]]&gt;='Описательные характеристики'!$I$5,"да","нет")</f>
        <v>да</v>
      </c>
    </row>
    <row r="591" spans="1:3" x14ac:dyDescent="0.35">
      <c r="A591" s="6">
        <v>18877</v>
      </c>
      <c r="B591" s="10">
        <v>9.4</v>
      </c>
      <c r="C591" t="str">
        <f>IF(acs2015_county_data[[#This Row],[Unemployment]]&gt;='Описательные характеристики'!$I$5,"да","нет")</f>
        <v>да</v>
      </c>
    </row>
    <row r="592" spans="1:3" x14ac:dyDescent="0.35">
      <c r="A592" s="4">
        <v>21254</v>
      </c>
      <c r="B592" s="9">
        <v>11.8</v>
      </c>
      <c r="C592" t="str">
        <f>IF(acs2015_county_data[[#This Row],[Unemployment]]&gt;='Описательные характеристики'!$I$5,"да","нет")</f>
        <v>да</v>
      </c>
    </row>
    <row r="593" spans="1:3" x14ac:dyDescent="0.35">
      <c r="A593" s="6">
        <v>24118</v>
      </c>
      <c r="B593" s="10">
        <v>8.5</v>
      </c>
      <c r="C593" t="str">
        <f>IF(acs2015_county_data[[#This Row],[Unemployment]]&gt;='Описательные характеристики'!$I$5,"да","нет")</f>
        <v>да</v>
      </c>
    </row>
    <row r="594" spans="1:3" x14ac:dyDescent="0.35">
      <c r="A594" s="4">
        <v>21553</v>
      </c>
      <c r="B594" s="9">
        <v>5.9</v>
      </c>
      <c r="C594" t="str">
        <f>IF(acs2015_county_data[[#This Row],[Unemployment]]&gt;='Описательные характеристики'!$I$5,"да","нет")</f>
        <v>нет</v>
      </c>
    </row>
    <row r="595" spans="1:3" x14ac:dyDescent="0.35">
      <c r="A595" s="6">
        <v>23962</v>
      </c>
      <c r="B595" s="10">
        <v>5.7</v>
      </c>
      <c r="C595" t="str">
        <f>IF(acs2015_county_data[[#This Row],[Unemployment]]&gt;='Описательные характеристики'!$I$5,"да","нет")</f>
        <v>нет</v>
      </c>
    </row>
    <row r="596" spans="1:3" x14ac:dyDescent="0.35">
      <c r="A596" s="4">
        <v>18343</v>
      </c>
      <c r="B596" s="9">
        <v>9.6999999999999993</v>
      </c>
      <c r="C596" t="str">
        <f>IF(acs2015_county_data[[#This Row],[Unemployment]]&gt;='Описательные характеристики'!$I$5,"да","нет")</f>
        <v>да</v>
      </c>
    </row>
    <row r="597" spans="1:3" x14ac:dyDescent="0.35">
      <c r="A597" s="6">
        <v>24380</v>
      </c>
      <c r="B597" s="10">
        <v>6.8</v>
      </c>
      <c r="C597" t="str">
        <f>IF(acs2015_county_data[[#This Row],[Unemployment]]&gt;='Описательные характеристики'!$I$5,"да","нет")</f>
        <v>нет</v>
      </c>
    </row>
    <row r="598" spans="1:3" x14ac:dyDescent="0.35">
      <c r="A598" s="4">
        <v>14729</v>
      </c>
      <c r="B598" s="9">
        <v>13.9</v>
      </c>
      <c r="C598" t="str">
        <f>IF(acs2015_county_data[[#This Row],[Unemployment]]&gt;='Описательные характеристики'!$I$5,"да","нет")</f>
        <v>да</v>
      </c>
    </row>
    <row r="599" spans="1:3" x14ac:dyDescent="0.35">
      <c r="A599" s="6">
        <v>22867</v>
      </c>
      <c r="B599" s="10">
        <v>6.4</v>
      </c>
      <c r="C599" t="str">
        <f>IF(acs2015_county_data[[#This Row],[Unemployment]]&gt;='Описательные характеристики'!$I$5,"да","нет")</f>
        <v>нет</v>
      </c>
    </row>
    <row r="600" spans="1:3" x14ac:dyDescent="0.35">
      <c r="A600" s="4">
        <v>26170</v>
      </c>
      <c r="B600" s="9">
        <v>9.6999999999999993</v>
      </c>
      <c r="C600" t="str">
        <f>IF(acs2015_county_data[[#This Row],[Unemployment]]&gt;='Описательные характеристики'!$I$5,"да","нет")</f>
        <v>да</v>
      </c>
    </row>
    <row r="601" spans="1:3" x14ac:dyDescent="0.35">
      <c r="A601" s="6">
        <v>21065</v>
      </c>
      <c r="B601" s="10">
        <v>5.4</v>
      </c>
      <c r="C601" t="str">
        <f>IF(acs2015_county_data[[#This Row],[Unemployment]]&gt;='Описательные характеристики'!$I$5,"да","нет")</f>
        <v>нет</v>
      </c>
    </row>
    <row r="602" spans="1:3" x14ac:dyDescent="0.35">
      <c r="A602" s="4">
        <v>27304</v>
      </c>
      <c r="B602" s="9">
        <v>7.6</v>
      </c>
      <c r="C602" t="str">
        <f>IF(acs2015_county_data[[#This Row],[Unemployment]]&gt;='Описательные характеристики'!$I$5,"да","нет")</f>
        <v>да</v>
      </c>
    </row>
    <row r="603" spans="1:3" x14ac:dyDescent="0.35">
      <c r="A603" s="6">
        <v>26407</v>
      </c>
      <c r="B603" s="10">
        <v>5.4</v>
      </c>
      <c r="C603" t="str">
        <f>IF(acs2015_county_data[[#This Row],[Unemployment]]&gt;='Описательные характеристики'!$I$5,"да","нет")</f>
        <v>нет</v>
      </c>
    </row>
    <row r="604" spans="1:3" x14ac:dyDescent="0.35">
      <c r="A604" s="4">
        <v>26493</v>
      </c>
      <c r="B604" s="9">
        <v>8.1</v>
      </c>
      <c r="C604" t="str">
        <f>IF(acs2015_county_data[[#This Row],[Unemployment]]&gt;='Описательные характеристики'!$I$5,"да","нет")</f>
        <v>да</v>
      </c>
    </row>
    <row r="605" spans="1:3" x14ac:dyDescent="0.35">
      <c r="A605" s="6">
        <v>24262</v>
      </c>
      <c r="B605" s="10">
        <v>8.5</v>
      </c>
      <c r="C605" t="str">
        <f>IF(acs2015_county_data[[#This Row],[Unemployment]]&gt;='Описательные характеристики'!$I$5,"да","нет")</f>
        <v>да</v>
      </c>
    </row>
    <row r="606" spans="1:3" x14ac:dyDescent="0.35">
      <c r="A606" s="4">
        <v>26078</v>
      </c>
      <c r="B606" s="9">
        <v>6.5</v>
      </c>
      <c r="C606" t="str">
        <f>IF(acs2015_county_data[[#This Row],[Unemployment]]&gt;='Описательные характеристики'!$I$5,"да","нет")</f>
        <v>нет</v>
      </c>
    </row>
    <row r="607" spans="1:3" x14ac:dyDescent="0.35">
      <c r="A607" s="6">
        <v>23263</v>
      </c>
      <c r="B607" s="10">
        <v>5.4</v>
      </c>
      <c r="C607" t="str">
        <f>IF(acs2015_county_data[[#This Row],[Unemployment]]&gt;='Описательные характеристики'!$I$5,"да","нет")</f>
        <v>нет</v>
      </c>
    </row>
    <row r="608" spans="1:3" x14ac:dyDescent="0.35">
      <c r="A608" s="4">
        <v>25744</v>
      </c>
      <c r="B608" s="9">
        <v>8.5</v>
      </c>
      <c r="C608" t="str">
        <f>IF(acs2015_county_data[[#This Row],[Unemployment]]&gt;='Описательные характеристики'!$I$5,"да","нет")</f>
        <v>да</v>
      </c>
    </row>
    <row r="609" spans="1:3" x14ac:dyDescent="0.35">
      <c r="A609" s="6">
        <v>22797</v>
      </c>
      <c r="B609" s="10">
        <v>6.7</v>
      </c>
      <c r="C609" t="str">
        <f>IF(acs2015_county_data[[#This Row],[Unemployment]]&gt;='Описательные характеристики'!$I$5,"да","нет")</f>
        <v>нет</v>
      </c>
    </row>
    <row r="610" spans="1:3" x14ac:dyDescent="0.35">
      <c r="A610" s="4">
        <v>28839</v>
      </c>
      <c r="B610" s="9">
        <v>4.9000000000000004</v>
      </c>
      <c r="C610" t="str">
        <f>IF(acs2015_county_data[[#This Row],[Unemployment]]&gt;='Описательные характеристики'!$I$5,"да","нет")</f>
        <v>нет</v>
      </c>
    </row>
    <row r="611" spans="1:3" x14ac:dyDescent="0.35">
      <c r="A611" s="6">
        <v>23525</v>
      </c>
      <c r="B611" s="10">
        <v>9.6999999999999993</v>
      </c>
      <c r="C611" t="str">
        <f>IF(acs2015_county_data[[#This Row],[Unemployment]]&gt;='Описательные характеристики'!$I$5,"да","нет")</f>
        <v>да</v>
      </c>
    </row>
    <row r="612" spans="1:3" x14ac:dyDescent="0.35">
      <c r="A612" s="4">
        <v>31013</v>
      </c>
      <c r="B612" s="9">
        <v>10.7</v>
      </c>
      <c r="C612" t="str">
        <f>IF(acs2015_county_data[[#This Row],[Unemployment]]&gt;='Описательные характеристики'!$I$5,"да","нет")</f>
        <v>да</v>
      </c>
    </row>
    <row r="613" spans="1:3" x14ac:dyDescent="0.35">
      <c r="A613" s="6">
        <v>26351</v>
      </c>
      <c r="B613" s="10">
        <v>6.8</v>
      </c>
      <c r="C613" t="str">
        <f>IF(acs2015_county_data[[#This Row],[Unemployment]]&gt;='Описательные характеристики'!$I$5,"да","нет")</f>
        <v>нет</v>
      </c>
    </row>
    <row r="614" spans="1:3" x14ac:dyDescent="0.35">
      <c r="A614" s="4">
        <v>22596</v>
      </c>
      <c r="B614" s="9">
        <v>7.4</v>
      </c>
      <c r="C614" t="str">
        <f>IF(acs2015_county_data[[#This Row],[Unemployment]]&gt;='Описательные характеристики'!$I$5,"да","нет")</f>
        <v>нет</v>
      </c>
    </row>
    <row r="615" spans="1:3" x14ac:dyDescent="0.35">
      <c r="A615" s="6">
        <v>24025</v>
      </c>
      <c r="B615" s="10">
        <v>10.4</v>
      </c>
      <c r="C615" t="str">
        <f>IF(acs2015_county_data[[#This Row],[Unemployment]]&gt;='Описательные характеристики'!$I$5,"да","нет")</f>
        <v>да</v>
      </c>
    </row>
    <row r="616" spans="1:3" x14ac:dyDescent="0.35">
      <c r="A616" s="4">
        <v>29100</v>
      </c>
      <c r="B616" s="9">
        <v>7.7</v>
      </c>
      <c r="C616" t="str">
        <f>IF(acs2015_county_data[[#This Row],[Unemployment]]&gt;='Описательные характеристики'!$I$5,"да","нет")</f>
        <v>да</v>
      </c>
    </row>
    <row r="617" spans="1:3" x14ac:dyDescent="0.35">
      <c r="A617" s="6">
        <v>25455</v>
      </c>
      <c r="B617" s="10">
        <v>6.1</v>
      </c>
      <c r="C617" t="str">
        <f>IF(acs2015_county_data[[#This Row],[Unemployment]]&gt;='Описательные характеристики'!$I$5,"да","нет")</f>
        <v>нет</v>
      </c>
    </row>
    <row r="618" spans="1:3" x14ac:dyDescent="0.35">
      <c r="A618" s="4">
        <v>39336</v>
      </c>
      <c r="B618" s="9">
        <v>7</v>
      </c>
      <c r="C618" t="str">
        <f>IF(acs2015_county_data[[#This Row],[Unemployment]]&gt;='Описательные характеристики'!$I$5,"да","нет")</f>
        <v>нет</v>
      </c>
    </row>
    <row r="619" spans="1:3" x14ac:dyDescent="0.35">
      <c r="A619" s="6">
        <v>25389</v>
      </c>
      <c r="B619" s="10">
        <v>9.6</v>
      </c>
      <c r="C619" t="str">
        <f>IF(acs2015_county_data[[#This Row],[Unemployment]]&gt;='Описательные характеристики'!$I$5,"да","нет")</f>
        <v>да</v>
      </c>
    </row>
    <row r="620" spans="1:3" x14ac:dyDescent="0.35">
      <c r="A620" s="4">
        <v>22885</v>
      </c>
      <c r="B620" s="9">
        <v>8.3000000000000007</v>
      </c>
      <c r="C620" t="str">
        <f>IF(acs2015_county_data[[#This Row],[Unemployment]]&gt;='Описательные характеристики'!$I$5,"да","нет")</f>
        <v>да</v>
      </c>
    </row>
    <row r="621" spans="1:3" x14ac:dyDescent="0.35">
      <c r="A621" s="6">
        <v>26775</v>
      </c>
      <c r="B621" s="10">
        <v>5.4</v>
      </c>
      <c r="C621" t="str">
        <f>IF(acs2015_county_data[[#This Row],[Unemployment]]&gt;='Описательные характеристики'!$I$5,"да","нет")</f>
        <v>нет</v>
      </c>
    </row>
    <row r="622" spans="1:3" x14ac:dyDescent="0.35">
      <c r="A622" s="4">
        <v>21472</v>
      </c>
      <c r="B622" s="9">
        <v>10.4</v>
      </c>
      <c r="C622" t="str">
        <f>IF(acs2015_county_data[[#This Row],[Unemployment]]&gt;='Описательные характеристики'!$I$5,"да","нет")</f>
        <v>да</v>
      </c>
    </row>
    <row r="623" spans="1:3" x14ac:dyDescent="0.35">
      <c r="A623" s="6">
        <v>26010</v>
      </c>
      <c r="B623" s="10">
        <v>8.6</v>
      </c>
      <c r="C623" t="str">
        <f>IF(acs2015_county_data[[#This Row],[Unemployment]]&gt;='Описательные характеристики'!$I$5,"да","нет")</f>
        <v>да</v>
      </c>
    </row>
    <row r="624" spans="1:3" x14ac:dyDescent="0.35">
      <c r="A624" s="4">
        <v>21625</v>
      </c>
      <c r="B624" s="9">
        <v>10</v>
      </c>
      <c r="C624" t="str">
        <f>IF(acs2015_county_data[[#This Row],[Unemployment]]&gt;='Описательные характеристики'!$I$5,"да","нет")</f>
        <v>да</v>
      </c>
    </row>
    <row r="625" spans="1:3" x14ac:dyDescent="0.35">
      <c r="A625" s="6">
        <v>22651</v>
      </c>
      <c r="B625" s="10">
        <v>7.9</v>
      </c>
      <c r="C625" t="str">
        <f>IF(acs2015_county_data[[#This Row],[Unemployment]]&gt;='Описательные характеристики'!$I$5,"да","нет")</f>
        <v>да</v>
      </c>
    </row>
    <row r="626" spans="1:3" x14ac:dyDescent="0.35">
      <c r="A626" s="4">
        <v>22125</v>
      </c>
      <c r="B626" s="9">
        <v>7.5</v>
      </c>
      <c r="C626" t="str">
        <f>IF(acs2015_county_data[[#This Row],[Unemployment]]&gt;='Описательные характеристики'!$I$5,"да","нет")</f>
        <v>нет</v>
      </c>
    </row>
    <row r="627" spans="1:3" x14ac:dyDescent="0.35">
      <c r="A627" s="6">
        <v>22105</v>
      </c>
      <c r="B627" s="10">
        <v>9.4</v>
      </c>
      <c r="C627" t="str">
        <f>IF(acs2015_county_data[[#This Row],[Unemployment]]&gt;='Описательные характеристики'!$I$5,"да","нет")</f>
        <v>да</v>
      </c>
    </row>
    <row r="628" spans="1:3" x14ac:dyDescent="0.35">
      <c r="A628" s="4">
        <v>29622</v>
      </c>
      <c r="B628" s="9">
        <v>7.8</v>
      </c>
      <c r="C628" t="str">
        <f>IF(acs2015_county_data[[#This Row],[Unemployment]]&gt;='Описательные характеристики'!$I$5,"да","нет")</f>
        <v>да</v>
      </c>
    </row>
    <row r="629" spans="1:3" x14ac:dyDescent="0.35">
      <c r="A629" s="6">
        <v>24110</v>
      </c>
      <c r="B629" s="10">
        <v>4.5</v>
      </c>
      <c r="C629" t="str">
        <f>IF(acs2015_county_data[[#This Row],[Unemployment]]&gt;='Описательные характеристики'!$I$5,"да","нет")</f>
        <v>нет</v>
      </c>
    </row>
    <row r="630" spans="1:3" x14ac:dyDescent="0.35">
      <c r="A630" s="4">
        <v>25085</v>
      </c>
      <c r="B630" s="9">
        <v>6.8</v>
      </c>
      <c r="C630" t="str">
        <f>IF(acs2015_county_data[[#This Row],[Unemployment]]&gt;='Описательные характеристики'!$I$5,"да","нет")</f>
        <v>нет</v>
      </c>
    </row>
    <row r="631" spans="1:3" x14ac:dyDescent="0.35">
      <c r="A631" s="6">
        <v>21415</v>
      </c>
      <c r="B631" s="10">
        <v>18.100000000000001</v>
      </c>
      <c r="C631" t="str">
        <f>IF(acs2015_county_data[[#This Row],[Unemployment]]&gt;='Описательные характеристики'!$I$5,"да","нет")</f>
        <v>да</v>
      </c>
    </row>
    <row r="632" spans="1:3" x14ac:dyDescent="0.35">
      <c r="A632" s="4">
        <v>26603</v>
      </c>
      <c r="B632" s="9">
        <v>7</v>
      </c>
      <c r="C632" t="str">
        <f>IF(acs2015_county_data[[#This Row],[Unemployment]]&gt;='Описательные характеристики'!$I$5,"да","нет")</f>
        <v>нет</v>
      </c>
    </row>
    <row r="633" spans="1:3" x14ac:dyDescent="0.35">
      <c r="A633" s="6">
        <v>27402</v>
      </c>
      <c r="B633" s="10">
        <v>5.8</v>
      </c>
      <c r="C633" t="str">
        <f>IF(acs2015_county_data[[#This Row],[Unemployment]]&gt;='Описательные характеристики'!$I$5,"да","нет")</f>
        <v>нет</v>
      </c>
    </row>
    <row r="634" spans="1:3" x14ac:dyDescent="0.35">
      <c r="A634" s="4">
        <v>25565</v>
      </c>
      <c r="B634" s="9">
        <v>7.5</v>
      </c>
      <c r="C634" t="str">
        <f>IF(acs2015_county_data[[#This Row],[Unemployment]]&gt;='Описательные характеристики'!$I$5,"да","нет")</f>
        <v>нет</v>
      </c>
    </row>
    <row r="635" spans="1:3" x14ac:dyDescent="0.35">
      <c r="A635" s="6">
        <v>21147</v>
      </c>
      <c r="B635" s="10">
        <v>10.4</v>
      </c>
      <c r="C635" t="str">
        <f>IF(acs2015_county_data[[#This Row],[Unemployment]]&gt;='Описательные характеристики'!$I$5,"да","нет")</f>
        <v>да</v>
      </c>
    </row>
    <row r="636" spans="1:3" x14ac:dyDescent="0.35">
      <c r="A636" s="4">
        <v>25303</v>
      </c>
      <c r="B636" s="9">
        <v>5.5</v>
      </c>
      <c r="C636" t="str">
        <f>IF(acs2015_county_data[[#This Row],[Unemployment]]&gt;='Описательные характеристики'!$I$5,"да","нет")</f>
        <v>нет</v>
      </c>
    </row>
    <row r="637" spans="1:3" x14ac:dyDescent="0.35">
      <c r="A637" s="6">
        <v>22975</v>
      </c>
      <c r="B637" s="10">
        <v>9.1999999999999993</v>
      </c>
      <c r="C637" t="str">
        <f>IF(acs2015_county_data[[#This Row],[Unemployment]]&gt;='Описательные характеристики'!$I$5,"да","нет")</f>
        <v>да</v>
      </c>
    </row>
    <row r="638" spans="1:3" x14ac:dyDescent="0.35">
      <c r="A638" s="4">
        <v>25901</v>
      </c>
      <c r="B638" s="9">
        <v>8</v>
      </c>
      <c r="C638" t="str">
        <f>IF(acs2015_county_data[[#This Row],[Unemployment]]&gt;='Описательные характеристики'!$I$5,"да","нет")</f>
        <v>да</v>
      </c>
    </row>
    <row r="639" spans="1:3" x14ac:dyDescent="0.35">
      <c r="A639" s="6">
        <v>29362</v>
      </c>
      <c r="B639" s="10">
        <v>5.6</v>
      </c>
      <c r="C639" t="str">
        <f>IF(acs2015_county_data[[#This Row],[Unemployment]]&gt;='Описательные характеристики'!$I$5,"да","нет")</f>
        <v>нет</v>
      </c>
    </row>
    <row r="640" spans="1:3" x14ac:dyDescent="0.35">
      <c r="A640" s="4">
        <v>20014</v>
      </c>
      <c r="B640" s="9">
        <v>10.3</v>
      </c>
      <c r="C640" t="str">
        <f>IF(acs2015_county_data[[#This Row],[Unemployment]]&gt;='Описательные характеристики'!$I$5,"да","нет")</f>
        <v>да</v>
      </c>
    </row>
    <row r="641" spans="1:3" x14ac:dyDescent="0.35">
      <c r="A641" s="6">
        <v>31056</v>
      </c>
      <c r="B641" s="10">
        <v>7.6</v>
      </c>
      <c r="C641" t="str">
        <f>IF(acs2015_county_data[[#This Row],[Unemployment]]&gt;='Описательные характеристики'!$I$5,"да","нет")</f>
        <v>да</v>
      </c>
    </row>
    <row r="642" spans="1:3" x14ac:dyDescent="0.35">
      <c r="A642" s="4">
        <v>24449</v>
      </c>
      <c r="B642" s="9">
        <v>9.8000000000000007</v>
      </c>
      <c r="C642" t="str">
        <f>IF(acs2015_county_data[[#This Row],[Unemployment]]&gt;='Описательные характеристики'!$I$5,"да","нет")</f>
        <v>да</v>
      </c>
    </row>
    <row r="643" spans="1:3" x14ac:dyDescent="0.35">
      <c r="A643" s="6">
        <v>31053</v>
      </c>
      <c r="B643" s="10">
        <v>6</v>
      </c>
      <c r="C643" t="str">
        <f>IF(acs2015_county_data[[#This Row],[Unemployment]]&gt;='Описательные характеристики'!$I$5,"да","нет")</f>
        <v>нет</v>
      </c>
    </row>
    <row r="644" spans="1:3" x14ac:dyDescent="0.35">
      <c r="A644" s="4">
        <v>22241</v>
      </c>
      <c r="B644" s="9">
        <v>7.4</v>
      </c>
      <c r="C644" t="str">
        <f>IF(acs2015_county_data[[#This Row],[Unemployment]]&gt;='Описательные характеристики'!$I$5,"да","нет")</f>
        <v>нет</v>
      </c>
    </row>
    <row r="645" spans="1:3" x14ac:dyDescent="0.35">
      <c r="A645" s="6">
        <v>39299</v>
      </c>
      <c r="B645" s="10">
        <v>7.9</v>
      </c>
      <c r="C645" t="str">
        <f>IF(acs2015_county_data[[#This Row],[Unemployment]]&gt;='Описательные характеристики'!$I$5,"да","нет")</f>
        <v>да</v>
      </c>
    </row>
    <row r="646" spans="1:3" x14ac:dyDescent="0.35">
      <c r="A646" s="4">
        <v>25755</v>
      </c>
      <c r="B646" s="9">
        <v>9.8000000000000007</v>
      </c>
      <c r="C646" t="str">
        <f>IF(acs2015_county_data[[#This Row],[Unemployment]]&gt;='Описательные характеристики'!$I$5,"да","нет")</f>
        <v>да</v>
      </c>
    </row>
    <row r="647" spans="1:3" x14ac:dyDescent="0.35">
      <c r="A647" s="6">
        <v>14468</v>
      </c>
      <c r="B647" s="10">
        <v>6.1</v>
      </c>
      <c r="C647" t="str">
        <f>IF(acs2015_county_data[[#This Row],[Unemployment]]&gt;='Описательные характеристики'!$I$5,"да","нет")</f>
        <v>нет</v>
      </c>
    </row>
    <row r="648" spans="1:3" x14ac:dyDescent="0.35">
      <c r="A648" s="4">
        <v>25363</v>
      </c>
      <c r="B648" s="9">
        <v>7.5</v>
      </c>
      <c r="C648" t="str">
        <f>IF(acs2015_county_data[[#This Row],[Unemployment]]&gt;='Описательные характеристики'!$I$5,"да","нет")</f>
        <v>нет</v>
      </c>
    </row>
    <row r="649" spans="1:3" x14ac:dyDescent="0.35">
      <c r="A649" s="6">
        <v>25769</v>
      </c>
      <c r="B649" s="10">
        <v>6.3</v>
      </c>
      <c r="C649" t="str">
        <f>IF(acs2015_county_data[[#This Row],[Unemployment]]&gt;='Описательные характеристики'!$I$5,"да","нет")</f>
        <v>нет</v>
      </c>
    </row>
    <row r="650" spans="1:3" x14ac:dyDescent="0.35">
      <c r="A650" s="4">
        <v>21786</v>
      </c>
      <c r="B650" s="9">
        <v>7.8</v>
      </c>
      <c r="C650" t="str">
        <f>IF(acs2015_county_data[[#This Row],[Unemployment]]&gt;='Описательные характеристики'!$I$5,"да","нет")</f>
        <v>да</v>
      </c>
    </row>
    <row r="651" spans="1:3" x14ac:dyDescent="0.35">
      <c r="A651" s="6">
        <v>21664</v>
      </c>
      <c r="B651" s="10">
        <v>9.4</v>
      </c>
      <c r="C651" t="str">
        <f>IF(acs2015_county_data[[#This Row],[Unemployment]]&gt;='Описательные характеристики'!$I$5,"да","нет")</f>
        <v>да</v>
      </c>
    </row>
    <row r="652" spans="1:3" x14ac:dyDescent="0.35">
      <c r="A652" s="4">
        <v>33735</v>
      </c>
      <c r="B652" s="9">
        <v>8</v>
      </c>
      <c r="C652" t="str">
        <f>IF(acs2015_county_data[[#This Row],[Unemployment]]&gt;='Описательные характеристики'!$I$5,"да","нет")</f>
        <v>да</v>
      </c>
    </row>
    <row r="653" spans="1:3" x14ac:dyDescent="0.35">
      <c r="A653" s="6">
        <v>31305</v>
      </c>
      <c r="B653" s="10">
        <v>5.5</v>
      </c>
      <c r="C653" t="str">
        <f>IF(acs2015_county_data[[#This Row],[Unemployment]]&gt;='Описательные характеристики'!$I$5,"да","нет")</f>
        <v>нет</v>
      </c>
    </row>
    <row r="654" spans="1:3" x14ac:dyDescent="0.35">
      <c r="A654" s="4">
        <v>26895</v>
      </c>
      <c r="B654" s="9">
        <v>10.5</v>
      </c>
      <c r="C654" t="str">
        <f>IF(acs2015_county_data[[#This Row],[Unemployment]]&gt;='Описательные характеристики'!$I$5,"да","нет")</f>
        <v>да</v>
      </c>
    </row>
    <row r="655" spans="1:3" x14ac:dyDescent="0.35">
      <c r="A655" s="6">
        <v>25962</v>
      </c>
      <c r="B655" s="10">
        <v>9.6</v>
      </c>
      <c r="C655" t="str">
        <f>IF(acs2015_county_data[[#This Row],[Unemployment]]&gt;='Описательные характеристики'!$I$5,"да","нет")</f>
        <v>да</v>
      </c>
    </row>
    <row r="656" spans="1:3" x14ac:dyDescent="0.35">
      <c r="A656" s="4">
        <v>28337</v>
      </c>
      <c r="B656" s="9">
        <v>8.9</v>
      </c>
      <c r="C656" t="str">
        <f>IF(acs2015_county_data[[#This Row],[Unemployment]]&gt;='Описательные характеристики'!$I$5,"да","нет")</f>
        <v>да</v>
      </c>
    </row>
    <row r="657" spans="1:3" x14ac:dyDescent="0.35">
      <c r="A657" s="6">
        <v>22808</v>
      </c>
      <c r="B657" s="10">
        <v>9.6</v>
      </c>
      <c r="C657" t="str">
        <f>IF(acs2015_county_data[[#This Row],[Unemployment]]&gt;='Описательные характеристики'!$I$5,"да","нет")</f>
        <v>да</v>
      </c>
    </row>
    <row r="658" spans="1:3" x14ac:dyDescent="0.35">
      <c r="A658" s="4">
        <v>27739</v>
      </c>
      <c r="B658" s="9">
        <v>6.5</v>
      </c>
      <c r="C658" t="str">
        <f>IF(acs2015_county_data[[#This Row],[Unemployment]]&gt;='Описательные характеристики'!$I$5,"да","нет")</f>
        <v>нет</v>
      </c>
    </row>
    <row r="659" spans="1:3" x14ac:dyDescent="0.35">
      <c r="A659" s="6">
        <v>24173</v>
      </c>
      <c r="B659" s="10">
        <v>9.5</v>
      </c>
      <c r="C659" t="str">
        <f>IF(acs2015_county_data[[#This Row],[Unemployment]]&gt;='Описательные характеристики'!$I$5,"да","нет")</f>
        <v>да</v>
      </c>
    </row>
    <row r="660" spans="1:3" x14ac:dyDescent="0.35">
      <c r="A660" s="4">
        <v>22927</v>
      </c>
      <c r="B660" s="9">
        <v>8.8000000000000007</v>
      </c>
      <c r="C660" t="str">
        <f>IF(acs2015_county_data[[#This Row],[Unemployment]]&gt;='Описательные характеристики'!$I$5,"да","нет")</f>
        <v>да</v>
      </c>
    </row>
    <row r="661" spans="1:3" x14ac:dyDescent="0.35">
      <c r="A661" s="6">
        <v>30578</v>
      </c>
      <c r="B661" s="10">
        <v>5.7</v>
      </c>
      <c r="C661" t="str">
        <f>IF(acs2015_county_data[[#This Row],[Unemployment]]&gt;='Описательные характеристики'!$I$5,"да","нет")</f>
        <v>нет</v>
      </c>
    </row>
    <row r="662" spans="1:3" x14ac:dyDescent="0.35">
      <c r="A662" s="4">
        <v>26823</v>
      </c>
      <c r="B662" s="9">
        <v>6.2</v>
      </c>
      <c r="C662" t="str">
        <f>IF(acs2015_county_data[[#This Row],[Unemployment]]&gt;='Описательные характеристики'!$I$5,"да","нет")</f>
        <v>нет</v>
      </c>
    </row>
    <row r="663" spans="1:3" x14ac:dyDescent="0.35">
      <c r="A663" s="6">
        <v>32889</v>
      </c>
      <c r="B663" s="10">
        <v>5.2</v>
      </c>
      <c r="C663" t="str">
        <f>IF(acs2015_county_data[[#This Row],[Unemployment]]&gt;='Описательные характеристики'!$I$5,"да","нет")</f>
        <v>нет</v>
      </c>
    </row>
    <row r="664" spans="1:3" x14ac:dyDescent="0.35">
      <c r="A664" s="4">
        <v>19866</v>
      </c>
      <c r="B664" s="9">
        <v>5.4</v>
      </c>
      <c r="C664" t="str">
        <f>IF(acs2015_county_data[[#This Row],[Unemployment]]&gt;='Описательные характеристики'!$I$5,"да","нет")</f>
        <v>нет</v>
      </c>
    </row>
    <row r="665" spans="1:3" x14ac:dyDescent="0.35">
      <c r="A665" s="6">
        <v>24586</v>
      </c>
      <c r="B665" s="10">
        <v>8.3000000000000007</v>
      </c>
      <c r="C665" t="str">
        <f>IF(acs2015_county_data[[#This Row],[Unemployment]]&gt;='Описательные характеристики'!$I$5,"да","нет")</f>
        <v>да</v>
      </c>
    </row>
    <row r="666" spans="1:3" x14ac:dyDescent="0.35">
      <c r="A666" s="4">
        <v>25053</v>
      </c>
      <c r="B666" s="9">
        <v>4.9000000000000004</v>
      </c>
      <c r="C666" t="str">
        <f>IF(acs2015_county_data[[#This Row],[Unemployment]]&gt;='Описательные характеристики'!$I$5,"да","нет")</f>
        <v>нет</v>
      </c>
    </row>
    <row r="667" spans="1:3" x14ac:dyDescent="0.35">
      <c r="A667" s="6">
        <v>27451</v>
      </c>
      <c r="B667" s="10">
        <v>8</v>
      </c>
      <c r="C667" t="str">
        <f>IF(acs2015_county_data[[#This Row],[Unemployment]]&gt;='Описательные характеристики'!$I$5,"да","нет")</f>
        <v>да</v>
      </c>
    </row>
    <row r="668" spans="1:3" x14ac:dyDescent="0.35">
      <c r="A668" s="4">
        <v>28610</v>
      </c>
      <c r="B668" s="9">
        <v>8.6999999999999993</v>
      </c>
      <c r="C668" t="str">
        <f>IF(acs2015_county_data[[#This Row],[Unemployment]]&gt;='Описательные характеристики'!$I$5,"да","нет")</f>
        <v>да</v>
      </c>
    </row>
    <row r="669" spans="1:3" x14ac:dyDescent="0.35">
      <c r="A669" s="6">
        <v>21720</v>
      </c>
      <c r="B669" s="10">
        <v>8</v>
      </c>
      <c r="C669" t="str">
        <f>IF(acs2015_county_data[[#This Row],[Unemployment]]&gt;='Описательные характеристики'!$I$5,"да","нет")</f>
        <v>да</v>
      </c>
    </row>
    <row r="670" spans="1:3" x14ac:dyDescent="0.35">
      <c r="A670" s="4">
        <v>32724</v>
      </c>
      <c r="B670" s="9">
        <v>6.3</v>
      </c>
      <c r="C670" t="str">
        <f>IF(acs2015_county_data[[#This Row],[Unemployment]]&gt;='Описательные характеристики'!$I$5,"да","нет")</f>
        <v>нет</v>
      </c>
    </row>
    <row r="671" spans="1:3" x14ac:dyDescent="0.35">
      <c r="A671" s="6">
        <v>21594</v>
      </c>
      <c r="B671" s="10">
        <v>5.6</v>
      </c>
      <c r="C671" t="str">
        <f>IF(acs2015_county_data[[#This Row],[Unemployment]]&gt;='Описательные характеристики'!$I$5,"да","нет")</f>
        <v>нет</v>
      </c>
    </row>
    <row r="672" spans="1:3" x14ac:dyDescent="0.35">
      <c r="A672" s="4">
        <v>21131</v>
      </c>
      <c r="B672" s="9">
        <v>10</v>
      </c>
      <c r="C672" t="str">
        <f>IF(acs2015_county_data[[#This Row],[Unemployment]]&gt;='Описательные характеристики'!$I$5,"да","нет")</f>
        <v>да</v>
      </c>
    </row>
    <row r="673" spans="1:3" x14ac:dyDescent="0.35">
      <c r="A673" s="6">
        <v>18923</v>
      </c>
      <c r="B673" s="10">
        <v>16.2</v>
      </c>
      <c r="C673" t="str">
        <f>IF(acs2015_county_data[[#This Row],[Unemployment]]&gt;='Описательные характеристики'!$I$5,"да","нет")</f>
        <v>да</v>
      </c>
    </row>
    <row r="674" spans="1:3" x14ac:dyDescent="0.35">
      <c r="A674" s="4">
        <v>29918</v>
      </c>
      <c r="B674" s="9">
        <v>9.9</v>
      </c>
      <c r="C674" t="str">
        <f>IF(acs2015_county_data[[#This Row],[Unemployment]]&gt;='Описательные характеристики'!$I$5,"да","нет")</f>
        <v>да</v>
      </c>
    </row>
    <row r="675" spans="1:3" x14ac:dyDescent="0.35">
      <c r="A675" s="6">
        <v>22895</v>
      </c>
      <c r="B675" s="10">
        <v>6.7</v>
      </c>
      <c r="C675" t="str">
        <f>IF(acs2015_county_data[[#This Row],[Unemployment]]&gt;='Описательные характеристики'!$I$5,"да","нет")</f>
        <v>нет</v>
      </c>
    </row>
    <row r="676" spans="1:3" x14ac:dyDescent="0.35">
      <c r="A676" s="4">
        <v>23498</v>
      </c>
      <c r="B676" s="9">
        <v>5.4</v>
      </c>
      <c r="C676" t="str">
        <f>IF(acs2015_county_data[[#This Row],[Unemployment]]&gt;='Описательные характеристики'!$I$5,"да","нет")</f>
        <v>нет</v>
      </c>
    </row>
    <row r="677" spans="1:3" x14ac:dyDescent="0.35">
      <c r="A677" s="6">
        <v>26391</v>
      </c>
      <c r="B677" s="10">
        <v>7.9</v>
      </c>
      <c r="C677" t="str">
        <f>IF(acs2015_county_data[[#This Row],[Unemployment]]&gt;='Описательные характеристики'!$I$5,"да","нет")</f>
        <v>да</v>
      </c>
    </row>
    <row r="678" spans="1:3" x14ac:dyDescent="0.35">
      <c r="A678" s="4">
        <v>26738</v>
      </c>
      <c r="B678" s="9">
        <v>8.9</v>
      </c>
      <c r="C678" t="str">
        <f>IF(acs2015_county_data[[#This Row],[Unemployment]]&gt;='Описательные характеристики'!$I$5,"да","нет")</f>
        <v>да</v>
      </c>
    </row>
    <row r="679" spans="1:3" x14ac:dyDescent="0.35">
      <c r="A679" s="6">
        <v>21175</v>
      </c>
      <c r="B679" s="10">
        <v>13</v>
      </c>
      <c r="C679" t="str">
        <f>IF(acs2015_county_data[[#This Row],[Unemployment]]&gt;='Описательные характеристики'!$I$5,"да","нет")</f>
        <v>да</v>
      </c>
    </row>
    <row r="680" spans="1:3" x14ac:dyDescent="0.35">
      <c r="A680" s="4">
        <v>31024</v>
      </c>
      <c r="B680" s="9">
        <v>7.9</v>
      </c>
      <c r="C680" t="str">
        <f>IF(acs2015_county_data[[#This Row],[Unemployment]]&gt;='Описательные характеристики'!$I$5,"да","нет")</f>
        <v>да</v>
      </c>
    </row>
    <row r="681" spans="1:3" x14ac:dyDescent="0.35">
      <c r="A681" s="6">
        <v>24077</v>
      </c>
      <c r="B681" s="10">
        <v>5.3</v>
      </c>
      <c r="C681" t="str">
        <f>IF(acs2015_county_data[[#This Row],[Unemployment]]&gt;='Описательные характеристики'!$I$5,"да","нет")</f>
        <v>нет</v>
      </c>
    </row>
    <row r="682" spans="1:3" x14ac:dyDescent="0.35">
      <c r="A682" s="4">
        <v>24978</v>
      </c>
      <c r="B682" s="9">
        <v>9.4</v>
      </c>
      <c r="C682" t="str">
        <f>IF(acs2015_county_data[[#This Row],[Unemployment]]&gt;='Описательные характеристики'!$I$5,"да","нет")</f>
        <v>да</v>
      </c>
    </row>
    <row r="683" spans="1:3" x14ac:dyDescent="0.35">
      <c r="A683" s="6">
        <v>23697</v>
      </c>
      <c r="B683" s="10">
        <v>6.2</v>
      </c>
      <c r="C683" t="str">
        <f>IF(acs2015_county_data[[#This Row],[Unemployment]]&gt;='Описательные характеристики'!$I$5,"да","нет")</f>
        <v>нет</v>
      </c>
    </row>
    <row r="684" spans="1:3" x14ac:dyDescent="0.35">
      <c r="A684" s="4">
        <v>27148</v>
      </c>
      <c r="B684" s="9">
        <v>7.7</v>
      </c>
      <c r="C684" t="str">
        <f>IF(acs2015_county_data[[#This Row],[Unemployment]]&gt;='Описательные характеристики'!$I$5,"да","нет")</f>
        <v>да</v>
      </c>
    </row>
    <row r="685" spans="1:3" x14ac:dyDescent="0.35">
      <c r="A685" s="6">
        <v>24253</v>
      </c>
      <c r="B685" s="10">
        <v>9.9</v>
      </c>
      <c r="C685" t="str">
        <f>IF(acs2015_county_data[[#This Row],[Unemployment]]&gt;='Описательные характеристики'!$I$5,"да","нет")</f>
        <v>да</v>
      </c>
    </row>
    <row r="686" spans="1:3" x14ac:dyDescent="0.35">
      <c r="A686" s="4">
        <v>29718</v>
      </c>
      <c r="B686" s="9">
        <v>5.5</v>
      </c>
      <c r="C686" t="str">
        <f>IF(acs2015_county_data[[#This Row],[Unemployment]]&gt;='Описательные характеристики'!$I$5,"да","нет")</f>
        <v>нет</v>
      </c>
    </row>
    <row r="687" spans="1:3" x14ac:dyDescent="0.35">
      <c r="A687" s="6">
        <v>23140</v>
      </c>
      <c r="B687" s="10">
        <v>7</v>
      </c>
      <c r="C687" t="str">
        <f>IF(acs2015_county_data[[#This Row],[Unemployment]]&gt;='Описательные характеристики'!$I$5,"да","нет")</f>
        <v>нет</v>
      </c>
    </row>
    <row r="688" spans="1:3" x14ac:dyDescent="0.35">
      <c r="A688" s="4">
        <v>22233</v>
      </c>
      <c r="B688" s="9">
        <v>10.7</v>
      </c>
      <c r="C688" t="str">
        <f>IF(acs2015_county_data[[#This Row],[Unemployment]]&gt;='Описательные характеристики'!$I$5,"да","нет")</f>
        <v>да</v>
      </c>
    </row>
    <row r="689" spans="1:3" x14ac:dyDescent="0.35">
      <c r="A689" s="6">
        <v>24155</v>
      </c>
      <c r="B689" s="10">
        <v>8.6999999999999993</v>
      </c>
      <c r="C689" t="str">
        <f>IF(acs2015_county_data[[#This Row],[Unemployment]]&gt;='Описательные характеристики'!$I$5,"да","нет")</f>
        <v>да</v>
      </c>
    </row>
    <row r="690" spans="1:3" x14ac:dyDescent="0.35">
      <c r="A690" s="4">
        <v>22876</v>
      </c>
      <c r="B690" s="9">
        <v>9.1999999999999993</v>
      </c>
      <c r="C690" t="str">
        <f>IF(acs2015_county_data[[#This Row],[Unemployment]]&gt;='Описательные характеристики'!$I$5,"да","нет")</f>
        <v>да</v>
      </c>
    </row>
    <row r="691" spans="1:3" x14ac:dyDescent="0.35">
      <c r="A691" s="6">
        <v>28683</v>
      </c>
      <c r="B691" s="10">
        <v>5.5</v>
      </c>
      <c r="C691" t="str">
        <f>IF(acs2015_county_data[[#This Row],[Unemployment]]&gt;='Описательные характеристики'!$I$5,"да","нет")</f>
        <v>нет</v>
      </c>
    </row>
    <row r="692" spans="1:3" x14ac:dyDescent="0.35">
      <c r="A692" s="4">
        <v>23869</v>
      </c>
      <c r="B692" s="9">
        <v>5.3</v>
      </c>
      <c r="C692" t="str">
        <f>IF(acs2015_county_data[[#This Row],[Unemployment]]&gt;='Описательные характеристики'!$I$5,"да","нет")</f>
        <v>нет</v>
      </c>
    </row>
    <row r="693" spans="1:3" x14ac:dyDescent="0.35">
      <c r="A693" s="6">
        <v>25534</v>
      </c>
      <c r="B693" s="10">
        <v>8.8000000000000007</v>
      </c>
      <c r="C693" t="str">
        <f>IF(acs2015_county_data[[#This Row],[Unemployment]]&gt;='Описательные характеристики'!$I$5,"да","нет")</f>
        <v>да</v>
      </c>
    </row>
    <row r="694" spans="1:3" x14ac:dyDescent="0.35">
      <c r="A694" s="4">
        <v>25490</v>
      </c>
      <c r="B694" s="9">
        <v>8.1</v>
      </c>
      <c r="C694" t="str">
        <f>IF(acs2015_county_data[[#This Row],[Unemployment]]&gt;='Описательные характеристики'!$I$5,"да","нет")</f>
        <v>да</v>
      </c>
    </row>
    <row r="695" spans="1:3" x14ac:dyDescent="0.35">
      <c r="A695" s="6">
        <v>31310</v>
      </c>
      <c r="B695" s="10">
        <v>7.8</v>
      </c>
      <c r="C695" t="str">
        <f>IF(acs2015_county_data[[#This Row],[Unemployment]]&gt;='Описательные характеристики'!$I$5,"да","нет")</f>
        <v>да</v>
      </c>
    </row>
    <row r="696" spans="1:3" x14ac:dyDescent="0.35">
      <c r="A696" s="4">
        <v>24669</v>
      </c>
      <c r="B696" s="9">
        <v>7</v>
      </c>
      <c r="C696" t="str">
        <f>IF(acs2015_county_data[[#This Row],[Unemployment]]&gt;='Описательные характеристики'!$I$5,"да","нет")</f>
        <v>нет</v>
      </c>
    </row>
    <row r="697" spans="1:3" x14ac:dyDescent="0.35">
      <c r="A697" s="6">
        <v>25198</v>
      </c>
      <c r="B697" s="10">
        <v>11.5</v>
      </c>
      <c r="C697" t="str">
        <f>IF(acs2015_county_data[[#This Row],[Unemployment]]&gt;='Описательные характеристики'!$I$5,"да","нет")</f>
        <v>да</v>
      </c>
    </row>
    <row r="698" spans="1:3" x14ac:dyDescent="0.35">
      <c r="A698" s="4">
        <v>30804</v>
      </c>
      <c r="B698" s="9">
        <v>5.9</v>
      </c>
      <c r="C698" t="str">
        <f>IF(acs2015_county_data[[#This Row],[Unemployment]]&gt;='Описательные характеристики'!$I$5,"да","нет")</f>
        <v>нет</v>
      </c>
    </row>
    <row r="699" spans="1:3" x14ac:dyDescent="0.35">
      <c r="A699" s="6">
        <v>21274</v>
      </c>
      <c r="B699" s="10">
        <v>6.2</v>
      </c>
      <c r="C699" t="str">
        <f>IF(acs2015_county_data[[#This Row],[Unemployment]]&gt;='Описательные характеристики'!$I$5,"да","нет")</f>
        <v>нет</v>
      </c>
    </row>
    <row r="700" spans="1:3" x14ac:dyDescent="0.35">
      <c r="A700" s="4">
        <v>25770</v>
      </c>
      <c r="B700" s="9">
        <v>8</v>
      </c>
      <c r="C700" t="str">
        <f>IF(acs2015_county_data[[#This Row],[Unemployment]]&gt;='Описательные характеристики'!$I$5,"да","нет")</f>
        <v>да</v>
      </c>
    </row>
    <row r="701" spans="1:3" x14ac:dyDescent="0.35">
      <c r="A701" s="6">
        <v>27987</v>
      </c>
      <c r="B701" s="10">
        <v>5.4</v>
      </c>
      <c r="C701" t="str">
        <f>IF(acs2015_county_data[[#This Row],[Unemployment]]&gt;='Описательные характеристики'!$I$5,"да","нет")</f>
        <v>нет</v>
      </c>
    </row>
    <row r="702" spans="1:3" x14ac:dyDescent="0.35">
      <c r="A702" s="4">
        <v>22526</v>
      </c>
      <c r="B702" s="9">
        <v>5.3</v>
      </c>
      <c r="C702" t="str">
        <f>IF(acs2015_county_data[[#This Row],[Unemployment]]&gt;='Описательные характеристики'!$I$5,"да","нет")</f>
        <v>нет</v>
      </c>
    </row>
    <row r="703" spans="1:3" x14ac:dyDescent="0.35">
      <c r="A703" s="6">
        <v>20534</v>
      </c>
      <c r="B703" s="10">
        <v>9.8000000000000007</v>
      </c>
      <c r="C703" t="str">
        <f>IF(acs2015_county_data[[#This Row],[Unemployment]]&gt;='Описательные характеристики'!$I$5,"да","нет")</f>
        <v>да</v>
      </c>
    </row>
    <row r="704" spans="1:3" x14ac:dyDescent="0.35">
      <c r="A704" s="4">
        <v>38038</v>
      </c>
      <c r="B704" s="9">
        <v>3.7</v>
      </c>
      <c r="C704" t="str">
        <f>IF(acs2015_county_data[[#This Row],[Unemployment]]&gt;='Описательные характеристики'!$I$5,"да","нет")</f>
        <v>нет</v>
      </c>
    </row>
    <row r="705" spans="1:3" x14ac:dyDescent="0.35">
      <c r="A705" s="6">
        <v>29903</v>
      </c>
      <c r="B705" s="10">
        <v>6.2</v>
      </c>
      <c r="C705" t="str">
        <f>IF(acs2015_county_data[[#This Row],[Unemployment]]&gt;='Описательные характеристики'!$I$5,"да","нет")</f>
        <v>нет</v>
      </c>
    </row>
    <row r="706" spans="1:3" x14ac:dyDescent="0.35">
      <c r="A706" s="4">
        <v>25365</v>
      </c>
      <c r="B706" s="9">
        <v>8.1999999999999993</v>
      </c>
      <c r="C706" t="str">
        <f>IF(acs2015_county_data[[#This Row],[Unemployment]]&gt;='Описательные характеристики'!$I$5,"да","нет")</f>
        <v>да</v>
      </c>
    </row>
    <row r="707" spans="1:3" x14ac:dyDescent="0.35">
      <c r="A707" s="6">
        <v>22125</v>
      </c>
      <c r="B707" s="10">
        <v>8.6999999999999993</v>
      </c>
      <c r="C707" t="str">
        <f>IF(acs2015_county_data[[#This Row],[Unemployment]]&gt;='Описательные характеристики'!$I$5,"да","нет")</f>
        <v>да</v>
      </c>
    </row>
    <row r="708" spans="1:3" x14ac:dyDescent="0.35">
      <c r="A708" s="4">
        <v>25470</v>
      </c>
      <c r="B708" s="9">
        <v>6.8</v>
      </c>
      <c r="C708" t="str">
        <f>IF(acs2015_county_data[[#This Row],[Unemployment]]&gt;='Описательные характеристики'!$I$5,"да","нет")</f>
        <v>нет</v>
      </c>
    </row>
    <row r="709" spans="1:3" x14ac:dyDescent="0.35">
      <c r="A709" s="6">
        <v>21856</v>
      </c>
      <c r="B709" s="10">
        <v>7.8</v>
      </c>
      <c r="C709" t="str">
        <f>IF(acs2015_county_data[[#This Row],[Unemployment]]&gt;='Описательные характеристики'!$I$5,"да","нет")</f>
        <v>да</v>
      </c>
    </row>
    <row r="710" spans="1:3" x14ac:dyDescent="0.35">
      <c r="A710" s="4">
        <v>22337</v>
      </c>
      <c r="B710" s="9">
        <v>7.3</v>
      </c>
      <c r="C710" t="str">
        <f>IF(acs2015_county_data[[#This Row],[Unemployment]]&gt;='Описательные характеристики'!$I$5,"да","нет")</f>
        <v>нет</v>
      </c>
    </row>
    <row r="711" spans="1:3" x14ac:dyDescent="0.35">
      <c r="A711" s="6">
        <v>18835</v>
      </c>
      <c r="B711" s="10">
        <v>6.6</v>
      </c>
      <c r="C711" t="str">
        <f>IF(acs2015_county_data[[#This Row],[Unemployment]]&gt;='Описательные характеристики'!$I$5,"да","нет")</f>
        <v>нет</v>
      </c>
    </row>
    <row r="712" spans="1:3" x14ac:dyDescent="0.35">
      <c r="A712" s="4">
        <v>21101</v>
      </c>
      <c r="B712" s="9">
        <v>5.4</v>
      </c>
      <c r="C712" t="str">
        <f>IF(acs2015_county_data[[#This Row],[Unemployment]]&gt;='Описательные характеристики'!$I$5,"да","нет")</f>
        <v>нет</v>
      </c>
    </row>
    <row r="713" spans="1:3" x14ac:dyDescent="0.35">
      <c r="A713" s="6">
        <v>27907</v>
      </c>
      <c r="B713" s="10">
        <v>8.1</v>
      </c>
      <c r="C713" t="str">
        <f>IF(acs2015_county_data[[#This Row],[Unemployment]]&gt;='Описательные характеристики'!$I$5,"да","нет")</f>
        <v>да</v>
      </c>
    </row>
    <row r="714" spans="1:3" x14ac:dyDescent="0.35">
      <c r="A714" s="4">
        <v>23346</v>
      </c>
      <c r="B714" s="9">
        <v>6.3</v>
      </c>
      <c r="C714" t="str">
        <f>IF(acs2015_county_data[[#This Row],[Unemployment]]&gt;='Описательные характеристики'!$I$5,"да","нет")</f>
        <v>нет</v>
      </c>
    </row>
    <row r="715" spans="1:3" x14ac:dyDescent="0.35">
      <c r="A715" s="6">
        <v>24016</v>
      </c>
      <c r="B715" s="10">
        <v>7.5</v>
      </c>
      <c r="C715" t="str">
        <f>IF(acs2015_county_data[[#This Row],[Unemployment]]&gt;='Описательные характеристики'!$I$5,"да","нет")</f>
        <v>нет</v>
      </c>
    </row>
    <row r="716" spans="1:3" x14ac:dyDescent="0.35">
      <c r="A716" s="4">
        <v>21179</v>
      </c>
      <c r="B716" s="9">
        <v>10.1</v>
      </c>
      <c r="C716" t="str">
        <f>IF(acs2015_county_data[[#This Row],[Unemployment]]&gt;='Описательные характеристики'!$I$5,"да","нет")</f>
        <v>да</v>
      </c>
    </row>
    <row r="717" spans="1:3" x14ac:dyDescent="0.35">
      <c r="A717" s="6">
        <v>25972</v>
      </c>
      <c r="B717" s="10">
        <v>3.3</v>
      </c>
      <c r="C717" t="str">
        <f>IF(acs2015_county_data[[#This Row],[Unemployment]]&gt;='Описательные характеристики'!$I$5,"да","нет")</f>
        <v>нет</v>
      </c>
    </row>
    <row r="718" spans="1:3" x14ac:dyDescent="0.35">
      <c r="A718" s="4">
        <v>21817</v>
      </c>
      <c r="B718" s="9">
        <v>7.4</v>
      </c>
      <c r="C718" t="str">
        <f>IF(acs2015_county_data[[#This Row],[Unemployment]]&gt;='Описательные характеристики'!$I$5,"да","нет")</f>
        <v>нет</v>
      </c>
    </row>
    <row r="719" spans="1:3" x14ac:dyDescent="0.35">
      <c r="A719" s="6">
        <v>20508</v>
      </c>
      <c r="B719" s="10">
        <v>12.1</v>
      </c>
      <c r="C719" t="str">
        <f>IF(acs2015_county_data[[#This Row],[Unemployment]]&gt;='Описательные характеристики'!$I$5,"да","нет")</f>
        <v>да</v>
      </c>
    </row>
    <row r="720" spans="1:3" x14ac:dyDescent="0.35">
      <c r="A720" s="4">
        <v>28116</v>
      </c>
      <c r="B720" s="9">
        <v>7.3</v>
      </c>
      <c r="C720" t="str">
        <f>IF(acs2015_county_data[[#This Row],[Unemployment]]&gt;='Описательные характеристики'!$I$5,"да","нет")</f>
        <v>нет</v>
      </c>
    </row>
    <row r="721" spans="1:3" x14ac:dyDescent="0.35">
      <c r="A721" s="6">
        <v>24619</v>
      </c>
      <c r="B721" s="10">
        <v>8.6</v>
      </c>
      <c r="C721" t="str">
        <f>IF(acs2015_county_data[[#This Row],[Unemployment]]&gt;='Описательные характеристики'!$I$5,"да","нет")</f>
        <v>да</v>
      </c>
    </row>
    <row r="722" spans="1:3" x14ac:dyDescent="0.35">
      <c r="A722" s="4">
        <v>24032</v>
      </c>
      <c r="B722" s="9">
        <v>6.4</v>
      </c>
      <c r="C722" t="str">
        <f>IF(acs2015_county_data[[#This Row],[Unemployment]]&gt;='Описательные характеристики'!$I$5,"да","нет")</f>
        <v>нет</v>
      </c>
    </row>
    <row r="723" spans="1:3" x14ac:dyDescent="0.35">
      <c r="A723" s="6">
        <v>22807</v>
      </c>
      <c r="B723" s="10">
        <v>6</v>
      </c>
      <c r="C723" t="str">
        <f>IF(acs2015_county_data[[#This Row],[Unemployment]]&gt;='Описательные характеристики'!$I$5,"да","нет")</f>
        <v>нет</v>
      </c>
    </row>
    <row r="724" spans="1:3" x14ac:dyDescent="0.35">
      <c r="A724" s="4">
        <v>24682</v>
      </c>
      <c r="B724" s="9">
        <v>4.3</v>
      </c>
      <c r="C724" t="str">
        <f>IF(acs2015_county_data[[#This Row],[Unemployment]]&gt;='Описательные характеристики'!$I$5,"да","нет")</f>
        <v>нет</v>
      </c>
    </row>
    <row r="725" spans="1:3" x14ac:dyDescent="0.35">
      <c r="A725" s="6">
        <v>20440</v>
      </c>
      <c r="B725" s="10">
        <v>8.8000000000000007</v>
      </c>
      <c r="C725" t="str">
        <f>IF(acs2015_county_data[[#This Row],[Unemployment]]&gt;='Описательные характеристики'!$I$5,"да","нет")</f>
        <v>да</v>
      </c>
    </row>
    <row r="726" spans="1:3" x14ac:dyDescent="0.35">
      <c r="A726" s="4">
        <v>22767</v>
      </c>
      <c r="B726" s="9">
        <v>7</v>
      </c>
      <c r="C726" t="str">
        <f>IF(acs2015_county_data[[#This Row],[Unemployment]]&gt;='Описательные характеристики'!$I$5,"да","нет")</f>
        <v>нет</v>
      </c>
    </row>
    <row r="727" spans="1:3" x14ac:dyDescent="0.35">
      <c r="A727" s="6">
        <v>41316</v>
      </c>
      <c r="B727" s="10">
        <v>4.3</v>
      </c>
      <c r="C727" t="str">
        <f>IF(acs2015_county_data[[#This Row],[Unemployment]]&gt;='Описательные характеристики'!$I$5,"да","нет")</f>
        <v>нет</v>
      </c>
    </row>
    <row r="728" spans="1:3" x14ac:dyDescent="0.35">
      <c r="A728" s="4">
        <v>29058</v>
      </c>
      <c r="B728" s="9">
        <v>5.5</v>
      </c>
      <c r="C728" t="str">
        <f>IF(acs2015_county_data[[#This Row],[Unemployment]]&gt;='Описательные характеристики'!$I$5,"да","нет")</f>
        <v>нет</v>
      </c>
    </row>
    <row r="729" spans="1:3" x14ac:dyDescent="0.35">
      <c r="A729" s="6">
        <v>24460</v>
      </c>
      <c r="B729" s="10">
        <v>7.9</v>
      </c>
      <c r="C729" t="str">
        <f>IF(acs2015_county_data[[#This Row],[Unemployment]]&gt;='Описательные характеристики'!$I$5,"да","нет")</f>
        <v>да</v>
      </c>
    </row>
    <row r="730" spans="1:3" x14ac:dyDescent="0.35">
      <c r="A730" s="4">
        <v>30364</v>
      </c>
      <c r="B730" s="9">
        <v>5.3</v>
      </c>
      <c r="C730" t="str">
        <f>IF(acs2015_county_data[[#This Row],[Unemployment]]&gt;='Описательные характеристики'!$I$5,"да","нет")</f>
        <v>нет</v>
      </c>
    </row>
    <row r="731" spans="1:3" x14ac:dyDescent="0.35">
      <c r="A731" s="6">
        <v>21286</v>
      </c>
      <c r="B731" s="10">
        <v>10.6</v>
      </c>
      <c r="C731" t="str">
        <f>IF(acs2015_county_data[[#This Row],[Unemployment]]&gt;='Описательные характеристики'!$I$5,"да","нет")</f>
        <v>да</v>
      </c>
    </row>
    <row r="732" spans="1:3" x14ac:dyDescent="0.35">
      <c r="A732" s="4">
        <v>24297</v>
      </c>
      <c r="B732" s="9">
        <v>9.1999999999999993</v>
      </c>
      <c r="C732" t="str">
        <f>IF(acs2015_county_data[[#This Row],[Unemployment]]&gt;='Описательные характеристики'!$I$5,"да","нет")</f>
        <v>да</v>
      </c>
    </row>
    <row r="733" spans="1:3" x14ac:dyDescent="0.35">
      <c r="A733" s="6">
        <v>22606</v>
      </c>
      <c r="B733" s="10">
        <v>7.4</v>
      </c>
      <c r="C733" t="str">
        <f>IF(acs2015_county_data[[#This Row],[Unemployment]]&gt;='Описательные характеристики'!$I$5,"да","нет")</f>
        <v>нет</v>
      </c>
    </row>
    <row r="734" spans="1:3" x14ac:dyDescent="0.35">
      <c r="A734" s="4">
        <v>22421</v>
      </c>
      <c r="B734" s="9">
        <v>7.3</v>
      </c>
      <c r="C734" t="str">
        <f>IF(acs2015_county_data[[#This Row],[Unemployment]]&gt;='Описательные характеристики'!$I$5,"да","нет")</f>
        <v>нет</v>
      </c>
    </row>
    <row r="735" spans="1:3" x14ac:dyDescent="0.35">
      <c r="A735" s="6">
        <v>24614</v>
      </c>
      <c r="B735" s="10">
        <v>6.3</v>
      </c>
      <c r="C735" t="str">
        <f>IF(acs2015_county_data[[#This Row],[Unemployment]]&gt;='Описательные характеристики'!$I$5,"да","нет")</f>
        <v>нет</v>
      </c>
    </row>
    <row r="736" spans="1:3" x14ac:dyDescent="0.35">
      <c r="A736" s="4">
        <v>19591</v>
      </c>
      <c r="B736" s="9">
        <v>8.1999999999999993</v>
      </c>
      <c r="C736" t="str">
        <f>IF(acs2015_county_data[[#This Row],[Unemployment]]&gt;='Описательные характеристики'!$I$5,"да","нет")</f>
        <v>да</v>
      </c>
    </row>
    <row r="737" spans="1:3" x14ac:dyDescent="0.35">
      <c r="A737" s="6">
        <v>22139</v>
      </c>
      <c r="B737" s="10">
        <v>9.1999999999999993</v>
      </c>
      <c r="C737" t="str">
        <f>IF(acs2015_county_data[[#This Row],[Unemployment]]&gt;='Описательные характеристики'!$I$5,"да","нет")</f>
        <v>да</v>
      </c>
    </row>
    <row r="738" spans="1:3" x14ac:dyDescent="0.35">
      <c r="A738" s="4">
        <v>21434</v>
      </c>
      <c r="B738" s="9">
        <v>9.6999999999999993</v>
      </c>
      <c r="C738" t="str">
        <f>IF(acs2015_county_data[[#This Row],[Unemployment]]&gt;='Описательные характеристики'!$I$5,"да","нет")</f>
        <v>да</v>
      </c>
    </row>
    <row r="739" spans="1:3" x14ac:dyDescent="0.35">
      <c r="A739" s="6">
        <v>28889</v>
      </c>
      <c r="B739" s="10">
        <v>6.3</v>
      </c>
      <c r="C739" t="str">
        <f>IF(acs2015_county_data[[#This Row],[Unemployment]]&gt;='Описательные характеристики'!$I$5,"да","нет")</f>
        <v>нет</v>
      </c>
    </row>
    <row r="740" spans="1:3" x14ac:dyDescent="0.35">
      <c r="A740" s="4">
        <v>21928</v>
      </c>
      <c r="B740" s="9">
        <v>6.1</v>
      </c>
      <c r="C740" t="str">
        <f>IF(acs2015_county_data[[#This Row],[Unemployment]]&gt;='Описательные характеристики'!$I$5,"да","нет")</f>
        <v>нет</v>
      </c>
    </row>
    <row r="741" spans="1:3" x14ac:dyDescent="0.35">
      <c r="A741" s="6">
        <v>26011</v>
      </c>
      <c r="B741" s="10">
        <v>6.5</v>
      </c>
      <c r="C741" t="str">
        <f>IF(acs2015_county_data[[#This Row],[Unemployment]]&gt;='Описательные характеристики'!$I$5,"да","нет")</f>
        <v>нет</v>
      </c>
    </row>
    <row r="742" spans="1:3" x14ac:dyDescent="0.35">
      <c r="A742" s="4">
        <v>20413</v>
      </c>
      <c r="B742" s="9">
        <v>5.5</v>
      </c>
      <c r="C742" t="str">
        <f>IF(acs2015_county_data[[#This Row],[Unemployment]]&gt;='Описательные характеристики'!$I$5,"да","нет")</f>
        <v>нет</v>
      </c>
    </row>
    <row r="743" spans="1:3" x14ac:dyDescent="0.35">
      <c r="A743" s="6">
        <v>24756</v>
      </c>
      <c r="B743" s="10">
        <v>10.5</v>
      </c>
      <c r="C743" t="str">
        <f>IF(acs2015_county_data[[#This Row],[Unemployment]]&gt;='Описательные характеристики'!$I$5,"да","нет")</f>
        <v>да</v>
      </c>
    </row>
    <row r="744" spans="1:3" x14ac:dyDescent="0.35">
      <c r="A744" s="4">
        <v>23499</v>
      </c>
      <c r="B744" s="9">
        <v>9.8000000000000007</v>
      </c>
      <c r="C744" t="str">
        <f>IF(acs2015_county_data[[#This Row],[Unemployment]]&gt;='Описательные характеристики'!$I$5,"да","нет")</f>
        <v>да</v>
      </c>
    </row>
    <row r="745" spans="1:3" x14ac:dyDescent="0.35">
      <c r="A745" s="6">
        <v>23404</v>
      </c>
      <c r="B745" s="10">
        <v>6.3</v>
      </c>
      <c r="C745" t="str">
        <f>IF(acs2015_county_data[[#This Row],[Unemployment]]&gt;='Описательные характеристики'!$I$5,"да","нет")</f>
        <v>нет</v>
      </c>
    </row>
    <row r="746" spans="1:3" x14ac:dyDescent="0.35">
      <c r="A746" s="4">
        <v>22236</v>
      </c>
      <c r="B746" s="9">
        <v>9.3000000000000007</v>
      </c>
      <c r="C746" t="str">
        <f>IF(acs2015_county_data[[#This Row],[Unemployment]]&gt;='Описательные характеристики'!$I$5,"да","нет")</f>
        <v>да</v>
      </c>
    </row>
    <row r="747" spans="1:3" x14ac:dyDescent="0.35">
      <c r="A747" s="6">
        <v>24330</v>
      </c>
      <c r="B747" s="10">
        <v>10.1</v>
      </c>
      <c r="C747" t="str">
        <f>IF(acs2015_county_data[[#This Row],[Unemployment]]&gt;='Описательные характеристики'!$I$5,"да","нет")</f>
        <v>да</v>
      </c>
    </row>
    <row r="748" spans="1:3" x14ac:dyDescent="0.35">
      <c r="A748" s="4">
        <v>22895</v>
      </c>
      <c r="B748" s="9">
        <v>8.3000000000000007</v>
      </c>
      <c r="C748" t="str">
        <f>IF(acs2015_county_data[[#This Row],[Unemployment]]&gt;='Описательные характеристики'!$I$5,"да","нет")</f>
        <v>да</v>
      </c>
    </row>
    <row r="749" spans="1:3" x14ac:dyDescent="0.35">
      <c r="A749" s="6">
        <v>22939</v>
      </c>
      <c r="B749" s="10">
        <v>6.1</v>
      </c>
      <c r="C749" t="str">
        <f>IF(acs2015_county_data[[#This Row],[Unemployment]]&gt;='Описательные характеристики'!$I$5,"да","нет")</f>
        <v>нет</v>
      </c>
    </row>
    <row r="750" spans="1:3" x14ac:dyDescent="0.35">
      <c r="A750" s="4">
        <v>21745</v>
      </c>
      <c r="B750" s="9">
        <v>9.4</v>
      </c>
      <c r="C750" t="str">
        <f>IF(acs2015_county_data[[#This Row],[Unemployment]]&gt;='Описательные характеристики'!$I$5,"да","нет")</f>
        <v>да</v>
      </c>
    </row>
    <row r="751" spans="1:3" x14ac:dyDescent="0.35">
      <c r="A751" s="6">
        <v>24266</v>
      </c>
      <c r="B751" s="10">
        <v>6.9</v>
      </c>
      <c r="C751" t="str">
        <f>IF(acs2015_county_data[[#This Row],[Unemployment]]&gt;='Описательные характеристики'!$I$5,"да","нет")</f>
        <v>нет</v>
      </c>
    </row>
    <row r="752" spans="1:3" x14ac:dyDescent="0.35">
      <c r="A752" s="4">
        <v>22911</v>
      </c>
      <c r="B752" s="9">
        <v>6.9</v>
      </c>
      <c r="C752" t="str">
        <f>IF(acs2015_county_data[[#This Row],[Unemployment]]&gt;='Описательные характеристики'!$I$5,"да","нет")</f>
        <v>нет</v>
      </c>
    </row>
    <row r="753" spans="1:3" x14ac:dyDescent="0.35">
      <c r="A753" s="6">
        <v>26175</v>
      </c>
      <c r="B753" s="10">
        <v>7.3</v>
      </c>
      <c r="C753" t="str">
        <f>IF(acs2015_county_data[[#This Row],[Unemployment]]&gt;='Описательные характеристики'!$I$5,"да","нет")</f>
        <v>нет</v>
      </c>
    </row>
    <row r="754" spans="1:3" x14ac:dyDescent="0.35">
      <c r="A754" s="4">
        <v>23154</v>
      </c>
      <c r="B754" s="9">
        <v>8.9</v>
      </c>
      <c r="C754" t="str">
        <f>IF(acs2015_county_data[[#This Row],[Unemployment]]&gt;='Описательные характеристики'!$I$5,"да","нет")</f>
        <v>да</v>
      </c>
    </row>
    <row r="755" spans="1:3" x14ac:dyDescent="0.35">
      <c r="A755" s="6">
        <v>23477</v>
      </c>
      <c r="B755" s="10">
        <v>8.8000000000000007</v>
      </c>
      <c r="C755" t="str">
        <f>IF(acs2015_county_data[[#This Row],[Unemployment]]&gt;='Описательные характеристики'!$I$5,"да","нет")</f>
        <v>да</v>
      </c>
    </row>
    <row r="756" spans="1:3" x14ac:dyDescent="0.35">
      <c r="A756" s="4">
        <v>23848</v>
      </c>
      <c r="B756" s="9">
        <v>7.7</v>
      </c>
      <c r="C756" t="str">
        <f>IF(acs2015_county_data[[#This Row],[Unemployment]]&gt;='Описательные характеристики'!$I$5,"да","нет")</f>
        <v>да</v>
      </c>
    </row>
    <row r="757" spans="1:3" x14ac:dyDescent="0.35">
      <c r="A757" s="6">
        <v>19660</v>
      </c>
      <c r="B757" s="10">
        <v>6.8</v>
      </c>
      <c r="C757" t="str">
        <f>IF(acs2015_county_data[[#This Row],[Unemployment]]&gt;='Описательные характеристики'!$I$5,"да","нет")</f>
        <v>нет</v>
      </c>
    </row>
    <row r="758" spans="1:3" x14ac:dyDescent="0.35">
      <c r="A758" s="4">
        <v>21842</v>
      </c>
      <c r="B758" s="9">
        <v>8</v>
      </c>
      <c r="C758" t="str">
        <f>IF(acs2015_county_data[[#This Row],[Unemployment]]&gt;='Описательные характеристики'!$I$5,"да","нет")</f>
        <v>да</v>
      </c>
    </row>
    <row r="759" spans="1:3" x14ac:dyDescent="0.35">
      <c r="A759" s="6">
        <v>20592</v>
      </c>
      <c r="B759" s="10">
        <v>7.8</v>
      </c>
      <c r="C759" t="str">
        <f>IF(acs2015_county_data[[#This Row],[Unemployment]]&gt;='Описательные характеристики'!$I$5,"да","нет")</f>
        <v>да</v>
      </c>
    </row>
    <row r="760" spans="1:3" x14ac:dyDescent="0.35">
      <c r="A760" s="4">
        <v>20964</v>
      </c>
      <c r="B760" s="9">
        <v>5.6</v>
      </c>
      <c r="C760" t="str">
        <f>IF(acs2015_county_data[[#This Row],[Unemployment]]&gt;='Описательные характеристики'!$I$5,"да","нет")</f>
        <v>нет</v>
      </c>
    </row>
    <row r="761" spans="1:3" x14ac:dyDescent="0.35">
      <c r="A761" s="6">
        <v>23169</v>
      </c>
      <c r="B761" s="10">
        <v>5.0999999999999996</v>
      </c>
      <c r="C761" t="str">
        <f>IF(acs2015_county_data[[#This Row],[Unemployment]]&gt;='Описательные характеристики'!$I$5,"да","нет")</f>
        <v>нет</v>
      </c>
    </row>
    <row r="762" spans="1:3" x14ac:dyDescent="0.35">
      <c r="A762" s="4">
        <v>29922</v>
      </c>
      <c r="B762" s="9">
        <v>7.3</v>
      </c>
      <c r="C762" t="str">
        <f>IF(acs2015_county_data[[#This Row],[Unemployment]]&gt;='Описательные характеристики'!$I$5,"да","нет")</f>
        <v>нет</v>
      </c>
    </row>
    <row r="763" spans="1:3" x14ac:dyDescent="0.35">
      <c r="A763" s="6">
        <v>29821</v>
      </c>
      <c r="B763" s="10">
        <v>5.3</v>
      </c>
      <c r="C763" t="str">
        <f>IF(acs2015_county_data[[#This Row],[Unemployment]]&gt;='Описательные характеристики'!$I$5,"да","нет")</f>
        <v>нет</v>
      </c>
    </row>
    <row r="764" spans="1:3" x14ac:dyDescent="0.35">
      <c r="A764" s="4">
        <v>22798</v>
      </c>
      <c r="B764" s="9">
        <v>7</v>
      </c>
      <c r="C764" t="str">
        <f>IF(acs2015_county_data[[#This Row],[Unemployment]]&gt;='Описательные характеристики'!$I$5,"да","нет")</f>
        <v>нет</v>
      </c>
    </row>
    <row r="765" spans="1:3" x14ac:dyDescent="0.35">
      <c r="A765" s="6">
        <v>22983</v>
      </c>
      <c r="B765" s="10">
        <v>7.3</v>
      </c>
      <c r="C765" t="str">
        <f>IF(acs2015_county_data[[#This Row],[Unemployment]]&gt;='Описательные характеристики'!$I$5,"да","нет")</f>
        <v>нет</v>
      </c>
    </row>
    <row r="766" spans="1:3" x14ac:dyDescent="0.35">
      <c r="A766" s="4">
        <v>23000</v>
      </c>
      <c r="B766" s="9">
        <v>7.8</v>
      </c>
      <c r="C766" t="str">
        <f>IF(acs2015_county_data[[#This Row],[Unemployment]]&gt;='Описательные характеристики'!$I$5,"да","нет")</f>
        <v>да</v>
      </c>
    </row>
    <row r="767" spans="1:3" x14ac:dyDescent="0.35">
      <c r="A767" s="6">
        <v>23534</v>
      </c>
      <c r="B767" s="10">
        <v>7.4</v>
      </c>
      <c r="C767" t="str">
        <f>IF(acs2015_county_data[[#This Row],[Unemployment]]&gt;='Описательные характеристики'!$I$5,"да","нет")</f>
        <v>нет</v>
      </c>
    </row>
    <row r="768" spans="1:3" x14ac:dyDescent="0.35">
      <c r="A768" s="4">
        <v>23186</v>
      </c>
      <c r="B768" s="9">
        <v>6.9</v>
      </c>
      <c r="C768" t="str">
        <f>IF(acs2015_county_data[[#This Row],[Unemployment]]&gt;='Описательные характеристики'!$I$5,"да","нет")</f>
        <v>нет</v>
      </c>
    </row>
    <row r="769" spans="1:3" x14ac:dyDescent="0.35">
      <c r="A769" s="6">
        <v>24395</v>
      </c>
      <c r="B769" s="10">
        <v>8.5</v>
      </c>
      <c r="C769" t="str">
        <f>IF(acs2015_county_data[[#This Row],[Unemployment]]&gt;='Описательные характеристики'!$I$5,"да","нет")</f>
        <v>да</v>
      </c>
    </row>
    <row r="770" spans="1:3" x14ac:dyDescent="0.35">
      <c r="A770" s="4">
        <v>21385</v>
      </c>
      <c r="B770" s="9">
        <v>11</v>
      </c>
      <c r="C770" t="str">
        <f>IF(acs2015_county_data[[#This Row],[Unemployment]]&gt;='Описательные характеристики'!$I$5,"да","нет")</f>
        <v>да</v>
      </c>
    </row>
    <row r="771" spans="1:3" x14ac:dyDescent="0.35">
      <c r="A771" s="6">
        <v>24645</v>
      </c>
      <c r="B771" s="10">
        <v>8.3000000000000007</v>
      </c>
      <c r="C771" t="str">
        <f>IF(acs2015_county_data[[#This Row],[Unemployment]]&gt;='Описательные характеристики'!$I$5,"да","нет")</f>
        <v>да</v>
      </c>
    </row>
    <row r="772" spans="1:3" x14ac:dyDescent="0.35">
      <c r="A772" s="4">
        <v>24936</v>
      </c>
      <c r="B772" s="9">
        <v>5.6</v>
      </c>
      <c r="C772" t="str">
        <f>IF(acs2015_county_data[[#This Row],[Unemployment]]&gt;='Описательные характеристики'!$I$5,"да","нет")</f>
        <v>нет</v>
      </c>
    </row>
    <row r="773" spans="1:3" x14ac:dyDescent="0.35">
      <c r="A773" s="6">
        <v>20899</v>
      </c>
      <c r="B773" s="10">
        <v>11.5</v>
      </c>
      <c r="C773" t="str">
        <f>IF(acs2015_county_data[[#This Row],[Unemployment]]&gt;='Описательные характеристики'!$I$5,"да","нет")</f>
        <v>да</v>
      </c>
    </row>
    <row r="774" spans="1:3" x14ac:dyDescent="0.35">
      <c r="A774" s="4">
        <v>24576</v>
      </c>
      <c r="B774" s="9">
        <v>6.9</v>
      </c>
      <c r="C774" t="str">
        <f>IF(acs2015_county_data[[#This Row],[Unemployment]]&gt;='Описательные характеристики'!$I$5,"да","нет")</f>
        <v>нет</v>
      </c>
    </row>
    <row r="775" spans="1:3" x14ac:dyDescent="0.35">
      <c r="A775" s="6">
        <v>19715</v>
      </c>
      <c r="B775" s="10">
        <v>6.8</v>
      </c>
      <c r="C775" t="str">
        <f>IF(acs2015_county_data[[#This Row],[Unemployment]]&gt;='Описательные характеристики'!$I$5,"да","нет")</f>
        <v>нет</v>
      </c>
    </row>
    <row r="776" spans="1:3" x14ac:dyDescent="0.35">
      <c r="A776" s="4">
        <v>19516</v>
      </c>
      <c r="B776" s="9">
        <v>9.6</v>
      </c>
      <c r="C776" t="str">
        <f>IF(acs2015_county_data[[#This Row],[Unemployment]]&gt;='Описательные характеристики'!$I$5,"да","нет")</f>
        <v>да</v>
      </c>
    </row>
    <row r="777" spans="1:3" x14ac:dyDescent="0.35">
      <c r="A777" s="6">
        <v>23529</v>
      </c>
      <c r="B777" s="10">
        <v>6.5</v>
      </c>
      <c r="C777" t="str">
        <f>IF(acs2015_county_data[[#This Row],[Unemployment]]&gt;='Описательные характеристики'!$I$5,"да","нет")</f>
        <v>нет</v>
      </c>
    </row>
    <row r="778" spans="1:3" x14ac:dyDescent="0.35">
      <c r="A778" s="4">
        <v>25868</v>
      </c>
      <c r="B778" s="9">
        <v>6.2</v>
      </c>
      <c r="C778" t="str">
        <f>IF(acs2015_county_data[[#This Row],[Unemployment]]&gt;='Описательные характеристики'!$I$5,"да","нет")</f>
        <v>нет</v>
      </c>
    </row>
    <row r="779" spans="1:3" x14ac:dyDescent="0.35">
      <c r="A779" s="6">
        <v>21487</v>
      </c>
      <c r="B779" s="10">
        <v>7.7</v>
      </c>
      <c r="C779" t="str">
        <f>IF(acs2015_county_data[[#This Row],[Unemployment]]&gt;='Описательные характеристики'!$I$5,"да","нет")</f>
        <v>да</v>
      </c>
    </row>
    <row r="780" spans="1:3" x14ac:dyDescent="0.35">
      <c r="A780" s="4">
        <v>24961</v>
      </c>
      <c r="B780" s="9">
        <v>6.2</v>
      </c>
      <c r="C780" t="str">
        <f>IF(acs2015_county_data[[#This Row],[Unemployment]]&gt;='Описательные характеристики'!$I$5,"да","нет")</f>
        <v>нет</v>
      </c>
    </row>
    <row r="781" spans="1:3" x14ac:dyDescent="0.35">
      <c r="A781" s="6">
        <v>22022</v>
      </c>
      <c r="B781" s="10">
        <v>6.5</v>
      </c>
      <c r="C781" t="str">
        <f>IF(acs2015_county_data[[#This Row],[Unemployment]]&gt;='Описательные характеристики'!$I$5,"да","нет")</f>
        <v>нет</v>
      </c>
    </row>
    <row r="782" spans="1:3" x14ac:dyDescent="0.35">
      <c r="A782" s="4">
        <v>21626</v>
      </c>
      <c r="B782" s="9">
        <v>8.9</v>
      </c>
      <c r="C782" t="str">
        <f>IF(acs2015_county_data[[#This Row],[Unemployment]]&gt;='Описательные характеристики'!$I$5,"да","нет")</f>
        <v>да</v>
      </c>
    </row>
    <row r="783" spans="1:3" x14ac:dyDescent="0.35">
      <c r="A783" s="6">
        <v>22674</v>
      </c>
      <c r="B783" s="10">
        <v>7</v>
      </c>
      <c r="C783" t="str">
        <f>IF(acs2015_county_data[[#This Row],[Unemployment]]&gt;='Описательные характеристики'!$I$5,"да","нет")</f>
        <v>нет</v>
      </c>
    </row>
    <row r="784" spans="1:3" x14ac:dyDescent="0.35">
      <c r="A784" s="4">
        <v>27731</v>
      </c>
      <c r="B784" s="9">
        <v>5.5</v>
      </c>
      <c r="C784" t="str">
        <f>IF(acs2015_county_data[[#This Row],[Unemployment]]&gt;='Описательные характеристики'!$I$5,"да","нет")</f>
        <v>нет</v>
      </c>
    </row>
    <row r="785" spans="1:3" x14ac:dyDescent="0.35">
      <c r="A785" s="6">
        <v>30507</v>
      </c>
      <c r="B785" s="10">
        <v>5</v>
      </c>
      <c r="C785" t="str">
        <f>IF(acs2015_county_data[[#This Row],[Unemployment]]&gt;='Описательные характеристики'!$I$5,"да","нет")</f>
        <v>нет</v>
      </c>
    </row>
    <row r="786" spans="1:3" x14ac:dyDescent="0.35">
      <c r="A786" s="4">
        <v>20483</v>
      </c>
      <c r="B786" s="9">
        <v>10.1</v>
      </c>
      <c r="C786" t="str">
        <f>IF(acs2015_county_data[[#This Row],[Unemployment]]&gt;='Описательные характеристики'!$I$5,"да","нет")</f>
        <v>да</v>
      </c>
    </row>
    <row r="787" spans="1:3" x14ac:dyDescent="0.35">
      <c r="A787" s="6">
        <v>22093</v>
      </c>
      <c r="B787" s="10">
        <v>9</v>
      </c>
      <c r="C787" t="str">
        <f>IF(acs2015_county_data[[#This Row],[Unemployment]]&gt;='Описательные характеристики'!$I$5,"да","нет")</f>
        <v>да</v>
      </c>
    </row>
    <row r="788" spans="1:3" x14ac:dyDescent="0.35">
      <c r="A788" s="4">
        <v>24253</v>
      </c>
      <c r="B788" s="9">
        <v>4.0999999999999996</v>
      </c>
      <c r="C788" t="str">
        <f>IF(acs2015_county_data[[#This Row],[Unemployment]]&gt;='Описательные характеристики'!$I$5,"да","нет")</f>
        <v>нет</v>
      </c>
    </row>
    <row r="789" spans="1:3" x14ac:dyDescent="0.35">
      <c r="A789" s="6">
        <v>24944</v>
      </c>
      <c r="B789" s="10">
        <v>6</v>
      </c>
      <c r="C789" t="str">
        <f>IF(acs2015_county_data[[#This Row],[Unemployment]]&gt;='Описательные характеристики'!$I$5,"да","нет")</f>
        <v>нет</v>
      </c>
    </row>
    <row r="790" spans="1:3" x14ac:dyDescent="0.35">
      <c r="A790" s="4">
        <v>26383</v>
      </c>
      <c r="B790" s="9">
        <v>5.3</v>
      </c>
      <c r="C790" t="str">
        <f>IF(acs2015_county_data[[#This Row],[Unemployment]]&gt;='Описательные характеристики'!$I$5,"да","нет")</f>
        <v>нет</v>
      </c>
    </row>
    <row r="791" spans="1:3" x14ac:dyDescent="0.35">
      <c r="A791" s="6">
        <v>25990</v>
      </c>
      <c r="B791" s="10">
        <v>3.2</v>
      </c>
      <c r="C791" t="str">
        <f>IF(acs2015_county_data[[#This Row],[Unemployment]]&gt;='Описательные характеристики'!$I$5,"да","нет")</f>
        <v>нет</v>
      </c>
    </row>
    <row r="792" spans="1:3" x14ac:dyDescent="0.35">
      <c r="A792" s="4">
        <v>26428</v>
      </c>
      <c r="B792" s="9">
        <v>3.2</v>
      </c>
      <c r="C792" t="str">
        <f>IF(acs2015_county_data[[#This Row],[Unemployment]]&gt;='Описательные характеристики'!$I$5,"да","нет")</f>
        <v>нет</v>
      </c>
    </row>
    <row r="793" spans="1:3" x14ac:dyDescent="0.35">
      <c r="A793" s="6">
        <v>26077</v>
      </c>
      <c r="B793" s="10">
        <v>6</v>
      </c>
      <c r="C793" t="str">
        <f>IF(acs2015_county_data[[#This Row],[Unemployment]]&gt;='Описательные характеристики'!$I$5,"да","нет")</f>
        <v>нет</v>
      </c>
    </row>
    <row r="794" spans="1:3" x14ac:dyDescent="0.35">
      <c r="A794" s="4">
        <v>23653</v>
      </c>
      <c r="B794" s="9">
        <v>6.6</v>
      </c>
      <c r="C794" t="str">
        <f>IF(acs2015_county_data[[#This Row],[Unemployment]]&gt;='Описательные характеристики'!$I$5,"да","нет")</f>
        <v>нет</v>
      </c>
    </row>
    <row r="795" spans="1:3" x14ac:dyDescent="0.35">
      <c r="A795" s="6">
        <v>29882</v>
      </c>
      <c r="B795" s="10">
        <v>2.6</v>
      </c>
      <c r="C795" t="str">
        <f>IF(acs2015_county_data[[#This Row],[Unemployment]]&gt;='Описательные характеристики'!$I$5,"да","нет")</f>
        <v>нет</v>
      </c>
    </row>
    <row r="796" spans="1:3" x14ac:dyDescent="0.35">
      <c r="A796" s="4">
        <v>29990</v>
      </c>
      <c r="B796" s="9">
        <v>4.7</v>
      </c>
      <c r="C796" t="str">
        <f>IF(acs2015_county_data[[#This Row],[Unemployment]]&gt;='Описательные характеристики'!$I$5,"да","нет")</f>
        <v>нет</v>
      </c>
    </row>
    <row r="797" spans="1:3" x14ac:dyDescent="0.35">
      <c r="A797" s="6">
        <v>25382</v>
      </c>
      <c r="B797" s="10">
        <v>6.6</v>
      </c>
      <c r="C797" t="str">
        <f>IF(acs2015_county_data[[#This Row],[Unemployment]]&gt;='Описательные характеристики'!$I$5,"да","нет")</f>
        <v>нет</v>
      </c>
    </row>
    <row r="798" spans="1:3" x14ac:dyDescent="0.35">
      <c r="A798" s="4">
        <v>26935</v>
      </c>
      <c r="B798" s="9">
        <v>4.7</v>
      </c>
      <c r="C798" t="str">
        <f>IF(acs2015_county_data[[#This Row],[Unemployment]]&gt;='Описательные характеристики'!$I$5,"да","нет")</f>
        <v>нет</v>
      </c>
    </row>
    <row r="799" spans="1:3" x14ac:dyDescent="0.35">
      <c r="A799" s="6">
        <v>30504</v>
      </c>
      <c r="B799" s="10">
        <v>3.9</v>
      </c>
      <c r="C799" t="str">
        <f>IF(acs2015_county_data[[#This Row],[Unemployment]]&gt;='Описательные характеристики'!$I$5,"да","нет")</f>
        <v>нет</v>
      </c>
    </row>
    <row r="800" spans="1:3" x14ac:dyDescent="0.35">
      <c r="A800" s="4">
        <v>29045</v>
      </c>
      <c r="B800" s="9">
        <v>3.9</v>
      </c>
      <c r="C800" t="str">
        <f>IF(acs2015_county_data[[#This Row],[Unemployment]]&gt;='Описательные характеристики'!$I$5,"да","нет")</f>
        <v>нет</v>
      </c>
    </row>
    <row r="801" spans="1:3" x14ac:dyDescent="0.35">
      <c r="A801" s="6">
        <v>24511</v>
      </c>
      <c r="B801" s="10">
        <v>3.7</v>
      </c>
      <c r="C801" t="str">
        <f>IF(acs2015_county_data[[#This Row],[Unemployment]]&gt;='Описательные характеристики'!$I$5,"да","нет")</f>
        <v>нет</v>
      </c>
    </row>
    <row r="802" spans="1:3" x14ac:dyDescent="0.35">
      <c r="A802" s="4">
        <v>26498</v>
      </c>
      <c r="B802" s="9">
        <v>4</v>
      </c>
      <c r="C802" t="str">
        <f>IF(acs2015_county_data[[#This Row],[Unemployment]]&gt;='Описательные характеристики'!$I$5,"да","нет")</f>
        <v>нет</v>
      </c>
    </row>
    <row r="803" spans="1:3" x14ac:dyDescent="0.35">
      <c r="A803" s="6">
        <v>26524</v>
      </c>
      <c r="B803" s="10">
        <v>4</v>
      </c>
      <c r="C803" t="str">
        <f>IF(acs2015_county_data[[#This Row],[Unemployment]]&gt;='Описательные характеристики'!$I$5,"да","нет")</f>
        <v>нет</v>
      </c>
    </row>
    <row r="804" spans="1:3" x14ac:dyDescent="0.35">
      <c r="A804" s="4">
        <v>27100</v>
      </c>
      <c r="B804" s="9">
        <v>3.3</v>
      </c>
      <c r="C804" t="str">
        <f>IF(acs2015_county_data[[#This Row],[Unemployment]]&gt;='Описательные характеристики'!$I$5,"да","нет")</f>
        <v>нет</v>
      </c>
    </row>
    <row r="805" spans="1:3" x14ac:dyDescent="0.35">
      <c r="A805" s="6">
        <v>25868</v>
      </c>
      <c r="B805" s="10">
        <v>3.2</v>
      </c>
      <c r="C805" t="str">
        <f>IF(acs2015_county_data[[#This Row],[Unemployment]]&gt;='Описательные характеристики'!$I$5,"да","нет")</f>
        <v>нет</v>
      </c>
    </row>
    <row r="806" spans="1:3" x14ac:dyDescent="0.35">
      <c r="A806" s="4">
        <v>27879</v>
      </c>
      <c r="B806" s="9">
        <v>3</v>
      </c>
      <c r="C806" t="str">
        <f>IF(acs2015_county_data[[#This Row],[Unemployment]]&gt;='Описательные характеристики'!$I$5,"да","нет")</f>
        <v>нет</v>
      </c>
    </row>
    <row r="807" spans="1:3" x14ac:dyDescent="0.35">
      <c r="A807" s="6">
        <v>28270</v>
      </c>
      <c r="B807" s="10">
        <v>4.4000000000000004</v>
      </c>
      <c r="C807" t="str">
        <f>IF(acs2015_county_data[[#This Row],[Unemployment]]&gt;='Описательные характеристики'!$I$5,"да","нет")</f>
        <v>нет</v>
      </c>
    </row>
    <row r="808" spans="1:3" x14ac:dyDescent="0.35">
      <c r="A808" s="4">
        <v>27934</v>
      </c>
      <c r="B808" s="9">
        <v>3.7</v>
      </c>
      <c r="C808" t="str">
        <f>IF(acs2015_county_data[[#This Row],[Unemployment]]&gt;='Описательные характеристики'!$I$5,"да","нет")</f>
        <v>нет</v>
      </c>
    </row>
    <row r="809" spans="1:3" x14ac:dyDescent="0.35">
      <c r="A809" s="6">
        <v>26981</v>
      </c>
      <c r="B809" s="10">
        <v>3.8</v>
      </c>
      <c r="C809" t="str">
        <f>IF(acs2015_county_data[[#This Row],[Unemployment]]&gt;='Описательные характеристики'!$I$5,"да","нет")</f>
        <v>нет</v>
      </c>
    </row>
    <row r="810" spans="1:3" x14ac:dyDescent="0.35">
      <c r="A810" s="4">
        <v>22586</v>
      </c>
      <c r="B810" s="9">
        <v>5</v>
      </c>
      <c r="C810" t="str">
        <f>IF(acs2015_county_data[[#This Row],[Unemployment]]&gt;='Описательные характеристики'!$I$5,"да","нет")</f>
        <v>нет</v>
      </c>
    </row>
    <row r="811" spans="1:3" x14ac:dyDescent="0.35">
      <c r="A811" s="6">
        <v>27138</v>
      </c>
      <c r="B811" s="10">
        <v>3.8</v>
      </c>
      <c r="C811" t="str">
        <f>IF(acs2015_county_data[[#This Row],[Unemployment]]&gt;='Описательные характеристики'!$I$5,"да","нет")</f>
        <v>нет</v>
      </c>
    </row>
    <row r="812" spans="1:3" x14ac:dyDescent="0.35">
      <c r="A812" s="4">
        <v>26124</v>
      </c>
      <c r="B812" s="9">
        <v>4.2</v>
      </c>
      <c r="C812" t="str">
        <f>IF(acs2015_county_data[[#This Row],[Unemployment]]&gt;='Описательные характеристики'!$I$5,"да","нет")</f>
        <v>нет</v>
      </c>
    </row>
    <row r="813" spans="1:3" x14ac:dyDescent="0.35">
      <c r="A813" s="6">
        <v>27255</v>
      </c>
      <c r="B813" s="10">
        <v>4.8</v>
      </c>
      <c r="C813" t="str">
        <f>IF(acs2015_county_data[[#This Row],[Unemployment]]&gt;='Описательные характеристики'!$I$5,"да","нет")</f>
        <v>нет</v>
      </c>
    </row>
    <row r="814" spans="1:3" x14ac:dyDescent="0.35">
      <c r="A814" s="4">
        <v>23344</v>
      </c>
      <c r="B814" s="9">
        <v>4.8</v>
      </c>
      <c r="C814" t="str">
        <f>IF(acs2015_county_data[[#This Row],[Unemployment]]&gt;='Описательные характеристики'!$I$5,"да","нет")</f>
        <v>нет</v>
      </c>
    </row>
    <row r="815" spans="1:3" x14ac:dyDescent="0.35">
      <c r="A815" s="6">
        <v>37669</v>
      </c>
      <c r="B815" s="10">
        <v>2.6</v>
      </c>
      <c r="C815" t="str">
        <f>IF(acs2015_county_data[[#This Row],[Unemployment]]&gt;='Описательные характеристики'!$I$5,"да","нет")</f>
        <v>нет</v>
      </c>
    </row>
    <row r="816" spans="1:3" x14ac:dyDescent="0.35">
      <c r="A816" s="4">
        <v>23867</v>
      </c>
      <c r="B816" s="9">
        <v>4.2</v>
      </c>
      <c r="C816" t="str">
        <f>IF(acs2015_county_data[[#This Row],[Unemployment]]&gt;='Описательные характеристики'!$I$5,"да","нет")</f>
        <v>нет</v>
      </c>
    </row>
    <row r="817" spans="1:3" x14ac:dyDescent="0.35">
      <c r="A817" s="6">
        <v>19493</v>
      </c>
      <c r="B817" s="10">
        <v>7.5</v>
      </c>
      <c r="C817" t="str">
        <f>IF(acs2015_county_data[[#This Row],[Unemployment]]&gt;='Описательные характеристики'!$I$5,"да","нет")</f>
        <v>нет</v>
      </c>
    </row>
    <row r="818" spans="1:3" x14ac:dyDescent="0.35">
      <c r="A818" s="4">
        <v>27563</v>
      </c>
      <c r="B818" s="9">
        <v>3.6</v>
      </c>
      <c r="C818" t="str">
        <f>IF(acs2015_county_data[[#This Row],[Unemployment]]&gt;='Описательные характеристики'!$I$5,"да","нет")</f>
        <v>нет</v>
      </c>
    </row>
    <row r="819" spans="1:3" x14ac:dyDescent="0.35">
      <c r="A819" s="6">
        <v>24614</v>
      </c>
      <c r="B819" s="10">
        <v>6.3</v>
      </c>
      <c r="C819" t="str">
        <f>IF(acs2015_county_data[[#This Row],[Unemployment]]&gt;='Описательные характеристики'!$I$5,"да","нет")</f>
        <v>нет</v>
      </c>
    </row>
    <row r="820" spans="1:3" x14ac:dyDescent="0.35">
      <c r="A820" s="4">
        <v>34218</v>
      </c>
      <c r="B820" s="9">
        <v>3.8</v>
      </c>
      <c r="C820" t="str">
        <f>IF(acs2015_county_data[[#This Row],[Unemployment]]&gt;='Описательные характеристики'!$I$5,"да","нет")</f>
        <v>нет</v>
      </c>
    </row>
    <row r="821" spans="1:3" x14ac:dyDescent="0.35">
      <c r="A821" s="6">
        <v>27096</v>
      </c>
      <c r="B821" s="10">
        <v>4.3</v>
      </c>
      <c r="C821" t="str">
        <f>IF(acs2015_county_data[[#This Row],[Unemployment]]&gt;='Описательные характеристики'!$I$5,"да","нет")</f>
        <v>нет</v>
      </c>
    </row>
    <row r="822" spans="1:3" x14ac:dyDescent="0.35">
      <c r="A822" s="4">
        <v>27707</v>
      </c>
      <c r="B822" s="9">
        <v>4.5999999999999996</v>
      </c>
      <c r="C822" t="str">
        <f>IF(acs2015_county_data[[#This Row],[Unemployment]]&gt;='Описательные характеристики'!$I$5,"да","нет")</f>
        <v>нет</v>
      </c>
    </row>
    <row r="823" spans="1:3" x14ac:dyDescent="0.35">
      <c r="A823" s="6">
        <v>24513</v>
      </c>
      <c r="B823" s="10">
        <v>5.0999999999999996</v>
      </c>
      <c r="C823" t="str">
        <f>IF(acs2015_county_data[[#This Row],[Unemployment]]&gt;='Описательные характеристики'!$I$5,"да","нет")</f>
        <v>нет</v>
      </c>
    </row>
    <row r="824" spans="1:3" x14ac:dyDescent="0.35">
      <c r="A824" s="4">
        <v>25918</v>
      </c>
      <c r="B824" s="9">
        <v>3.5</v>
      </c>
      <c r="C824" t="str">
        <f>IF(acs2015_county_data[[#This Row],[Unemployment]]&gt;='Описательные характеристики'!$I$5,"да","нет")</f>
        <v>нет</v>
      </c>
    </row>
    <row r="825" spans="1:3" x14ac:dyDescent="0.35">
      <c r="A825" s="6">
        <v>25417</v>
      </c>
      <c r="B825" s="10">
        <v>4.2</v>
      </c>
      <c r="C825" t="str">
        <f>IF(acs2015_county_data[[#This Row],[Unemployment]]&gt;='Описательные характеристики'!$I$5,"да","нет")</f>
        <v>нет</v>
      </c>
    </row>
    <row r="826" spans="1:3" x14ac:dyDescent="0.35">
      <c r="A826" s="4">
        <v>29060</v>
      </c>
      <c r="B826" s="9">
        <v>3.7</v>
      </c>
      <c r="C826" t="str">
        <f>IF(acs2015_county_data[[#This Row],[Unemployment]]&gt;='Описательные характеристики'!$I$5,"да","нет")</f>
        <v>нет</v>
      </c>
    </row>
    <row r="827" spans="1:3" x14ac:dyDescent="0.35">
      <c r="A827" s="6">
        <v>26918</v>
      </c>
      <c r="B827" s="10">
        <v>5.6</v>
      </c>
      <c r="C827" t="str">
        <f>IF(acs2015_county_data[[#This Row],[Unemployment]]&gt;='Описательные характеристики'!$I$5,"да","нет")</f>
        <v>нет</v>
      </c>
    </row>
    <row r="828" spans="1:3" x14ac:dyDescent="0.35">
      <c r="A828" s="4">
        <v>31076</v>
      </c>
      <c r="B828" s="9">
        <v>3.9</v>
      </c>
      <c r="C828" t="str">
        <f>IF(acs2015_county_data[[#This Row],[Unemployment]]&gt;='Описательные характеристики'!$I$5,"да","нет")</f>
        <v>нет</v>
      </c>
    </row>
    <row r="829" spans="1:3" x14ac:dyDescent="0.35">
      <c r="A829" s="6">
        <v>28946</v>
      </c>
      <c r="B829" s="10">
        <v>5.4</v>
      </c>
      <c r="C829" t="str">
        <f>IF(acs2015_county_data[[#This Row],[Unemployment]]&gt;='Описательные характеристики'!$I$5,"да","нет")</f>
        <v>нет</v>
      </c>
    </row>
    <row r="830" spans="1:3" x14ac:dyDescent="0.35">
      <c r="A830" s="4">
        <v>26001</v>
      </c>
      <c r="B830" s="9">
        <v>3.8</v>
      </c>
      <c r="C830" t="str">
        <f>IF(acs2015_county_data[[#This Row],[Unemployment]]&gt;='Описательные характеристики'!$I$5,"да","нет")</f>
        <v>нет</v>
      </c>
    </row>
    <row r="831" spans="1:3" x14ac:dyDescent="0.35">
      <c r="A831" s="6">
        <v>26846</v>
      </c>
      <c r="B831" s="10">
        <v>1.5</v>
      </c>
      <c r="C831" t="str">
        <f>IF(acs2015_county_data[[#This Row],[Unemployment]]&gt;='Описательные характеристики'!$I$5,"да","нет")</f>
        <v>нет</v>
      </c>
    </row>
    <row r="832" spans="1:3" x14ac:dyDescent="0.35">
      <c r="A832" s="4">
        <v>26256</v>
      </c>
      <c r="B832" s="9">
        <v>4.9000000000000004</v>
      </c>
      <c r="C832" t="str">
        <f>IF(acs2015_county_data[[#This Row],[Unemployment]]&gt;='Описательные характеристики'!$I$5,"да","нет")</f>
        <v>нет</v>
      </c>
    </row>
    <row r="833" spans="1:3" x14ac:dyDescent="0.35">
      <c r="A833" s="6">
        <v>26910</v>
      </c>
      <c r="B833" s="10">
        <v>3.6</v>
      </c>
      <c r="C833" t="str">
        <f>IF(acs2015_county_data[[#This Row],[Unemployment]]&gt;='Описательные характеристики'!$I$5,"да","нет")</f>
        <v>нет</v>
      </c>
    </row>
    <row r="834" spans="1:3" x14ac:dyDescent="0.35">
      <c r="A834" s="4">
        <v>23439</v>
      </c>
      <c r="B834" s="9">
        <v>5.0999999999999996</v>
      </c>
      <c r="C834" t="str">
        <f>IF(acs2015_county_data[[#This Row],[Unemployment]]&gt;='Описательные характеристики'!$I$5,"да","нет")</f>
        <v>нет</v>
      </c>
    </row>
    <row r="835" spans="1:3" x14ac:dyDescent="0.35">
      <c r="A835" s="6">
        <v>25804</v>
      </c>
      <c r="B835" s="10">
        <v>3.4</v>
      </c>
      <c r="C835" t="str">
        <f>IF(acs2015_county_data[[#This Row],[Unemployment]]&gt;='Описательные характеристики'!$I$5,"да","нет")</f>
        <v>нет</v>
      </c>
    </row>
    <row r="836" spans="1:3" x14ac:dyDescent="0.35">
      <c r="A836" s="4">
        <v>27814</v>
      </c>
      <c r="B836" s="9">
        <v>4.8</v>
      </c>
      <c r="C836" t="str">
        <f>IF(acs2015_county_data[[#This Row],[Unemployment]]&gt;='Описательные характеристики'!$I$5,"да","нет")</f>
        <v>нет</v>
      </c>
    </row>
    <row r="837" spans="1:3" x14ac:dyDescent="0.35">
      <c r="A837" s="6">
        <v>28398</v>
      </c>
      <c r="B837" s="10">
        <v>3.7</v>
      </c>
      <c r="C837" t="str">
        <f>IF(acs2015_county_data[[#This Row],[Unemployment]]&gt;='Описательные характеристики'!$I$5,"да","нет")</f>
        <v>нет</v>
      </c>
    </row>
    <row r="838" spans="1:3" x14ac:dyDescent="0.35">
      <c r="A838" s="4">
        <v>29022</v>
      </c>
      <c r="B838" s="9">
        <v>1.8</v>
      </c>
      <c r="C838" t="str">
        <f>IF(acs2015_county_data[[#This Row],[Unemployment]]&gt;='Описательные характеристики'!$I$5,"да","нет")</f>
        <v>нет</v>
      </c>
    </row>
    <row r="839" spans="1:3" x14ac:dyDescent="0.35">
      <c r="A839" s="6">
        <v>25546</v>
      </c>
      <c r="B839" s="10">
        <v>4.4000000000000004</v>
      </c>
      <c r="C839" t="str">
        <f>IF(acs2015_county_data[[#This Row],[Unemployment]]&gt;='Описательные характеристики'!$I$5,"да","нет")</f>
        <v>нет</v>
      </c>
    </row>
    <row r="840" spans="1:3" x14ac:dyDescent="0.35">
      <c r="A840" s="4">
        <v>26138</v>
      </c>
      <c r="B840" s="9">
        <v>5.4</v>
      </c>
      <c r="C840" t="str">
        <f>IF(acs2015_county_data[[#This Row],[Unemployment]]&gt;='Описательные характеристики'!$I$5,"да","нет")</f>
        <v>нет</v>
      </c>
    </row>
    <row r="841" spans="1:3" x14ac:dyDescent="0.35">
      <c r="A841" s="6">
        <v>25209</v>
      </c>
      <c r="B841" s="10">
        <v>6.4</v>
      </c>
      <c r="C841" t="str">
        <f>IF(acs2015_county_data[[#This Row],[Unemployment]]&gt;='Описательные характеристики'!$I$5,"да","нет")</f>
        <v>нет</v>
      </c>
    </row>
    <row r="842" spans="1:3" x14ac:dyDescent="0.35">
      <c r="A842" s="4">
        <v>31271</v>
      </c>
      <c r="B842" s="9">
        <v>3.5</v>
      </c>
      <c r="C842" t="str">
        <f>IF(acs2015_county_data[[#This Row],[Unemployment]]&gt;='Описательные характеристики'!$I$5,"да","нет")</f>
        <v>нет</v>
      </c>
    </row>
    <row r="843" spans="1:3" x14ac:dyDescent="0.35">
      <c r="A843" s="6">
        <v>26937</v>
      </c>
      <c r="B843" s="10">
        <v>5</v>
      </c>
      <c r="C843" t="str">
        <f>IF(acs2015_county_data[[#This Row],[Unemployment]]&gt;='Описательные характеристики'!$I$5,"да","нет")</f>
        <v>нет</v>
      </c>
    </row>
    <row r="844" spans="1:3" x14ac:dyDescent="0.35">
      <c r="A844" s="4">
        <v>23076</v>
      </c>
      <c r="B844" s="9">
        <v>5.0999999999999996</v>
      </c>
      <c r="C844" t="str">
        <f>IF(acs2015_county_data[[#This Row],[Unemployment]]&gt;='Описательные характеристики'!$I$5,"да","нет")</f>
        <v>нет</v>
      </c>
    </row>
    <row r="845" spans="1:3" x14ac:dyDescent="0.35">
      <c r="A845" s="6">
        <v>28952</v>
      </c>
      <c r="B845" s="10">
        <v>2.1</v>
      </c>
      <c r="C845" t="str">
        <f>IF(acs2015_county_data[[#This Row],[Unemployment]]&gt;='Описательные характеристики'!$I$5,"да","нет")</f>
        <v>нет</v>
      </c>
    </row>
    <row r="846" spans="1:3" x14ac:dyDescent="0.35">
      <c r="A846" s="4">
        <v>22746</v>
      </c>
      <c r="B846" s="9">
        <v>8.6999999999999993</v>
      </c>
      <c r="C846" t="str">
        <f>IF(acs2015_county_data[[#This Row],[Unemployment]]&gt;='Описательные характеристики'!$I$5,"да","нет")</f>
        <v>да</v>
      </c>
    </row>
    <row r="847" spans="1:3" x14ac:dyDescent="0.35">
      <c r="A847" s="6">
        <v>30829</v>
      </c>
      <c r="B847" s="10">
        <v>4.8</v>
      </c>
      <c r="C847" t="str">
        <f>IF(acs2015_county_data[[#This Row],[Unemployment]]&gt;='Описательные характеристики'!$I$5,"да","нет")</f>
        <v>нет</v>
      </c>
    </row>
    <row r="848" spans="1:3" x14ac:dyDescent="0.35">
      <c r="A848" s="4">
        <v>26176</v>
      </c>
      <c r="B848" s="9">
        <v>4.8</v>
      </c>
      <c r="C848" t="str">
        <f>IF(acs2015_county_data[[#This Row],[Unemployment]]&gt;='Описательные характеристики'!$I$5,"да","нет")</f>
        <v>нет</v>
      </c>
    </row>
    <row r="849" spans="1:3" x14ac:dyDescent="0.35">
      <c r="A849" s="6">
        <v>23512</v>
      </c>
      <c r="B849" s="10">
        <v>5.8</v>
      </c>
      <c r="C849" t="str">
        <f>IF(acs2015_county_data[[#This Row],[Unemployment]]&gt;='Описательные характеристики'!$I$5,"да","нет")</f>
        <v>нет</v>
      </c>
    </row>
    <row r="850" spans="1:3" x14ac:dyDescent="0.35">
      <c r="A850" s="4">
        <v>26777</v>
      </c>
      <c r="B850" s="9">
        <v>2.4</v>
      </c>
      <c r="C850" t="str">
        <f>IF(acs2015_county_data[[#This Row],[Unemployment]]&gt;='Описательные характеристики'!$I$5,"да","нет")</f>
        <v>нет</v>
      </c>
    </row>
    <row r="851" spans="1:3" x14ac:dyDescent="0.35">
      <c r="A851" s="6">
        <v>28922</v>
      </c>
      <c r="B851" s="10">
        <v>5.7</v>
      </c>
      <c r="C851" t="str">
        <f>IF(acs2015_county_data[[#This Row],[Unemployment]]&gt;='Описательные характеристики'!$I$5,"да","нет")</f>
        <v>нет</v>
      </c>
    </row>
    <row r="852" spans="1:3" x14ac:dyDescent="0.35">
      <c r="A852" s="4">
        <v>25228</v>
      </c>
      <c r="B852" s="9">
        <v>8</v>
      </c>
      <c r="C852" t="str">
        <f>IF(acs2015_county_data[[#This Row],[Unemployment]]&gt;='Описательные характеристики'!$I$5,"да","нет")</f>
        <v>да</v>
      </c>
    </row>
    <row r="853" spans="1:3" x14ac:dyDescent="0.35">
      <c r="A853" s="6">
        <v>26280</v>
      </c>
      <c r="B853" s="10">
        <v>4</v>
      </c>
      <c r="C853" t="str">
        <f>IF(acs2015_county_data[[#This Row],[Unemployment]]&gt;='Описательные характеристики'!$I$5,"да","нет")</f>
        <v>нет</v>
      </c>
    </row>
    <row r="854" spans="1:3" x14ac:dyDescent="0.35">
      <c r="A854" s="4">
        <v>24648</v>
      </c>
      <c r="B854" s="9">
        <v>6.3</v>
      </c>
      <c r="C854" t="str">
        <f>IF(acs2015_county_data[[#This Row],[Unemployment]]&gt;='Описательные характеристики'!$I$5,"да","нет")</f>
        <v>нет</v>
      </c>
    </row>
    <row r="855" spans="1:3" x14ac:dyDescent="0.35">
      <c r="A855" s="6">
        <v>28280</v>
      </c>
      <c r="B855" s="10">
        <v>3.8</v>
      </c>
      <c r="C855" t="str">
        <f>IF(acs2015_county_data[[#This Row],[Unemployment]]&gt;='Описательные характеристики'!$I$5,"да","нет")</f>
        <v>нет</v>
      </c>
    </row>
    <row r="856" spans="1:3" x14ac:dyDescent="0.35">
      <c r="A856" s="4">
        <v>25706</v>
      </c>
      <c r="B856" s="9">
        <v>3.2</v>
      </c>
      <c r="C856" t="str">
        <f>IF(acs2015_county_data[[#This Row],[Unemployment]]&gt;='Описательные характеристики'!$I$5,"да","нет")</f>
        <v>нет</v>
      </c>
    </row>
    <row r="857" spans="1:3" x14ac:dyDescent="0.35">
      <c r="A857" s="6">
        <v>24730</v>
      </c>
      <c r="B857" s="10">
        <v>5.5</v>
      </c>
      <c r="C857" t="str">
        <f>IF(acs2015_county_data[[#This Row],[Unemployment]]&gt;='Описательные характеристики'!$I$5,"да","нет")</f>
        <v>нет</v>
      </c>
    </row>
    <row r="858" spans="1:3" x14ac:dyDescent="0.35">
      <c r="A858" s="4">
        <v>25753</v>
      </c>
      <c r="B858" s="9">
        <v>6.2</v>
      </c>
      <c r="C858" t="str">
        <f>IF(acs2015_county_data[[#This Row],[Unemployment]]&gt;='Описательные характеристики'!$I$5,"да","нет")</f>
        <v>нет</v>
      </c>
    </row>
    <row r="859" spans="1:3" x14ac:dyDescent="0.35">
      <c r="A859" s="6">
        <v>23445</v>
      </c>
      <c r="B859" s="10">
        <v>9.6</v>
      </c>
      <c r="C859" t="str">
        <f>IF(acs2015_county_data[[#This Row],[Unemployment]]&gt;='Описательные характеристики'!$I$5,"да","нет")</f>
        <v>да</v>
      </c>
    </row>
    <row r="860" spans="1:3" x14ac:dyDescent="0.35">
      <c r="A860" s="4">
        <v>25503</v>
      </c>
      <c r="B860" s="9">
        <v>4.5999999999999996</v>
      </c>
      <c r="C860" t="str">
        <f>IF(acs2015_county_data[[#This Row],[Unemployment]]&gt;='Описательные характеристики'!$I$5,"да","нет")</f>
        <v>нет</v>
      </c>
    </row>
    <row r="861" spans="1:3" x14ac:dyDescent="0.35">
      <c r="A861" s="6">
        <v>30600</v>
      </c>
      <c r="B861" s="10">
        <v>2.8</v>
      </c>
      <c r="C861" t="str">
        <f>IF(acs2015_county_data[[#This Row],[Unemployment]]&gt;='Описательные характеристики'!$I$5,"да","нет")</f>
        <v>нет</v>
      </c>
    </row>
    <row r="862" spans="1:3" x14ac:dyDescent="0.35">
      <c r="A862" s="4">
        <v>25306</v>
      </c>
      <c r="B862" s="9">
        <v>3.3</v>
      </c>
      <c r="C862" t="str">
        <f>IF(acs2015_county_data[[#This Row],[Unemployment]]&gt;='Описательные характеристики'!$I$5,"да","нет")</f>
        <v>нет</v>
      </c>
    </row>
    <row r="863" spans="1:3" x14ac:dyDescent="0.35">
      <c r="A863" s="6">
        <v>23617</v>
      </c>
      <c r="B863" s="10">
        <v>5.0999999999999996</v>
      </c>
      <c r="C863" t="str">
        <f>IF(acs2015_county_data[[#This Row],[Unemployment]]&gt;='Описательные характеристики'!$I$5,"да","нет")</f>
        <v>нет</v>
      </c>
    </row>
    <row r="864" spans="1:3" x14ac:dyDescent="0.35">
      <c r="A864" s="4">
        <v>26154</v>
      </c>
      <c r="B864" s="9">
        <v>2.9</v>
      </c>
      <c r="C864" t="str">
        <f>IF(acs2015_county_data[[#This Row],[Unemployment]]&gt;='Описательные характеристики'!$I$5,"да","нет")</f>
        <v>нет</v>
      </c>
    </row>
    <row r="865" spans="1:3" x14ac:dyDescent="0.35">
      <c r="A865" s="6">
        <v>27991</v>
      </c>
      <c r="B865" s="10">
        <v>3.4</v>
      </c>
      <c r="C865" t="str">
        <f>IF(acs2015_county_data[[#This Row],[Unemployment]]&gt;='Описательные характеристики'!$I$5,"да","нет")</f>
        <v>нет</v>
      </c>
    </row>
    <row r="866" spans="1:3" x14ac:dyDescent="0.35">
      <c r="A866" s="4">
        <v>26406</v>
      </c>
      <c r="B866" s="9">
        <v>4.9000000000000004</v>
      </c>
      <c r="C866" t="str">
        <f>IF(acs2015_county_data[[#This Row],[Unemployment]]&gt;='Описательные характеристики'!$I$5,"да","нет")</f>
        <v>нет</v>
      </c>
    </row>
    <row r="867" spans="1:3" x14ac:dyDescent="0.35">
      <c r="A867" s="6">
        <v>31291</v>
      </c>
      <c r="B867" s="10">
        <v>5.8</v>
      </c>
      <c r="C867" t="str">
        <f>IF(acs2015_county_data[[#This Row],[Unemployment]]&gt;='Описательные характеристики'!$I$5,"да","нет")</f>
        <v>нет</v>
      </c>
    </row>
    <row r="868" spans="1:3" x14ac:dyDescent="0.35">
      <c r="A868" s="4">
        <v>27057</v>
      </c>
      <c r="B868" s="9">
        <v>5</v>
      </c>
      <c r="C868" t="str">
        <f>IF(acs2015_county_data[[#This Row],[Unemployment]]&gt;='Описательные характеристики'!$I$5,"да","нет")</f>
        <v>нет</v>
      </c>
    </row>
    <row r="869" spans="1:3" x14ac:dyDescent="0.35">
      <c r="A869" s="6">
        <v>26018</v>
      </c>
      <c r="B869" s="10">
        <v>4.8</v>
      </c>
      <c r="C869" t="str">
        <f>IF(acs2015_county_data[[#This Row],[Unemployment]]&gt;='Описательные характеристики'!$I$5,"да","нет")</f>
        <v>нет</v>
      </c>
    </row>
    <row r="870" spans="1:3" x14ac:dyDescent="0.35">
      <c r="A870" s="4">
        <v>26557</v>
      </c>
      <c r="B870" s="9">
        <v>4.8</v>
      </c>
      <c r="C870" t="str">
        <f>IF(acs2015_county_data[[#This Row],[Unemployment]]&gt;='Описательные характеристики'!$I$5,"да","нет")</f>
        <v>нет</v>
      </c>
    </row>
    <row r="871" spans="1:3" x14ac:dyDescent="0.35">
      <c r="A871" s="6">
        <v>26991</v>
      </c>
      <c r="B871" s="10">
        <v>4</v>
      </c>
      <c r="C871" t="str">
        <f>IF(acs2015_county_data[[#This Row],[Unemployment]]&gt;='Описательные характеристики'!$I$5,"да","нет")</f>
        <v>нет</v>
      </c>
    </row>
    <row r="872" spans="1:3" x14ac:dyDescent="0.35">
      <c r="A872" s="4">
        <v>29391</v>
      </c>
      <c r="B872" s="9">
        <v>5.4</v>
      </c>
      <c r="C872" t="str">
        <f>IF(acs2015_county_data[[#This Row],[Unemployment]]&gt;='Описательные характеристики'!$I$5,"да","нет")</f>
        <v>нет</v>
      </c>
    </row>
    <row r="873" spans="1:3" x14ac:dyDescent="0.35">
      <c r="A873" s="6">
        <v>27695</v>
      </c>
      <c r="B873" s="10">
        <v>2.9</v>
      </c>
      <c r="C873" t="str">
        <f>IF(acs2015_county_data[[#This Row],[Unemployment]]&gt;='Описательные характеристики'!$I$5,"да","нет")</f>
        <v>нет</v>
      </c>
    </row>
    <row r="874" spans="1:3" x14ac:dyDescent="0.35">
      <c r="A874" s="4">
        <v>26029</v>
      </c>
      <c r="B874" s="9">
        <v>1.8</v>
      </c>
      <c r="C874" t="str">
        <f>IF(acs2015_county_data[[#This Row],[Unemployment]]&gt;='Описательные характеристики'!$I$5,"да","нет")</f>
        <v>нет</v>
      </c>
    </row>
    <row r="875" spans="1:3" x14ac:dyDescent="0.35">
      <c r="A875" s="6">
        <v>25589</v>
      </c>
      <c r="B875" s="10">
        <v>5.5</v>
      </c>
      <c r="C875" t="str">
        <f>IF(acs2015_county_data[[#This Row],[Unemployment]]&gt;='Описательные характеристики'!$I$5,"да","нет")</f>
        <v>нет</v>
      </c>
    </row>
    <row r="876" spans="1:3" x14ac:dyDescent="0.35">
      <c r="A876" s="4">
        <v>26432</v>
      </c>
      <c r="B876" s="9">
        <v>5.6</v>
      </c>
      <c r="C876" t="str">
        <f>IF(acs2015_county_data[[#This Row],[Unemployment]]&gt;='Описательные характеристики'!$I$5,"да","нет")</f>
        <v>нет</v>
      </c>
    </row>
    <row r="877" spans="1:3" x14ac:dyDescent="0.35">
      <c r="A877" s="6">
        <v>23821</v>
      </c>
      <c r="B877" s="10">
        <v>4.4000000000000004</v>
      </c>
      <c r="C877" t="str">
        <f>IF(acs2015_county_data[[#This Row],[Unemployment]]&gt;='Описательные характеристики'!$I$5,"да","нет")</f>
        <v>нет</v>
      </c>
    </row>
    <row r="878" spans="1:3" x14ac:dyDescent="0.35">
      <c r="A878" s="4">
        <v>24022</v>
      </c>
      <c r="B878" s="9">
        <v>5.4</v>
      </c>
      <c r="C878" t="str">
        <f>IF(acs2015_county_data[[#This Row],[Unemployment]]&gt;='Описательные характеристики'!$I$5,"да","нет")</f>
        <v>нет</v>
      </c>
    </row>
    <row r="879" spans="1:3" x14ac:dyDescent="0.35">
      <c r="A879" s="6">
        <v>23268</v>
      </c>
      <c r="B879" s="10">
        <v>6.6</v>
      </c>
      <c r="C879" t="str">
        <f>IF(acs2015_county_data[[#This Row],[Unemployment]]&gt;='Описательные характеристики'!$I$5,"да","нет")</f>
        <v>нет</v>
      </c>
    </row>
    <row r="880" spans="1:3" x14ac:dyDescent="0.35">
      <c r="A880" s="4">
        <v>22716</v>
      </c>
      <c r="B880" s="9">
        <v>8</v>
      </c>
      <c r="C880" t="str">
        <f>IF(acs2015_county_data[[#This Row],[Unemployment]]&gt;='Описательные характеристики'!$I$5,"да","нет")</f>
        <v>да</v>
      </c>
    </row>
    <row r="881" spans="1:3" x14ac:dyDescent="0.35">
      <c r="A881" s="6">
        <v>30086</v>
      </c>
      <c r="B881" s="10">
        <v>4.8</v>
      </c>
      <c r="C881" t="str">
        <f>IF(acs2015_county_data[[#This Row],[Unemployment]]&gt;='Описательные характеристики'!$I$5,"да","нет")</f>
        <v>нет</v>
      </c>
    </row>
    <row r="882" spans="1:3" x14ac:dyDescent="0.35">
      <c r="A882" s="4">
        <v>27228</v>
      </c>
      <c r="B882" s="9">
        <v>4.2</v>
      </c>
      <c r="C882" t="str">
        <f>IF(acs2015_county_data[[#This Row],[Unemployment]]&gt;='Описательные характеристики'!$I$5,"да","нет")</f>
        <v>нет</v>
      </c>
    </row>
    <row r="883" spans="1:3" x14ac:dyDescent="0.35">
      <c r="A883" s="6">
        <v>23009</v>
      </c>
      <c r="B883" s="10">
        <v>4.3</v>
      </c>
      <c r="C883" t="str">
        <f>IF(acs2015_county_data[[#This Row],[Unemployment]]&gt;='Описательные характеристики'!$I$5,"да","нет")</f>
        <v>нет</v>
      </c>
    </row>
    <row r="884" spans="1:3" x14ac:dyDescent="0.35">
      <c r="A884" s="4">
        <v>23718</v>
      </c>
      <c r="B884" s="9">
        <v>8.4</v>
      </c>
      <c r="C884" t="str">
        <f>IF(acs2015_county_data[[#This Row],[Unemployment]]&gt;='Описательные характеристики'!$I$5,"да","нет")</f>
        <v>да</v>
      </c>
    </row>
    <row r="885" spans="1:3" x14ac:dyDescent="0.35">
      <c r="A885" s="6">
        <v>25021</v>
      </c>
      <c r="B885" s="10">
        <v>6.2</v>
      </c>
      <c r="C885" t="str">
        <f>IF(acs2015_county_data[[#This Row],[Unemployment]]&gt;='Описательные характеристики'!$I$5,"да","нет")</f>
        <v>нет</v>
      </c>
    </row>
    <row r="886" spans="1:3" x14ac:dyDescent="0.35">
      <c r="A886" s="4">
        <v>26211</v>
      </c>
      <c r="B886" s="9">
        <v>3</v>
      </c>
      <c r="C886" t="str">
        <f>IF(acs2015_county_data[[#This Row],[Unemployment]]&gt;='Описательные характеристики'!$I$5,"да","нет")</f>
        <v>нет</v>
      </c>
    </row>
    <row r="887" spans="1:3" x14ac:dyDescent="0.35">
      <c r="A887" s="6">
        <v>23630</v>
      </c>
      <c r="B887" s="10">
        <v>5.2</v>
      </c>
      <c r="C887" t="str">
        <f>IF(acs2015_county_data[[#This Row],[Unemployment]]&gt;='Описательные характеристики'!$I$5,"да","нет")</f>
        <v>нет</v>
      </c>
    </row>
    <row r="888" spans="1:3" x14ac:dyDescent="0.35">
      <c r="A888" s="4">
        <v>24734</v>
      </c>
      <c r="B888" s="9">
        <v>4.7</v>
      </c>
      <c r="C888" t="str">
        <f>IF(acs2015_county_data[[#This Row],[Unemployment]]&gt;='Описательные характеристики'!$I$5,"да","нет")</f>
        <v>нет</v>
      </c>
    </row>
    <row r="889" spans="1:3" x14ac:dyDescent="0.35">
      <c r="A889" s="6">
        <v>26316</v>
      </c>
      <c r="B889" s="10">
        <v>5.7</v>
      </c>
      <c r="C889" t="str">
        <f>IF(acs2015_county_data[[#This Row],[Unemployment]]&gt;='Описательные характеристики'!$I$5,"да","нет")</f>
        <v>нет</v>
      </c>
    </row>
    <row r="890" spans="1:3" x14ac:dyDescent="0.35">
      <c r="A890" s="4">
        <v>20671</v>
      </c>
      <c r="B890" s="9">
        <v>7</v>
      </c>
      <c r="C890" t="str">
        <f>IF(acs2015_county_data[[#This Row],[Unemployment]]&gt;='Описательные характеристики'!$I$5,"да","нет")</f>
        <v>нет</v>
      </c>
    </row>
    <row r="891" spans="1:3" x14ac:dyDescent="0.35">
      <c r="A891" s="6">
        <v>21226</v>
      </c>
      <c r="B891" s="10">
        <v>5.9</v>
      </c>
      <c r="C891" t="str">
        <f>IF(acs2015_county_data[[#This Row],[Unemployment]]&gt;='Описательные характеристики'!$I$5,"да","нет")</f>
        <v>нет</v>
      </c>
    </row>
    <row r="892" spans="1:3" x14ac:dyDescent="0.35">
      <c r="A892" s="4">
        <v>21677</v>
      </c>
      <c r="B892" s="9">
        <v>7.3</v>
      </c>
      <c r="C892" t="str">
        <f>IF(acs2015_county_data[[#This Row],[Unemployment]]&gt;='Описательные характеристики'!$I$5,"да","нет")</f>
        <v>нет</v>
      </c>
    </row>
    <row r="893" spans="1:3" x14ac:dyDescent="0.35">
      <c r="A893" s="6">
        <v>28174</v>
      </c>
      <c r="B893" s="10">
        <v>3.1</v>
      </c>
      <c r="C893" t="str">
        <f>IF(acs2015_county_data[[#This Row],[Unemployment]]&gt;='Описательные характеристики'!$I$5,"да","нет")</f>
        <v>нет</v>
      </c>
    </row>
    <row r="894" spans="1:3" x14ac:dyDescent="0.35">
      <c r="A894" s="4">
        <v>24338</v>
      </c>
      <c r="B894" s="9">
        <v>6.8</v>
      </c>
      <c r="C894" t="str">
        <f>IF(acs2015_county_data[[#This Row],[Unemployment]]&gt;='Описательные характеристики'!$I$5,"да","нет")</f>
        <v>нет</v>
      </c>
    </row>
    <row r="895" spans="1:3" x14ac:dyDescent="0.35">
      <c r="A895" s="6">
        <v>20783</v>
      </c>
      <c r="B895" s="10">
        <v>3.3</v>
      </c>
      <c r="C895" t="str">
        <f>IF(acs2015_county_data[[#This Row],[Unemployment]]&gt;='Описательные характеристики'!$I$5,"да","нет")</f>
        <v>нет</v>
      </c>
    </row>
    <row r="896" spans="1:3" x14ac:dyDescent="0.35">
      <c r="A896" s="4">
        <v>22600</v>
      </c>
      <c r="B896" s="9">
        <v>4.5</v>
      </c>
      <c r="C896" t="str">
        <f>IF(acs2015_county_data[[#This Row],[Unemployment]]&gt;='Описательные характеристики'!$I$5,"да","нет")</f>
        <v>нет</v>
      </c>
    </row>
    <row r="897" spans="1:3" x14ac:dyDescent="0.35">
      <c r="A897" s="6">
        <v>27647</v>
      </c>
      <c r="B897" s="10">
        <v>5.6</v>
      </c>
      <c r="C897" t="str">
        <f>IF(acs2015_county_data[[#This Row],[Unemployment]]&gt;='Описательные характеристики'!$I$5,"да","нет")</f>
        <v>нет</v>
      </c>
    </row>
    <row r="898" spans="1:3" x14ac:dyDescent="0.35">
      <c r="A898" s="4">
        <v>23459</v>
      </c>
      <c r="B898" s="9">
        <v>2.9</v>
      </c>
      <c r="C898" t="str">
        <f>IF(acs2015_county_data[[#This Row],[Unemployment]]&gt;='Описательные характеристики'!$I$5,"да","нет")</f>
        <v>нет</v>
      </c>
    </row>
    <row r="899" spans="1:3" x14ac:dyDescent="0.35">
      <c r="A899" s="6">
        <v>23584</v>
      </c>
      <c r="B899" s="10">
        <v>5.0999999999999996</v>
      </c>
      <c r="C899" t="str">
        <f>IF(acs2015_county_data[[#This Row],[Unemployment]]&gt;='Описательные характеристики'!$I$5,"да","нет")</f>
        <v>нет</v>
      </c>
    </row>
    <row r="900" spans="1:3" x14ac:dyDescent="0.35">
      <c r="A900" s="4">
        <v>19809</v>
      </c>
      <c r="B900" s="9">
        <v>5.8</v>
      </c>
      <c r="C900" t="str">
        <f>IF(acs2015_county_data[[#This Row],[Unemployment]]&gt;='Описательные характеристики'!$I$5,"да","нет")</f>
        <v>нет</v>
      </c>
    </row>
    <row r="901" spans="1:3" x14ac:dyDescent="0.35">
      <c r="A901" s="6">
        <v>26626</v>
      </c>
      <c r="B901" s="10">
        <v>1.9</v>
      </c>
      <c r="C901" t="str">
        <f>IF(acs2015_county_data[[#This Row],[Unemployment]]&gt;='Описательные характеристики'!$I$5,"да","нет")</f>
        <v>нет</v>
      </c>
    </row>
    <row r="902" spans="1:3" x14ac:dyDescent="0.35">
      <c r="A902" s="4">
        <v>25106</v>
      </c>
      <c r="B902" s="9">
        <v>1.4</v>
      </c>
      <c r="C902" t="str">
        <f>IF(acs2015_county_data[[#This Row],[Unemployment]]&gt;='Описательные характеристики'!$I$5,"да","нет")</f>
        <v>нет</v>
      </c>
    </row>
    <row r="903" spans="1:3" x14ac:dyDescent="0.35">
      <c r="A903" s="6">
        <v>26807</v>
      </c>
      <c r="B903" s="10">
        <v>1.9</v>
      </c>
      <c r="C903" t="str">
        <f>IF(acs2015_county_data[[#This Row],[Unemployment]]&gt;='Описательные характеристики'!$I$5,"да","нет")</f>
        <v>нет</v>
      </c>
    </row>
    <row r="904" spans="1:3" x14ac:dyDescent="0.35">
      <c r="A904" s="4">
        <v>22441</v>
      </c>
      <c r="B904" s="9">
        <v>6.8</v>
      </c>
      <c r="C904" t="str">
        <f>IF(acs2015_county_data[[#This Row],[Unemployment]]&gt;='Описательные характеристики'!$I$5,"да","нет")</f>
        <v>нет</v>
      </c>
    </row>
    <row r="905" spans="1:3" x14ac:dyDescent="0.35">
      <c r="A905" s="6">
        <v>29382</v>
      </c>
      <c r="B905" s="10">
        <v>5.0999999999999996</v>
      </c>
      <c r="C905" t="str">
        <f>IF(acs2015_county_data[[#This Row],[Unemployment]]&gt;='Описательные характеристики'!$I$5,"да","нет")</f>
        <v>нет</v>
      </c>
    </row>
    <row r="906" spans="1:3" x14ac:dyDescent="0.35">
      <c r="A906" s="4">
        <v>23661</v>
      </c>
      <c r="B906" s="9">
        <v>5.4</v>
      </c>
      <c r="C906" t="str">
        <f>IF(acs2015_county_data[[#This Row],[Unemployment]]&gt;='Описательные характеристики'!$I$5,"да","нет")</f>
        <v>нет</v>
      </c>
    </row>
    <row r="907" spans="1:3" x14ac:dyDescent="0.35">
      <c r="A907" s="6">
        <v>21950</v>
      </c>
      <c r="B907" s="10">
        <v>7</v>
      </c>
      <c r="C907" t="str">
        <f>IF(acs2015_county_data[[#This Row],[Unemployment]]&gt;='Описательные характеристики'!$I$5,"да","нет")</f>
        <v>нет</v>
      </c>
    </row>
    <row r="908" spans="1:3" x14ac:dyDescent="0.35">
      <c r="A908" s="4">
        <v>20346</v>
      </c>
      <c r="B908" s="9">
        <v>5.6</v>
      </c>
      <c r="C908" t="str">
        <f>IF(acs2015_county_data[[#This Row],[Unemployment]]&gt;='Описательные характеристики'!$I$5,"да","нет")</f>
        <v>нет</v>
      </c>
    </row>
    <row r="909" spans="1:3" x14ac:dyDescent="0.35">
      <c r="A909" s="6">
        <v>29891</v>
      </c>
      <c r="B909" s="10">
        <v>3.8</v>
      </c>
      <c r="C909" t="str">
        <f>IF(acs2015_county_data[[#This Row],[Unemployment]]&gt;='Описательные характеристики'!$I$5,"да","нет")</f>
        <v>нет</v>
      </c>
    </row>
    <row r="910" spans="1:3" x14ac:dyDescent="0.35">
      <c r="A910" s="4">
        <v>24430</v>
      </c>
      <c r="B910" s="9">
        <v>6.7</v>
      </c>
      <c r="C910" t="str">
        <f>IF(acs2015_county_data[[#This Row],[Unemployment]]&gt;='Описательные характеристики'!$I$5,"да","нет")</f>
        <v>нет</v>
      </c>
    </row>
    <row r="911" spans="1:3" x14ac:dyDescent="0.35">
      <c r="A911" s="6">
        <v>23471</v>
      </c>
      <c r="B911" s="10">
        <v>5.8</v>
      </c>
      <c r="C911" t="str">
        <f>IF(acs2015_county_data[[#This Row],[Unemployment]]&gt;='Описательные характеристики'!$I$5,"да","нет")</f>
        <v>нет</v>
      </c>
    </row>
    <row r="912" spans="1:3" x14ac:dyDescent="0.35">
      <c r="A912" s="4">
        <v>27611</v>
      </c>
      <c r="B912" s="9">
        <v>6</v>
      </c>
      <c r="C912" t="str">
        <f>IF(acs2015_county_data[[#This Row],[Unemployment]]&gt;='Описательные характеристики'!$I$5,"да","нет")</f>
        <v>нет</v>
      </c>
    </row>
    <row r="913" spans="1:3" x14ac:dyDescent="0.35">
      <c r="A913" s="6">
        <v>25584</v>
      </c>
      <c r="B913" s="10">
        <v>2</v>
      </c>
      <c r="C913" t="str">
        <f>IF(acs2015_county_data[[#This Row],[Unemployment]]&gt;='Описательные характеристики'!$I$5,"да","нет")</f>
        <v>нет</v>
      </c>
    </row>
    <row r="914" spans="1:3" x14ac:dyDescent="0.35">
      <c r="A914" s="4">
        <v>21764</v>
      </c>
      <c r="B914" s="9">
        <v>5.3</v>
      </c>
      <c r="C914" t="str">
        <f>IF(acs2015_county_data[[#This Row],[Unemployment]]&gt;='Описательные характеристики'!$I$5,"да","нет")</f>
        <v>нет</v>
      </c>
    </row>
    <row r="915" spans="1:3" x14ac:dyDescent="0.35">
      <c r="A915" s="6">
        <v>26098</v>
      </c>
      <c r="B915" s="10">
        <v>4.5</v>
      </c>
      <c r="C915" t="str">
        <f>IF(acs2015_county_data[[#This Row],[Unemployment]]&gt;='Описательные характеристики'!$I$5,"да","нет")</f>
        <v>нет</v>
      </c>
    </row>
    <row r="916" spans="1:3" x14ac:dyDescent="0.35">
      <c r="A916" s="4">
        <v>24102</v>
      </c>
      <c r="B916" s="9">
        <v>4.3</v>
      </c>
      <c r="C916" t="str">
        <f>IF(acs2015_county_data[[#This Row],[Unemployment]]&gt;='Описательные характеристики'!$I$5,"да","нет")</f>
        <v>нет</v>
      </c>
    </row>
    <row r="917" spans="1:3" x14ac:dyDescent="0.35">
      <c r="A917" s="6">
        <v>22145</v>
      </c>
      <c r="B917" s="10">
        <v>4.5999999999999996</v>
      </c>
      <c r="C917" t="str">
        <f>IF(acs2015_county_data[[#This Row],[Unemployment]]&gt;='Описательные характеристики'!$I$5,"да","нет")</f>
        <v>нет</v>
      </c>
    </row>
    <row r="918" spans="1:3" x14ac:dyDescent="0.35">
      <c r="A918" s="4">
        <v>20619</v>
      </c>
      <c r="B918" s="9">
        <v>6.4</v>
      </c>
      <c r="C918" t="str">
        <f>IF(acs2015_county_data[[#This Row],[Unemployment]]&gt;='Описательные характеристики'!$I$5,"да","нет")</f>
        <v>нет</v>
      </c>
    </row>
    <row r="919" spans="1:3" x14ac:dyDescent="0.35">
      <c r="A919" s="6">
        <v>24567</v>
      </c>
      <c r="B919" s="10">
        <v>6.9</v>
      </c>
      <c r="C919" t="str">
        <f>IF(acs2015_county_data[[#This Row],[Unemployment]]&gt;='Описательные характеристики'!$I$5,"да","нет")</f>
        <v>нет</v>
      </c>
    </row>
    <row r="920" spans="1:3" x14ac:dyDescent="0.35">
      <c r="A920" s="4">
        <v>21450</v>
      </c>
      <c r="B920" s="9">
        <v>9.1999999999999993</v>
      </c>
      <c r="C920" t="str">
        <f>IF(acs2015_county_data[[#This Row],[Unemployment]]&gt;='Описательные характеристики'!$I$5,"да","нет")</f>
        <v>да</v>
      </c>
    </row>
    <row r="921" spans="1:3" x14ac:dyDescent="0.35">
      <c r="A921" s="6">
        <v>25484</v>
      </c>
      <c r="B921" s="10">
        <v>1.9</v>
      </c>
      <c r="C921" t="str">
        <f>IF(acs2015_county_data[[#This Row],[Unemployment]]&gt;='Описательные характеристики'!$I$5,"да","нет")</f>
        <v>нет</v>
      </c>
    </row>
    <row r="922" spans="1:3" x14ac:dyDescent="0.35">
      <c r="A922" s="4">
        <v>28233</v>
      </c>
      <c r="B922" s="9">
        <v>2.4</v>
      </c>
      <c r="C922" t="str">
        <f>IF(acs2015_county_data[[#This Row],[Unemployment]]&gt;='Описательные характеристики'!$I$5,"да","нет")</f>
        <v>нет</v>
      </c>
    </row>
    <row r="923" spans="1:3" x14ac:dyDescent="0.35">
      <c r="A923" s="6">
        <v>25195</v>
      </c>
      <c r="B923" s="10">
        <v>7.3</v>
      </c>
      <c r="C923" t="str">
        <f>IF(acs2015_county_data[[#This Row],[Unemployment]]&gt;='Описательные характеристики'!$I$5,"да","нет")</f>
        <v>нет</v>
      </c>
    </row>
    <row r="924" spans="1:3" x14ac:dyDescent="0.35">
      <c r="A924" s="4">
        <v>26131</v>
      </c>
      <c r="B924" s="9">
        <v>2.9</v>
      </c>
      <c r="C924" t="str">
        <f>IF(acs2015_county_data[[#This Row],[Unemployment]]&gt;='Описательные характеристики'!$I$5,"да","нет")</f>
        <v>нет</v>
      </c>
    </row>
    <row r="925" spans="1:3" x14ac:dyDescent="0.35">
      <c r="A925" s="6">
        <v>25994</v>
      </c>
      <c r="B925" s="10">
        <v>2.1</v>
      </c>
      <c r="C925" t="str">
        <f>IF(acs2015_county_data[[#This Row],[Unemployment]]&gt;='Описательные характеристики'!$I$5,"да","нет")</f>
        <v>нет</v>
      </c>
    </row>
    <row r="926" spans="1:3" x14ac:dyDescent="0.35">
      <c r="A926" s="4">
        <v>23335</v>
      </c>
      <c r="B926" s="9">
        <v>3.5</v>
      </c>
      <c r="C926" t="str">
        <f>IF(acs2015_county_data[[#This Row],[Unemployment]]&gt;='Описательные характеристики'!$I$5,"да","нет")</f>
        <v>нет</v>
      </c>
    </row>
    <row r="927" spans="1:3" x14ac:dyDescent="0.35">
      <c r="A927" s="6">
        <v>22250</v>
      </c>
      <c r="B927" s="10">
        <v>2.2999999999999998</v>
      </c>
      <c r="C927" t="str">
        <f>IF(acs2015_county_data[[#This Row],[Unemployment]]&gt;='Описательные характеристики'!$I$5,"да","нет")</f>
        <v>нет</v>
      </c>
    </row>
    <row r="928" spans="1:3" x14ac:dyDescent="0.35">
      <c r="A928" s="4">
        <v>24640</v>
      </c>
      <c r="B928" s="9">
        <v>3.7</v>
      </c>
      <c r="C928" t="str">
        <f>IF(acs2015_county_data[[#This Row],[Unemployment]]&gt;='Описательные характеристики'!$I$5,"да","нет")</f>
        <v>нет</v>
      </c>
    </row>
    <row r="929" spans="1:3" x14ac:dyDescent="0.35">
      <c r="A929" s="6">
        <v>24453</v>
      </c>
      <c r="B929" s="10">
        <v>4.4000000000000004</v>
      </c>
      <c r="C929" t="str">
        <f>IF(acs2015_county_data[[#This Row],[Unemployment]]&gt;='Описательные характеристики'!$I$5,"да","нет")</f>
        <v>нет</v>
      </c>
    </row>
    <row r="930" spans="1:3" x14ac:dyDescent="0.35">
      <c r="A930" s="4">
        <v>24362</v>
      </c>
      <c r="B930" s="9">
        <v>3.9</v>
      </c>
      <c r="C930" t="str">
        <f>IF(acs2015_county_data[[#This Row],[Unemployment]]&gt;='Описательные характеристики'!$I$5,"да","нет")</f>
        <v>нет</v>
      </c>
    </row>
    <row r="931" spans="1:3" x14ac:dyDescent="0.35">
      <c r="A931" s="6">
        <v>31547</v>
      </c>
      <c r="B931" s="10">
        <v>2.5</v>
      </c>
      <c r="C931" t="str">
        <f>IF(acs2015_county_data[[#This Row],[Unemployment]]&gt;='Описательные характеристики'!$I$5,"да","нет")</f>
        <v>нет</v>
      </c>
    </row>
    <row r="932" spans="1:3" x14ac:dyDescent="0.35">
      <c r="A932" s="4">
        <v>25038</v>
      </c>
      <c r="B932" s="9">
        <v>4.4000000000000004</v>
      </c>
      <c r="C932" t="str">
        <f>IF(acs2015_county_data[[#This Row],[Unemployment]]&gt;='Описательные характеристики'!$I$5,"да","нет")</f>
        <v>нет</v>
      </c>
    </row>
    <row r="933" spans="1:3" x14ac:dyDescent="0.35">
      <c r="A933" s="6">
        <v>26227</v>
      </c>
      <c r="B933" s="10">
        <v>6.9</v>
      </c>
      <c r="C933" t="str">
        <f>IF(acs2015_county_data[[#This Row],[Unemployment]]&gt;='Описательные характеристики'!$I$5,"да","нет")</f>
        <v>нет</v>
      </c>
    </row>
    <row r="934" spans="1:3" x14ac:dyDescent="0.35">
      <c r="A934" s="4">
        <v>23002</v>
      </c>
      <c r="B934" s="9">
        <v>2.5</v>
      </c>
      <c r="C934" t="str">
        <f>IF(acs2015_county_data[[#This Row],[Unemployment]]&gt;='Описательные характеристики'!$I$5,"да","нет")</f>
        <v>нет</v>
      </c>
    </row>
    <row r="935" spans="1:3" x14ac:dyDescent="0.35">
      <c r="A935" s="6">
        <v>40331</v>
      </c>
      <c r="B935" s="10">
        <v>4.5</v>
      </c>
      <c r="C935" t="str">
        <f>IF(acs2015_county_data[[#This Row],[Unemployment]]&gt;='Описательные характеристики'!$I$5,"да","нет")</f>
        <v>нет</v>
      </c>
    </row>
    <row r="936" spans="1:3" x14ac:dyDescent="0.35">
      <c r="A936" s="4">
        <v>23884</v>
      </c>
      <c r="B936" s="9">
        <v>1.8</v>
      </c>
      <c r="C936" t="str">
        <f>IF(acs2015_county_data[[#This Row],[Unemployment]]&gt;='Описательные характеристики'!$I$5,"да","нет")</f>
        <v>нет</v>
      </c>
    </row>
    <row r="937" spans="1:3" x14ac:dyDescent="0.35">
      <c r="A937" s="6">
        <v>24998</v>
      </c>
      <c r="B937" s="10">
        <v>5.7</v>
      </c>
      <c r="C937" t="str">
        <f>IF(acs2015_county_data[[#This Row],[Unemployment]]&gt;='Описательные характеристики'!$I$5,"да","нет")</f>
        <v>нет</v>
      </c>
    </row>
    <row r="938" spans="1:3" x14ac:dyDescent="0.35">
      <c r="A938" s="4">
        <v>24116</v>
      </c>
      <c r="B938" s="9">
        <v>4</v>
      </c>
      <c r="C938" t="str">
        <f>IF(acs2015_county_data[[#This Row],[Unemployment]]&gt;='Описательные характеристики'!$I$5,"да","нет")</f>
        <v>нет</v>
      </c>
    </row>
    <row r="939" spans="1:3" x14ac:dyDescent="0.35">
      <c r="A939" s="6">
        <v>21006</v>
      </c>
      <c r="B939" s="10">
        <v>5.3</v>
      </c>
      <c r="C939" t="str">
        <f>IF(acs2015_county_data[[#This Row],[Unemployment]]&gt;='Описательные характеристики'!$I$5,"да","нет")</f>
        <v>нет</v>
      </c>
    </row>
    <row r="940" spans="1:3" x14ac:dyDescent="0.35">
      <c r="A940" s="4">
        <v>31458</v>
      </c>
      <c r="B940" s="9">
        <v>2.4</v>
      </c>
      <c r="C940" t="str">
        <f>IF(acs2015_county_data[[#This Row],[Unemployment]]&gt;='Описательные характеристики'!$I$5,"да","нет")</f>
        <v>нет</v>
      </c>
    </row>
    <row r="941" spans="1:3" x14ac:dyDescent="0.35">
      <c r="A941" s="6">
        <v>27138</v>
      </c>
      <c r="B941" s="10">
        <v>5.9</v>
      </c>
      <c r="C941" t="str">
        <f>IF(acs2015_county_data[[#This Row],[Unemployment]]&gt;='Описательные характеристики'!$I$5,"да","нет")</f>
        <v>нет</v>
      </c>
    </row>
    <row r="942" spans="1:3" x14ac:dyDescent="0.35">
      <c r="A942" s="4">
        <v>24953</v>
      </c>
      <c r="B942" s="9">
        <v>6.5</v>
      </c>
      <c r="C942" t="str">
        <f>IF(acs2015_county_data[[#This Row],[Unemployment]]&gt;='Описательные характеристики'!$I$5,"да","нет")</f>
        <v>нет</v>
      </c>
    </row>
    <row r="943" spans="1:3" x14ac:dyDescent="0.35">
      <c r="A943" s="6">
        <v>26519</v>
      </c>
      <c r="B943" s="10">
        <v>8.3000000000000007</v>
      </c>
      <c r="C943" t="str">
        <f>IF(acs2015_county_data[[#This Row],[Unemployment]]&gt;='Описательные характеристики'!$I$5,"да","нет")</f>
        <v>да</v>
      </c>
    </row>
    <row r="944" spans="1:3" x14ac:dyDescent="0.35">
      <c r="A944" s="4">
        <v>28974</v>
      </c>
      <c r="B944" s="9">
        <v>3.9</v>
      </c>
      <c r="C944" t="str">
        <f>IF(acs2015_county_data[[#This Row],[Unemployment]]&gt;='Описательные характеристики'!$I$5,"да","нет")</f>
        <v>нет</v>
      </c>
    </row>
    <row r="945" spans="1:3" x14ac:dyDescent="0.35">
      <c r="A945" s="6">
        <v>20943</v>
      </c>
      <c r="B945" s="10">
        <v>7.2</v>
      </c>
      <c r="C945" t="str">
        <f>IF(acs2015_county_data[[#This Row],[Unemployment]]&gt;='Описательные характеристики'!$I$5,"да","нет")</f>
        <v>нет</v>
      </c>
    </row>
    <row r="946" spans="1:3" x14ac:dyDescent="0.35">
      <c r="A946" s="4">
        <v>28396</v>
      </c>
      <c r="B946" s="9">
        <v>3.1</v>
      </c>
      <c r="C946" t="str">
        <f>IF(acs2015_county_data[[#This Row],[Unemployment]]&gt;='Описательные характеристики'!$I$5,"да","нет")</f>
        <v>нет</v>
      </c>
    </row>
    <row r="947" spans="1:3" x14ac:dyDescent="0.35">
      <c r="A947" s="6">
        <v>23642</v>
      </c>
      <c r="B947" s="10">
        <v>5</v>
      </c>
      <c r="C947" t="str">
        <f>IF(acs2015_county_data[[#This Row],[Unemployment]]&gt;='Описательные характеристики'!$I$5,"да","нет")</f>
        <v>нет</v>
      </c>
    </row>
    <row r="948" spans="1:3" x14ac:dyDescent="0.35">
      <c r="A948" s="4">
        <v>26313</v>
      </c>
      <c r="B948" s="9">
        <v>3</v>
      </c>
      <c r="C948" t="str">
        <f>IF(acs2015_county_data[[#This Row],[Unemployment]]&gt;='Описательные характеристики'!$I$5,"да","нет")</f>
        <v>нет</v>
      </c>
    </row>
    <row r="949" spans="1:3" x14ac:dyDescent="0.35">
      <c r="A949" s="6">
        <v>23446</v>
      </c>
      <c r="B949" s="10">
        <v>2.8</v>
      </c>
      <c r="C949" t="str">
        <f>IF(acs2015_county_data[[#This Row],[Unemployment]]&gt;='Описательные характеристики'!$I$5,"да","нет")</f>
        <v>нет</v>
      </c>
    </row>
    <row r="950" spans="1:3" x14ac:dyDescent="0.35">
      <c r="A950" s="4">
        <v>29413</v>
      </c>
      <c r="B950" s="9">
        <v>5.6</v>
      </c>
      <c r="C950" t="str">
        <f>IF(acs2015_county_data[[#This Row],[Unemployment]]&gt;='Описательные характеристики'!$I$5,"да","нет")</f>
        <v>нет</v>
      </c>
    </row>
    <row r="951" spans="1:3" x14ac:dyDescent="0.35">
      <c r="A951" s="6">
        <v>27555</v>
      </c>
      <c r="B951" s="10">
        <v>2.6</v>
      </c>
      <c r="C951" t="str">
        <f>IF(acs2015_county_data[[#This Row],[Unemployment]]&gt;='Описательные характеристики'!$I$5,"да","нет")</f>
        <v>нет</v>
      </c>
    </row>
    <row r="952" spans="1:3" x14ac:dyDescent="0.35">
      <c r="A952" s="4">
        <v>20864</v>
      </c>
      <c r="B952" s="9">
        <v>8.6999999999999993</v>
      </c>
      <c r="C952" t="str">
        <f>IF(acs2015_county_data[[#This Row],[Unemployment]]&gt;='Описательные характеристики'!$I$5,"да","нет")</f>
        <v>да</v>
      </c>
    </row>
    <row r="953" spans="1:3" x14ac:dyDescent="0.35">
      <c r="A953" s="6">
        <v>23928</v>
      </c>
      <c r="B953" s="10">
        <v>3.2</v>
      </c>
      <c r="C953" t="str">
        <f>IF(acs2015_county_data[[#This Row],[Unemployment]]&gt;='Описательные характеристики'!$I$5,"да","нет")</f>
        <v>нет</v>
      </c>
    </row>
    <row r="954" spans="1:3" x14ac:dyDescent="0.35">
      <c r="A954" s="4">
        <v>22297</v>
      </c>
      <c r="B954" s="9">
        <v>5.8</v>
      </c>
      <c r="C954" t="str">
        <f>IF(acs2015_county_data[[#This Row],[Unemployment]]&gt;='Описательные характеристики'!$I$5,"да","нет")</f>
        <v>нет</v>
      </c>
    </row>
    <row r="955" spans="1:3" x14ac:dyDescent="0.35">
      <c r="A955" s="6">
        <v>26041</v>
      </c>
      <c r="B955" s="10">
        <v>1.7</v>
      </c>
      <c r="C955" t="str">
        <f>IF(acs2015_county_data[[#This Row],[Unemployment]]&gt;='Описательные характеристики'!$I$5,"да","нет")</f>
        <v>нет</v>
      </c>
    </row>
    <row r="956" spans="1:3" x14ac:dyDescent="0.35">
      <c r="A956" s="4">
        <v>22354</v>
      </c>
      <c r="B956" s="9">
        <v>4.7</v>
      </c>
      <c r="C956" t="str">
        <f>IF(acs2015_county_data[[#This Row],[Unemployment]]&gt;='Описательные характеристики'!$I$5,"да","нет")</f>
        <v>нет</v>
      </c>
    </row>
    <row r="957" spans="1:3" x14ac:dyDescent="0.35">
      <c r="A957" s="6">
        <v>29968</v>
      </c>
      <c r="B957" s="10">
        <v>2.7</v>
      </c>
      <c r="C957" t="str">
        <f>IF(acs2015_county_data[[#This Row],[Unemployment]]&gt;='Описательные характеристики'!$I$5,"да","нет")</f>
        <v>нет</v>
      </c>
    </row>
    <row r="958" spans="1:3" x14ac:dyDescent="0.35">
      <c r="A958" s="4">
        <v>23702</v>
      </c>
      <c r="B958" s="9">
        <v>1.7</v>
      </c>
      <c r="C958" t="str">
        <f>IF(acs2015_county_data[[#This Row],[Unemployment]]&gt;='Описательные характеристики'!$I$5,"да","нет")</f>
        <v>нет</v>
      </c>
    </row>
    <row r="959" spans="1:3" x14ac:dyDescent="0.35">
      <c r="A959" s="6">
        <v>24243</v>
      </c>
      <c r="B959" s="10">
        <v>8.1999999999999993</v>
      </c>
      <c r="C959" t="str">
        <f>IF(acs2015_county_data[[#This Row],[Unemployment]]&gt;='Описательные характеристики'!$I$5,"да","нет")</f>
        <v>да</v>
      </c>
    </row>
    <row r="960" spans="1:3" x14ac:dyDescent="0.35">
      <c r="A960" s="4">
        <v>27132</v>
      </c>
      <c r="B960" s="9">
        <v>4</v>
      </c>
      <c r="C960" t="str">
        <f>IF(acs2015_county_data[[#This Row],[Unemployment]]&gt;='Описательные характеристики'!$I$5,"да","нет")</f>
        <v>нет</v>
      </c>
    </row>
    <row r="961" spans="1:3" x14ac:dyDescent="0.35">
      <c r="A961" s="6">
        <v>26260</v>
      </c>
      <c r="B961" s="10">
        <v>5.3</v>
      </c>
      <c r="C961" t="str">
        <f>IF(acs2015_county_data[[#This Row],[Unemployment]]&gt;='Описательные характеристики'!$I$5,"да","нет")</f>
        <v>нет</v>
      </c>
    </row>
    <row r="962" spans="1:3" x14ac:dyDescent="0.35">
      <c r="A962" s="4">
        <v>24125</v>
      </c>
      <c r="B962" s="9">
        <v>1.9</v>
      </c>
      <c r="C962" t="str">
        <f>IF(acs2015_county_data[[#This Row],[Unemployment]]&gt;='Описательные характеристики'!$I$5,"да","нет")</f>
        <v>нет</v>
      </c>
    </row>
    <row r="963" spans="1:3" x14ac:dyDescent="0.35">
      <c r="A963" s="6">
        <v>25072</v>
      </c>
      <c r="B963" s="10">
        <v>4.3</v>
      </c>
      <c r="C963" t="str">
        <f>IF(acs2015_county_data[[#This Row],[Unemployment]]&gt;='Описательные характеристики'!$I$5,"да","нет")</f>
        <v>нет</v>
      </c>
    </row>
    <row r="964" spans="1:3" x14ac:dyDescent="0.35">
      <c r="A964" s="4">
        <v>25964</v>
      </c>
      <c r="B964" s="9">
        <v>3.7</v>
      </c>
      <c r="C964" t="str">
        <f>IF(acs2015_county_data[[#This Row],[Unemployment]]&gt;='Описательные характеристики'!$I$5,"да","нет")</f>
        <v>нет</v>
      </c>
    </row>
    <row r="965" spans="1:3" x14ac:dyDescent="0.35">
      <c r="A965" s="6">
        <v>27078</v>
      </c>
      <c r="B965" s="10">
        <v>5.6</v>
      </c>
      <c r="C965" t="str">
        <f>IF(acs2015_county_data[[#This Row],[Unemployment]]&gt;='Описательные характеристики'!$I$5,"да","нет")</f>
        <v>нет</v>
      </c>
    </row>
    <row r="966" spans="1:3" x14ac:dyDescent="0.35">
      <c r="A966" s="4">
        <v>27559</v>
      </c>
      <c r="B966" s="9">
        <v>2.2999999999999998</v>
      </c>
      <c r="C966" t="str">
        <f>IF(acs2015_county_data[[#This Row],[Unemployment]]&gt;='Описательные характеристики'!$I$5,"да","нет")</f>
        <v>нет</v>
      </c>
    </row>
    <row r="967" spans="1:3" x14ac:dyDescent="0.35">
      <c r="A967" s="6">
        <v>23578</v>
      </c>
      <c r="B967" s="10">
        <v>5.7</v>
      </c>
      <c r="C967" t="str">
        <f>IF(acs2015_county_data[[#This Row],[Unemployment]]&gt;='Описательные характеристики'!$I$5,"да","нет")</f>
        <v>нет</v>
      </c>
    </row>
    <row r="968" spans="1:3" x14ac:dyDescent="0.35">
      <c r="A968" s="4">
        <v>25317</v>
      </c>
      <c r="B968" s="9">
        <v>3.8</v>
      </c>
      <c r="C968" t="str">
        <f>IF(acs2015_county_data[[#This Row],[Unemployment]]&gt;='Описательные характеристики'!$I$5,"да","нет")</f>
        <v>нет</v>
      </c>
    </row>
    <row r="969" spans="1:3" x14ac:dyDescent="0.35">
      <c r="A969" s="6">
        <v>23687</v>
      </c>
      <c r="B969" s="10">
        <v>5.5</v>
      </c>
      <c r="C969" t="str">
        <f>IF(acs2015_county_data[[#This Row],[Unemployment]]&gt;='Описательные характеристики'!$I$5,"да","нет")</f>
        <v>нет</v>
      </c>
    </row>
    <row r="970" spans="1:3" x14ac:dyDescent="0.35">
      <c r="A970" s="4">
        <v>23992</v>
      </c>
      <c r="B970" s="9">
        <v>5.8</v>
      </c>
      <c r="C970" t="str">
        <f>IF(acs2015_county_data[[#This Row],[Unemployment]]&gt;='Описательные характеристики'!$I$5,"да","нет")</f>
        <v>нет</v>
      </c>
    </row>
    <row r="971" spans="1:3" x14ac:dyDescent="0.35">
      <c r="A971" s="6">
        <v>23891</v>
      </c>
      <c r="B971" s="10">
        <v>4.0999999999999996</v>
      </c>
      <c r="C971" t="str">
        <f>IF(acs2015_county_data[[#This Row],[Unemployment]]&gt;='Описательные характеристики'!$I$5,"да","нет")</f>
        <v>нет</v>
      </c>
    </row>
    <row r="972" spans="1:3" x14ac:dyDescent="0.35">
      <c r="A972" s="4">
        <v>24843</v>
      </c>
      <c r="B972" s="9">
        <v>5.6</v>
      </c>
      <c r="C972" t="str">
        <f>IF(acs2015_county_data[[#This Row],[Unemployment]]&gt;='Описательные характеристики'!$I$5,"да","нет")</f>
        <v>нет</v>
      </c>
    </row>
    <row r="973" spans="1:3" x14ac:dyDescent="0.35">
      <c r="A973" s="6">
        <v>26128</v>
      </c>
      <c r="B973" s="10">
        <v>6.9</v>
      </c>
      <c r="C973" t="str">
        <f>IF(acs2015_county_data[[#This Row],[Unemployment]]&gt;='Описательные характеристики'!$I$5,"да","нет")</f>
        <v>нет</v>
      </c>
    </row>
    <row r="974" spans="1:3" x14ac:dyDescent="0.35">
      <c r="A974" s="4">
        <v>25641</v>
      </c>
      <c r="B974" s="9">
        <v>5</v>
      </c>
      <c r="C974" t="str">
        <f>IF(acs2015_county_data[[#This Row],[Unemployment]]&gt;='Описательные характеристики'!$I$5,"да","нет")</f>
        <v>нет</v>
      </c>
    </row>
    <row r="975" spans="1:3" x14ac:dyDescent="0.35">
      <c r="A975" s="6">
        <v>30179</v>
      </c>
      <c r="B975" s="10">
        <v>5.8</v>
      </c>
      <c r="C975" t="str">
        <f>IF(acs2015_county_data[[#This Row],[Unemployment]]&gt;='Описательные характеристики'!$I$5,"да","нет")</f>
        <v>нет</v>
      </c>
    </row>
    <row r="976" spans="1:3" x14ac:dyDescent="0.35">
      <c r="A976" s="4">
        <v>26016</v>
      </c>
      <c r="B976" s="9">
        <v>6.9</v>
      </c>
      <c r="C976" t="str">
        <f>IF(acs2015_county_data[[#This Row],[Unemployment]]&gt;='Описательные характеристики'!$I$5,"да","нет")</f>
        <v>нет</v>
      </c>
    </row>
    <row r="977" spans="1:3" x14ac:dyDescent="0.35">
      <c r="A977" s="6">
        <v>20442</v>
      </c>
      <c r="B977" s="10">
        <v>9</v>
      </c>
      <c r="C977" t="str">
        <f>IF(acs2015_county_data[[#This Row],[Unemployment]]&gt;='Описательные характеристики'!$I$5,"да","нет")</f>
        <v>да</v>
      </c>
    </row>
    <row r="978" spans="1:3" x14ac:dyDescent="0.35">
      <c r="A978" s="4">
        <v>26691</v>
      </c>
      <c r="B978" s="9">
        <v>6.8</v>
      </c>
      <c r="C978" t="str">
        <f>IF(acs2015_county_data[[#This Row],[Unemployment]]&gt;='Описательные характеристики'!$I$5,"да","нет")</f>
        <v>нет</v>
      </c>
    </row>
    <row r="979" spans="1:3" x14ac:dyDescent="0.35">
      <c r="A979" s="6">
        <v>28733</v>
      </c>
      <c r="B979" s="10">
        <v>1.2</v>
      </c>
      <c r="C979" t="str">
        <f>IF(acs2015_county_data[[#This Row],[Unemployment]]&gt;='Описательные характеристики'!$I$5,"да","нет")</f>
        <v>нет</v>
      </c>
    </row>
    <row r="980" spans="1:3" x14ac:dyDescent="0.35">
      <c r="A980" s="4">
        <v>21786</v>
      </c>
      <c r="B980" s="9">
        <v>4</v>
      </c>
      <c r="C980" t="str">
        <f>IF(acs2015_county_data[[#This Row],[Unemployment]]&gt;='Описательные характеристики'!$I$5,"да","нет")</f>
        <v>нет</v>
      </c>
    </row>
    <row r="981" spans="1:3" x14ac:dyDescent="0.35">
      <c r="A981" s="6">
        <v>27315</v>
      </c>
      <c r="B981" s="10">
        <v>3.2</v>
      </c>
      <c r="C981" t="str">
        <f>IF(acs2015_county_data[[#This Row],[Unemployment]]&gt;='Описательные характеристики'!$I$5,"да","нет")</f>
        <v>нет</v>
      </c>
    </row>
    <row r="982" spans="1:3" x14ac:dyDescent="0.35">
      <c r="A982" s="4">
        <v>25476</v>
      </c>
      <c r="B982" s="9">
        <v>2.6</v>
      </c>
      <c r="C982" t="str">
        <f>IF(acs2015_county_data[[#This Row],[Unemployment]]&gt;='Описательные характеристики'!$I$5,"да","нет")</f>
        <v>нет</v>
      </c>
    </row>
    <row r="983" spans="1:3" x14ac:dyDescent="0.35">
      <c r="A983" s="6">
        <v>22690</v>
      </c>
      <c r="B983" s="10">
        <v>2.4</v>
      </c>
      <c r="C983" t="str">
        <f>IF(acs2015_county_data[[#This Row],[Unemployment]]&gt;='Описательные характеристики'!$I$5,"да","нет")</f>
        <v>нет</v>
      </c>
    </row>
    <row r="984" spans="1:3" x14ac:dyDescent="0.35">
      <c r="A984" s="4">
        <v>24827</v>
      </c>
      <c r="B984" s="9">
        <v>3</v>
      </c>
      <c r="C984" t="str">
        <f>IF(acs2015_county_data[[#This Row],[Unemployment]]&gt;='Описательные характеристики'!$I$5,"да","нет")</f>
        <v>нет</v>
      </c>
    </row>
    <row r="985" spans="1:3" x14ac:dyDescent="0.35">
      <c r="A985" s="6">
        <v>24214</v>
      </c>
      <c r="B985" s="10">
        <v>7</v>
      </c>
      <c r="C985" t="str">
        <f>IF(acs2015_county_data[[#This Row],[Unemployment]]&gt;='Описательные характеристики'!$I$5,"да","нет")</f>
        <v>нет</v>
      </c>
    </row>
    <row r="986" spans="1:3" x14ac:dyDescent="0.35">
      <c r="A986" s="4">
        <v>26309</v>
      </c>
      <c r="B986" s="9">
        <v>2.7</v>
      </c>
      <c r="C986" t="str">
        <f>IF(acs2015_county_data[[#This Row],[Unemployment]]&gt;='Описательные характеристики'!$I$5,"да","нет")</f>
        <v>нет</v>
      </c>
    </row>
    <row r="987" spans="1:3" x14ac:dyDescent="0.35">
      <c r="A987" s="6">
        <v>28817</v>
      </c>
      <c r="B987" s="10">
        <v>1</v>
      </c>
      <c r="C987" t="str">
        <f>IF(acs2015_county_data[[#This Row],[Unemployment]]&gt;='Описательные характеристики'!$I$5,"да","нет")</f>
        <v>нет</v>
      </c>
    </row>
    <row r="988" spans="1:3" x14ac:dyDescent="0.35">
      <c r="A988" s="4">
        <v>23962</v>
      </c>
      <c r="B988" s="9">
        <v>6.2</v>
      </c>
      <c r="C988" t="str">
        <f>IF(acs2015_county_data[[#This Row],[Unemployment]]&gt;='Описательные характеристики'!$I$5,"да","нет")</f>
        <v>нет</v>
      </c>
    </row>
    <row r="989" spans="1:3" x14ac:dyDescent="0.35">
      <c r="A989" s="6">
        <v>28265</v>
      </c>
      <c r="B989" s="10">
        <v>5.4</v>
      </c>
      <c r="C989" t="str">
        <f>IF(acs2015_county_data[[#This Row],[Unemployment]]&gt;='Описательные характеристики'!$I$5,"да","нет")</f>
        <v>нет</v>
      </c>
    </row>
    <row r="990" spans="1:3" x14ac:dyDescent="0.35">
      <c r="A990" s="4">
        <v>23440</v>
      </c>
      <c r="B990" s="9">
        <v>3.1</v>
      </c>
      <c r="C990" t="str">
        <f>IF(acs2015_county_data[[#This Row],[Unemployment]]&gt;='Описательные характеристики'!$I$5,"да","нет")</f>
        <v>нет</v>
      </c>
    </row>
    <row r="991" spans="1:3" x14ac:dyDescent="0.35">
      <c r="A991" s="6">
        <v>23367</v>
      </c>
      <c r="B991" s="10">
        <v>3.1</v>
      </c>
      <c r="C991" t="str">
        <f>IF(acs2015_county_data[[#This Row],[Unemployment]]&gt;='Описательные характеристики'!$I$5,"да","нет")</f>
        <v>нет</v>
      </c>
    </row>
    <row r="992" spans="1:3" x14ac:dyDescent="0.35">
      <c r="A992" s="4">
        <v>22538</v>
      </c>
      <c r="B992" s="9">
        <v>6.5</v>
      </c>
      <c r="C992" t="str">
        <f>IF(acs2015_county_data[[#This Row],[Unemployment]]&gt;='Описательные характеристики'!$I$5,"да","нет")</f>
        <v>нет</v>
      </c>
    </row>
    <row r="993" spans="1:3" x14ac:dyDescent="0.35">
      <c r="A993" s="6">
        <v>21432</v>
      </c>
      <c r="B993" s="10">
        <v>4.5999999999999996</v>
      </c>
      <c r="C993" t="str">
        <f>IF(acs2015_county_data[[#This Row],[Unemployment]]&gt;='Описательные характеристики'!$I$5,"да","нет")</f>
        <v>нет</v>
      </c>
    </row>
    <row r="994" spans="1:3" x14ac:dyDescent="0.35">
      <c r="A994" s="4">
        <v>18912</v>
      </c>
      <c r="B994" s="9">
        <v>11.2</v>
      </c>
      <c r="C994" t="str">
        <f>IF(acs2015_county_data[[#This Row],[Unemployment]]&gt;='Описательные характеристики'!$I$5,"да","нет")</f>
        <v>да</v>
      </c>
    </row>
    <row r="995" spans="1:3" x14ac:dyDescent="0.35">
      <c r="A995" s="6">
        <v>18277</v>
      </c>
      <c r="B995" s="10">
        <v>7.7</v>
      </c>
      <c r="C995" t="str">
        <f>IF(acs2015_county_data[[#This Row],[Unemployment]]&gt;='Описательные характеристики'!$I$5,"да","нет")</f>
        <v>да</v>
      </c>
    </row>
    <row r="996" spans="1:3" x14ac:dyDescent="0.35">
      <c r="A996" s="4">
        <v>20702</v>
      </c>
      <c r="B996" s="9">
        <v>9.1999999999999993</v>
      </c>
      <c r="C996" t="str">
        <f>IF(acs2015_county_data[[#This Row],[Unemployment]]&gt;='Описательные характеристики'!$I$5,"да","нет")</f>
        <v>да</v>
      </c>
    </row>
    <row r="997" spans="1:3" x14ac:dyDescent="0.35">
      <c r="A997" s="6">
        <v>24353</v>
      </c>
      <c r="B997" s="10">
        <v>6.9</v>
      </c>
      <c r="C997" t="str">
        <f>IF(acs2015_county_data[[#This Row],[Unemployment]]&gt;='Описательные характеристики'!$I$5,"да","нет")</f>
        <v>нет</v>
      </c>
    </row>
    <row r="998" spans="1:3" x14ac:dyDescent="0.35">
      <c r="A998" s="4">
        <v>24056</v>
      </c>
      <c r="B998" s="9">
        <v>6.2</v>
      </c>
      <c r="C998" t="str">
        <f>IF(acs2015_county_data[[#This Row],[Unemployment]]&gt;='Описательные характеристики'!$I$5,"да","нет")</f>
        <v>нет</v>
      </c>
    </row>
    <row r="999" spans="1:3" x14ac:dyDescent="0.35">
      <c r="A999" s="6">
        <v>20262</v>
      </c>
      <c r="B999" s="10">
        <v>7.6</v>
      </c>
      <c r="C999" t="str">
        <f>IF(acs2015_county_data[[#This Row],[Unemployment]]&gt;='Описательные характеристики'!$I$5,"да","нет")</f>
        <v>да</v>
      </c>
    </row>
    <row r="1000" spans="1:3" x14ac:dyDescent="0.35">
      <c r="A1000" s="4">
        <v>18719</v>
      </c>
      <c r="B1000" s="9">
        <v>14</v>
      </c>
      <c r="C1000" t="str">
        <f>IF(acs2015_county_data[[#This Row],[Unemployment]]&gt;='Описательные характеристики'!$I$5,"да","нет")</f>
        <v>да</v>
      </c>
    </row>
    <row r="1001" spans="1:3" x14ac:dyDescent="0.35">
      <c r="A1001" s="6">
        <v>13701</v>
      </c>
      <c r="B1001" s="10">
        <v>11.6</v>
      </c>
      <c r="C1001" t="str">
        <f>IF(acs2015_county_data[[#This Row],[Unemployment]]&gt;='Описательные характеристики'!$I$5,"да","нет")</f>
        <v>да</v>
      </c>
    </row>
    <row r="1002" spans="1:3" x14ac:dyDescent="0.35">
      <c r="A1002" s="4">
        <v>29866</v>
      </c>
      <c r="B1002" s="9">
        <v>5.6</v>
      </c>
      <c r="C1002" t="str">
        <f>IF(acs2015_county_data[[#This Row],[Unemployment]]&gt;='Описательные характеристики'!$I$5,"да","нет")</f>
        <v>нет</v>
      </c>
    </row>
    <row r="1003" spans="1:3" x14ac:dyDescent="0.35">
      <c r="A1003" s="6">
        <v>23620</v>
      </c>
      <c r="B1003" s="10">
        <v>9.9</v>
      </c>
      <c r="C1003" t="str">
        <f>IF(acs2015_county_data[[#This Row],[Unemployment]]&gt;='Описательные характеристики'!$I$5,"да","нет")</f>
        <v>да</v>
      </c>
    </row>
    <row r="1004" spans="1:3" x14ac:dyDescent="0.35">
      <c r="A1004" s="4">
        <v>25745</v>
      </c>
      <c r="B1004" s="9">
        <v>10.5</v>
      </c>
      <c r="C1004" t="str">
        <f>IF(acs2015_county_data[[#This Row],[Unemployment]]&gt;='Описательные характеристики'!$I$5,"да","нет")</f>
        <v>да</v>
      </c>
    </row>
    <row r="1005" spans="1:3" x14ac:dyDescent="0.35">
      <c r="A1005" s="6">
        <v>22368</v>
      </c>
      <c r="B1005" s="10">
        <v>7.1</v>
      </c>
      <c r="C1005" t="str">
        <f>IF(acs2015_county_data[[#This Row],[Unemployment]]&gt;='Описательные характеристики'!$I$5,"да","нет")</f>
        <v>нет</v>
      </c>
    </row>
    <row r="1006" spans="1:3" x14ac:dyDescent="0.35">
      <c r="A1006" s="4">
        <v>21054</v>
      </c>
      <c r="B1006" s="9">
        <v>8.3000000000000007</v>
      </c>
      <c r="C1006" t="str">
        <f>IF(acs2015_county_data[[#This Row],[Unemployment]]&gt;='Описательные характеристики'!$I$5,"да","нет")</f>
        <v>да</v>
      </c>
    </row>
    <row r="1007" spans="1:3" x14ac:dyDescent="0.35">
      <c r="A1007" s="6">
        <v>15737</v>
      </c>
      <c r="B1007" s="10">
        <v>12.4</v>
      </c>
      <c r="C1007" t="str">
        <f>IF(acs2015_county_data[[#This Row],[Unemployment]]&gt;='Описательные характеристики'!$I$5,"да","нет")</f>
        <v>да</v>
      </c>
    </row>
    <row r="1008" spans="1:3" x14ac:dyDescent="0.35">
      <c r="A1008" s="4">
        <v>19185</v>
      </c>
      <c r="B1008" s="9">
        <v>11.5</v>
      </c>
      <c r="C1008" t="str">
        <f>IF(acs2015_county_data[[#This Row],[Unemployment]]&gt;='Описательные характеристики'!$I$5,"да","нет")</f>
        <v>да</v>
      </c>
    </row>
    <row r="1009" spans="1:3" x14ac:dyDescent="0.35">
      <c r="A1009" s="6">
        <v>24458</v>
      </c>
      <c r="B1009" s="10">
        <v>7.6</v>
      </c>
      <c r="C1009" t="str">
        <f>IF(acs2015_county_data[[#This Row],[Unemployment]]&gt;='Описательные характеристики'!$I$5,"да","нет")</f>
        <v>да</v>
      </c>
    </row>
    <row r="1010" spans="1:3" x14ac:dyDescent="0.35">
      <c r="A1010" s="4">
        <v>18502</v>
      </c>
      <c r="B1010" s="9">
        <v>6.1</v>
      </c>
      <c r="C1010" t="str">
        <f>IF(acs2015_county_data[[#This Row],[Unemployment]]&gt;='Описательные характеристики'!$I$5,"да","нет")</f>
        <v>нет</v>
      </c>
    </row>
    <row r="1011" spans="1:3" x14ac:dyDescent="0.35">
      <c r="A1011" s="6">
        <v>20840</v>
      </c>
      <c r="B1011" s="10">
        <v>8.6999999999999993</v>
      </c>
      <c r="C1011" t="str">
        <f>IF(acs2015_county_data[[#This Row],[Unemployment]]&gt;='Описательные характеристики'!$I$5,"да","нет")</f>
        <v>да</v>
      </c>
    </row>
    <row r="1012" spans="1:3" x14ac:dyDescent="0.35">
      <c r="A1012" s="4">
        <v>20701</v>
      </c>
      <c r="B1012" s="9">
        <v>9.1</v>
      </c>
      <c r="C1012" t="str">
        <f>IF(acs2015_county_data[[#This Row],[Unemployment]]&gt;='Описательные характеристики'!$I$5,"да","нет")</f>
        <v>да</v>
      </c>
    </row>
    <row r="1013" spans="1:3" x14ac:dyDescent="0.35">
      <c r="A1013" s="6">
        <v>28248</v>
      </c>
      <c r="B1013" s="10">
        <v>6.8</v>
      </c>
      <c r="C1013" t="str">
        <f>IF(acs2015_county_data[[#This Row],[Unemployment]]&gt;='Описательные характеристики'!$I$5,"да","нет")</f>
        <v>нет</v>
      </c>
    </row>
    <row r="1014" spans="1:3" x14ac:dyDescent="0.35">
      <c r="A1014" s="4">
        <v>21499</v>
      </c>
      <c r="B1014" s="9">
        <v>6.8</v>
      </c>
      <c r="C1014" t="str">
        <f>IF(acs2015_county_data[[#This Row],[Unemployment]]&gt;='Описательные характеристики'!$I$5,"да","нет")</f>
        <v>нет</v>
      </c>
    </row>
    <row r="1015" spans="1:3" x14ac:dyDescent="0.35">
      <c r="A1015" s="6">
        <v>20129</v>
      </c>
      <c r="B1015" s="10">
        <v>13.2</v>
      </c>
      <c r="C1015" t="str">
        <f>IF(acs2015_county_data[[#This Row],[Unemployment]]&gt;='Описательные характеристики'!$I$5,"да","нет")</f>
        <v>да</v>
      </c>
    </row>
    <row r="1016" spans="1:3" x14ac:dyDescent="0.35">
      <c r="A1016" s="4">
        <v>18948</v>
      </c>
      <c r="B1016" s="9">
        <v>11.1</v>
      </c>
      <c r="C1016" t="str">
        <f>IF(acs2015_county_data[[#This Row],[Unemployment]]&gt;='Описательные характеристики'!$I$5,"да","нет")</f>
        <v>да</v>
      </c>
    </row>
    <row r="1017" spans="1:3" x14ac:dyDescent="0.35">
      <c r="A1017" s="6">
        <v>17526</v>
      </c>
      <c r="B1017" s="10">
        <v>9</v>
      </c>
      <c r="C1017" t="str">
        <f>IF(acs2015_county_data[[#This Row],[Unemployment]]&gt;='Описательные характеристики'!$I$5,"да","нет")</f>
        <v>да</v>
      </c>
    </row>
    <row r="1018" spans="1:3" x14ac:dyDescent="0.35">
      <c r="A1018" s="4">
        <v>19614</v>
      </c>
      <c r="B1018" s="9">
        <v>12.7</v>
      </c>
      <c r="C1018" t="str">
        <f>IF(acs2015_county_data[[#This Row],[Unemployment]]&gt;='Описательные характеристики'!$I$5,"да","нет")</f>
        <v>да</v>
      </c>
    </row>
    <row r="1019" spans="1:3" x14ac:dyDescent="0.35">
      <c r="A1019" s="6">
        <v>25492</v>
      </c>
      <c r="B1019" s="10">
        <v>7.9</v>
      </c>
      <c r="C1019" t="str">
        <f>IF(acs2015_county_data[[#This Row],[Unemployment]]&gt;='Описательные характеристики'!$I$5,"да","нет")</f>
        <v>да</v>
      </c>
    </row>
    <row r="1020" spans="1:3" x14ac:dyDescent="0.35">
      <c r="A1020" s="4">
        <v>13802</v>
      </c>
      <c r="B1020" s="9">
        <v>15.9</v>
      </c>
      <c r="C1020" t="str">
        <f>IF(acs2015_county_data[[#This Row],[Unemployment]]&gt;='Описательные характеристики'!$I$5,"да","нет")</f>
        <v>да</v>
      </c>
    </row>
    <row r="1021" spans="1:3" x14ac:dyDescent="0.35">
      <c r="A1021" s="6">
        <v>16712</v>
      </c>
      <c r="B1021" s="10">
        <v>9.3000000000000007</v>
      </c>
      <c r="C1021" t="str">
        <f>IF(acs2015_county_data[[#This Row],[Unemployment]]&gt;='Описательные характеристики'!$I$5,"да","нет")</f>
        <v>да</v>
      </c>
    </row>
    <row r="1022" spans="1:3" x14ac:dyDescent="0.35">
      <c r="A1022" s="4">
        <v>21248</v>
      </c>
      <c r="B1022" s="9">
        <v>7.1</v>
      </c>
      <c r="C1022" t="str">
        <f>IF(acs2015_county_data[[#This Row],[Unemployment]]&gt;='Описательные характеристики'!$I$5,"да","нет")</f>
        <v>нет</v>
      </c>
    </row>
    <row r="1023" spans="1:3" x14ac:dyDescent="0.35">
      <c r="A1023" s="6">
        <v>17571</v>
      </c>
      <c r="B1023" s="10">
        <v>10.199999999999999</v>
      </c>
      <c r="C1023" t="str">
        <f>IF(acs2015_county_data[[#This Row],[Unemployment]]&gt;='Описательные характеристики'!$I$5,"да","нет")</f>
        <v>да</v>
      </c>
    </row>
    <row r="1024" spans="1:3" x14ac:dyDescent="0.35">
      <c r="A1024" s="4">
        <v>23952</v>
      </c>
      <c r="B1024" s="9">
        <v>6.8</v>
      </c>
      <c r="C1024" t="str">
        <f>IF(acs2015_county_data[[#This Row],[Unemployment]]&gt;='Описательные характеристики'!$I$5,"да","нет")</f>
        <v>нет</v>
      </c>
    </row>
    <row r="1025" spans="1:3" x14ac:dyDescent="0.35">
      <c r="A1025" s="6">
        <v>20304</v>
      </c>
      <c r="B1025" s="10">
        <v>8.9</v>
      </c>
      <c r="C1025" t="str">
        <f>IF(acs2015_county_data[[#This Row],[Unemployment]]&gt;='Описательные характеристики'!$I$5,"да","нет")</f>
        <v>да</v>
      </c>
    </row>
    <row r="1026" spans="1:3" x14ac:dyDescent="0.35">
      <c r="A1026" s="4">
        <v>15319</v>
      </c>
      <c r="B1026" s="9">
        <v>6.2</v>
      </c>
      <c r="C1026" t="str">
        <f>IF(acs2015_county_data[[#This Row],[Unemployment]]&gt;='Описательные характеристики'!$I$5,"да","нет")</f>
        <v>нет</v>
      </c>
    </row>
    <row r="1027" spans="1:3" x14ac:dyDescent="0.35">
      <c r="A1027" s="6">
        <v>16446</v>
      </c>
      <c r="B1027" s="10">
        <v>11.8</v>
      </c>
      <c r="C1027" t="str">
        <f>IF(acs2015_county_data[[#This Row],[Unemployment]]&gt;='Описательные характеристики'!$I$5,"да","нет")</f>
        <v>да</v>
      </c>
    </row>
    <row r="1028" spans="1:3" x14ac:dyDescent="0.35">
      <c r="A1028" s="4">
        <v>30031</v>
      </c>
      <c r="B1028" s="9">
        <v>6.9</v>
      </c>
      <c r="C1028" t="str">
        <f>IF(acs2015_county_data[[#This Row],[Unemployment]]&gt;='Описательные характеристики'!$I$5,"да","нет")</f>
        <v>нет</v>
      </c>
    </row>
    <row r="1029" spans="1:3" x14ac:dyDescent="0.35">
      <c r="A1029" s="6">
        <v>21453</v>
      </c>
      <c r="B1029" s="10">
        <v>9.6999999999999993</v>
      </c>
      <c r="C1029" t="str">
        <f>IF(acs2015_county_data[[#This Row],[Unemployment]]&gt;='Описательные характеристики'!$I$5,"да","нет")</f>
        <v>да</v>
      </c>
    </row>
    <row r="1030" spans="1:3" x14ac:dyDescent="0.35">
      <c r="A1030" s="4">
        <v>18173</v>
      </c>
      <c r="B1030" s="9">
        <v>9.6999999999999993</v>
      </c>
      <c r="C1030" t="str">
        <f>IF(acs2015_county_data[[#This Row],[Unemployment]]&gt;='Описательные характеристики'!$I$5,"да","нет")</f>
        <v>да</v>
      </c>
    </row>
    <row r="1031" spans="1:3" x14ac:dyDescent="0.35">
      <c r="A1031" s="6">
        <v>26778</v>
      </c>
      <c r="B1031" s="10">
        <v>8.6999999999999993</v>
      </c>
      <c r="C1031" t="str">
        <f>IF(acs2015_county_data[[#This Row],[Unemployment]]&gt;='Описательные характеристики'!$I$5,"да","нет")</f>
        <v>да</v>
      </c>
    </row>
    <row r="1032" spans="1:3" x14ac:dyDescent="0.35">
      <c r="A1032" s="4">
        <v>18082</v>
      </c>
      <c r="B1032" s="9">
        <v>12</v>
      </c>
      <c r="C1032" t="str">
        <f>IF(acs2015_county_data[[#This Row],[Unemployment]]&gt;='Описательные характеристики'!$I$5,"да","нет")</f>
        <v>да</v>
      </c>
    </row>
    <row r="1033" spans="1:3" x14ac:dyDescent="0.35">
      <c r="A1033" s="6">
        <v>21634</v>
      </c>
      <c r="B1033" s="10">
        <v>6</v>
      </c>
      <c r="C1033" t="str">
        <f>IF(acs2015_county_data[[#This Row],[Unemployment]]&gt;='Описательные характеристики'!$I$5,"да","нет")</f>
        <v>нет</v>
      </c>
    </row>
    <row r="1034" spans="1:3" x14ac:dyDescent="0.35">
      <c r="A1034" s="4">
        <v>22567</v>
      </c>
      <c r="B1034" s="9">
        <v>11.4</v>
      </c>
      <c r="C1034" t="str">
        <f>IF(acs2015_county_data[[#This Row],[Unemployment]]&gt;='Описательные характеристики'!$I$5,"да","нет")</f>
        <v>да</v>
      </c>
    </row>
    <row r="1035" spans="1:3" x14ac:dyDescent="0.35">
      <c r="A1035" s="6">
        <v>19667</v>
      </c>
      <c r="B1035" s="10">
        <v>6.8</v>
      </c>
      <c r="C1035" t="str">
        <f>IF(acs2015_county_data[[#This Row],[Unemployment]]&gt;='Описательные характеристики'!$I$5,"да","нет")</f>
        <v>нет</v>
      </c>
    </row>
    <row r="1036" spans="1:3" x14ac:dyDescent="0.35">
      <c r="A1036" s="4">
        <v>20805</v>
      </c>
      <c r="B1036" s="9">
        <v>7.2</v>
      </c>
      <c r="C1036" t="str">
        <f>IF(acs2015_county_data[[#This Row],[Unemployment]]&gt;='Описательные характеристики'!$I$5,"да","нет")</f>
        <v>нет</v>
      </c>
    </row>
    <row r="1037" spans="1:3" x14ac:dyDescent="0.35">
      <c r="A1037" s="6">
        <v>19902</v>
      </c>
      <c r="B1037" s="10">
        <v>9.3000000000000007</v>
      </c>
      <c r="C1037" t="str">
        <f>IF(acs2015_county_data[[#This Row],[Unemployment]]&gt;='Описательные характеристики'!$I$5,"да","нет")</f>
        <v>да</v>
      </c>
    </row>
    <row r="1038" spans="1:3" x14ac:dyDescent="0.35">
      <c r="A1038" s="4">
        <v>19563</v>
      </c>
      <c r="B1038" s="9">
        <v>9</v>
      </c>
      <c r="C1038" t="str">
        <f>IF(acs2015_county_data[[#This Row],[Unemployment]]&gt;='Описательные характеристики'!$I$5,"да","нет")</f>
        <v>да</v>
      </c>
    </row>
    <row r="1039" spans="1:3" x14ac:dyDescent="0.35">
      <c r="A1039" s="6">
        <v>23649</v>
      </c>
      <c r="B1039" s="10">
        <v>10.1</v>
      </c>
      <c r="C1039" t="str">
        <f>IF(acs2015_county_data[[#This Row],[Unemployment]]&gt;='Описательные характеристики'!$I$5,"да","нет")</f>
        <v>да</v>
      </c>
    </row>
    <row r="1040" spans="1:3" x14ac:dyDescent="0.35">
      <c r="A1040" s="4">
        <v>22330</v>
      </c>
      <c r="B1040" s="9">
        <v>5.9</v>
      </c>
      <c r="C1040" t="str">
        <f>IF(acs2015_county_data[[#This Row],[Unemployment]]&gt;='Описательные характеристики'!$I$5,"да","нет")</f>
        <v>нет</v>
      </c>
    </row>
    <row r="1041" spans="1:3" x14ac:dyDescent="0.35">
      <c r="A1041" s="6">
        <v>24845</v>
      </c>
      <c r="B1041" s="10">
        <v>8.1999999999999993</v>
      </c>
      <c r="C1041" t="str">
        <f>IF(acs2015_county_data[[#This Row],[Unemployment]]&gt;='Описательные характеристики'!$I$5,"да","нет")</f>
        <v>да</v>
      </c>
    </row>
    <row r="1042" spans="1:3" x14ac:dyDescent="0.35">
      <c r="A1042" s="4">
        <v>15840</v>
      </c>
      <c r="B1042" s="9">
        <v>9.8000000000000007</v>
      </c>
      <c r="C1042" t="str">
        <f>IF(acs2015_county_data[[#This Row],[Unemployment]]&gt;='Описательные характеристики'!$I$5,"да","нет")</f>
        <v>да</v>
      </c>
    </row>
    <row r="1043" spans="1:3" x14ac:dyDescent="0.35">
      <c r="A1043" s="6">
        <v>20490</v>
      </c>
      <c r="B1043" s="10">
        <v>8.1</v>
      </c>
      <c r="C1043" t="str">
        <f>IF(acs2015_county_data[[#This Row],[Unemployment]]&gt;='Описательные характеристики'!$I$5,"да","нет")</f>
        <v>да</v>
      </c>
    </row>
    <row r="1044" spans="1:3" x14ac:dyDescent="0.35">
      <c r="A1044" s="4">
        <v>18993</v>
      </c>
      <c r="B1044" s="9">
        <v>9.6</v>
      </c>
      <c r="C1044" t="str">
        <f>IF(acs2015_county_data[[#This Row],[Unemployment]]&gt;='Описательные характеристики'!$I$5,"да","нет")</f>
        <v>да</v>
      </c>
    </row>
    <row r="1045" spans="1:3" x14ac:dyDescent="0.35">
      <c r="A1045" s="6">
        <v>22628</v>
      </c>
      <c r="B1045" s="10">
        <v>8</v>
      </c>
      <c r="C1045" t="str">
        <f>IF(acs2015_county_data[[#This Row],[Unemployment]]&gt;='Описательные характеристики'!$I$5,"да","нет")</f>
        <v>да</v>
      </c>
    </row>
    <row r="1046" spans="1:3" x14ac:dyDescent="0.35">
      <c r="A1046" s="4">
        <v>21806</v>
      </c>
      <c r="B1046" s="9">
        <v>6.6</v>
      </c>
      <c r="C1046" t="str">
        <f>IF(acs2015_county_data[[#This Row],[Unemployment]]&gt;='Описательные характеристики'!$I$5,"да","нет")</f>
        <v>нет</v>
      </c>
    </row>
    <row r="1047" spans="1:3" x14ac:dyDescent="0.35">
      <c r="A1047" s="6">
        <v>19597</v>
      </c>
      <c r="B1047" s="10">
        <v>8.8000000000000007</v>
      </c>
      <c r="C1047" t="str">
        <f>IF(acs2015_county_data[[#This Row],[Unemployment]]&gt;='Описательные характеристики'!$I$5,"да","нет")</f>
        <v>да</v>
      </c>
    </row>
    <row r="1048" spans="1:3" x14ac:dyDescent="0.35">
      <c r="A1048" s="4">
        <v>22517</v>
      </c>
      <c r="B1048" s="9">
        <v>6.7</v>
      </c>
      <c r="C1048" t="str">
        <f>IF(acs2015_county_data[[#This Row],[Unemployment]]&gt;='Описательные характеристики'!$I$5,"да","нет")</f>
        <v>нет</v>
      </c>
    </row>
    <row r="1049" spans="1:3" x14ac:dyDescent="0.35">
      <c r="A1049" s="6">
        <v>16405</v>
      </c>
      <c r="B1049" s="10">
        <v>12.3</v>
      </c>
      <c r="C1049" t="str">
        <f>IF(acs2015_county_data[[#This Row],[Unemployment]]&gt;='Описательные характеристики'!$I$5,"да","нет")</f>
        <v>да</v>
      </c>
    </row>
    <row r="1050" spans="1:3" x14ac:dyDescent="0.35">
      <c r="A1050" s="4">
        <v>28822</v>
      </c>
      <c r="B1050" s="9">
        <v>8.4</v>
      </c>
      <c r="C1050" t="str">
        <f>IF(acs2015_county_data[[#This Row],[Unemployment]]&gt;='Описательные характеристики'!$I$5,"да","нет")</f>
        <v>да</v>
      </c>
    </row>
    <row r="1051" spans="1:3" x14ac:dyDescent="0.35">
      <c r="A1051" s="6">
        <v>26230</v>
      </c>
      <c r="B1051" s="10">
        <v>8.8000000000000007</v>
      </c>
      <c r="C1051" t="str">
        <f>IF(acs2015_county_data[[#This Row],[Unemployment]]&gt;='Описательные характеристики'!$I$5,"да","нет")</f>
        <v>да</v>
      </c>
    </row>
    <row r="1052" spans="1:3" x14ac:dyDescent="0.35">
      <c r="A1052" s="4">
        <v>18436</v>
      </c>
      <c r="B1052" s="9">
        <v>9.1</v>
      </c>
      <c r="C1052" t="str">
        <f>IF(acs2015_county_data[[#This Row],[Unemployment]]&gt;='Описательные характеристики'!$I$5,"да","нет")</f>
        <v>да</v>
      </c>
    </row>
    <row r="1053" spans="1:3" x14ac:dyDescent="0.35">
      <c r="A1053" s="6">
        <v>27847</v>
      </c>
      <c r="B1053" s="10">
        <v>7.7</v>
      </c>
      <c r="C1053" t="str">
        <f>IF(acs2015_county_data[[#This Row],[Unemployment]]&gt;='Описательные характеристики'!$I$5,"да","нет")</f>
        <v>да</v>
      </c>
    </row>
    <row r="1054" spans="1:3" x14ac:dyDescent="0.35">
      <c r="A1054" s="4">
        <v>17939</v>
      </c>
      <c r="B1054" s="9">
        <v>14.6</v>
      </c>
      <c r="C1054" t="str">
        <f>IF(acs2015_county_data[[#This Row],[Unemployment]]&gt;='Описательные характеристики'!$I$5,"да","нет")</f>
        <v>да</v>
      </c>
    </row>
    <row r="1055" spans="1:3" x14ac:dyDescent="0.35">
      <c r="A1055" s="6">
        <v>15599</v>
      </c>
      <c r="B1055" s="10">
        <v>15.7</v>
      </c>
      <c r="C1055" t="str">
        <f>IF(acs2015_county_data[[#This Row],[Unemployment]]&gt;='Описательные характеристики'!$I$5,"да","нет")</f>
        <v>да</v>
      </c>
    </row>
    <row r="1056" spans="1:3" x14ac:dyDescent="0.35">
      <c r="A1056" s="4">
        <v>20570</v>
      </c>
      <c r="B1056" s="9">
        <v>9.3000000000000007</v>
      </c>
      <c r="C1056" t="str">
        <f>IF(acs2015_county_data[[#This Row],[Unemployment]]&gt;='Описательные характеристики'!$I$5,"да","нет")</f>
        <v>да</v>
      </c>
    </row>
    <row r="1057" spans="1:3" x14ac:dyDescent="0.35">
      <c r="A1057" s="6">
        <v>18795</v>
      </c>
      <c r="B1057" s="10">
        <v>12.4</v>
      </c>
      <c r="C1057" t="str">
        <f>IF(acs2015_county_data[[#This Row],[Unemployment]]&gt;='Описательные характеристики'!$I$5,"да","нет")</f>
        <v>да</v>
      </c>
    </row>
    <row r="1058" spans="1:3" x14ac:dyDescent="0.35">
      <c r="A1058" s="4">
        <v>18890</v>
      </c>
      <c r="B1058" s="9">
        <v>7.8</v>
      </c>
      <c r="C1058" t="str">
        <f>IF(acs2015_county_data[[#This Row],[Unemployment]]&gt;='Описательные характеристики'!$I$5,"да","нет")</f>
        <v>да</v>
      </c>
    </row>
    <row r="1059" spans="1:3" x14ac:dyDescent="0.35">
      <c r="A1059" s="6">
        <v>13688</v>
      </c>
      <c r="B1059" s="10">
        <v>12.2</v>
      </c>
      <c r="C1059" t="str">
        <f>IF(acs2015_county_data[[#This Row],[Unemployment]]&gt;='Описательные характеристики'!$I$5,"да","нет")</f>
        <v>да</v>
      </c>
    </row>
    <row r="1060" spans="1:3" x14ac:dyDescent="0.35">
      <c r="A1060" s="4">
        <v>15558</v>
      </c>
      <c r="B1060" s="9">
        <v>17</v>
      </c>
      <c r="C1060" t="str">
        <f>IF(acs2015_county_data[[#This Row],[Unemployment]]&gt;='Описательные характеристики'!$I$5,"да","нет")</f>
        <v>да</v>
      </c>
    </row>
    <row r="1061" spans="1:3" x14ac:dyDescent="0.35">
      <c r="A1061" s="6">
        <v>17194</v>
      </c>
      <c r="B1061" s="10">
        <v>12.6</v>
      </c>
      <c r="C1061" t="str">
        <f>IF(acs2015_county_data[[#This Row],[Unemployment]]&gt;='Описательные характеристики'!$I$5,"да","нет")</f>
        <v>да</v>
      </c>
    </row>
    <row r="1062" spans="1:3" x14ac:dyDescent="0.35">
      <c r="A1062" s="4">
        <v>16662</v>
      </c>
      <c r="B1062" s="9">
        <v>8.4</v>
      </c>
      <c r="C1062" t="str">
        <f>IF(acs2015_county_data[[#This Row],[Unemployment]]&gt;='Описательные характеристики'!$I$5,"да","нет")</f>
        <v>да</v>
      </c>
    </row>
    <row r="1063" spans="1:3" x14ac:dyDescent="0.35">
      <c r="A1063" s="6">
        <v>18564</v>
      </c>
      <c r="B1063" s="10">
        <v>10.5</v>
      </c>
      <c r="C1063" t="str">
        <f>IF(acs2015_county_data[[#This Row],[Unemployment]]&gt;='Описательные характеристики'!$I$5,"да","нет")</f>
        <v>да</v>
      </c>
    </row>
    <row r="1064" spans="1:3" x14ac:dyDescent="0.35">
      <c r="A1064" s="4">
        <v>23079</v>
      </c>
      <c r="B1064" s="9">
        <v>6.7</v>
      </c>
      <c r="C1064" t="str">
        <f>IF(acs2015_county_data[[#This Row],[Unemployment]]&gt;='Описательные характеристики'!$I$5,"да","нет")</f>
        <v>нет</v>
      </c>
    </row>
    <row r="1065" spans="1:3" x14ac:dyDescent="0.35">
      <c r="A1065" s="6">
        <v>19126</v>
      </c>
      <c r="B1065" s="10">
        <v>7.7</v>
      </c>
      <c r="C1065" t="str">
        <f>IF(acs2015_county_data[[#This Row],[Unemployment]]&gt;='Описательные характеристики'!$I$5,"да","нет")</f>
        <v>да</v>
      </c>
    </row>
    <row r="1066" spans="1:3" x14ac:dyDescent="0.35">
      <c r="A1066" s="4">
        <v>24723</v>
      </c>
      <c r="B1066" s="9">
        <v>7.6</v>
      </c>
      <c r="C1066" t="str">
        <f>IF(acs2015_county_data[[#This Row],[Unemployment]]&gt;='Описательные характеристики'!$I$5,"да","нет")</f>
        <v>да</v>
      </c>
    </row>
    <row r="1067" spans="1:3" x14ac:dyDescent="0.35">
      <c r="A1067" s="6">
        <v>28577</v>
      </c>
      <c r="B1067" s="10">
        <v>6.1</v>
      </c>
      <c r="C1067" t="str">
        <f>IF(acs2015_county_data[[#This Row],[Unemployment]]&gt;='Описательные характеристики'!$I$5,"да","нет")</f>
        <v>нет</v>
      </c>
    </row>
    <row r="1068" spans="1:3" x14ac:dyDescent="0.35">
      <c r="A1068" s="4">
        <v>10880</v>
      </c>
      <c r="B1068" s="9">
        <v>19</v>
      </c>
      <c r="C1068" t="str">
        <f>IF(acs2015_county_data[[#This Row],[Unemployment]]&gt;='Описательные характеристики'!$I$5,"да","нет")</f>
        <v>да</v>
      </c>
    </row>
    <row r="1069" spans="1:3" x14ac:dyDescent="0.35">
      <c r="A1069" s="6">
        <v>20910</v>
      </c>
      <c r="B1069" s="10">
        <v>8.4</v>
      </c>
      <c r="C1069" t="str">
        <f>IF(acs2015_county_data[[#This Row],[Unemployment]]&gt;='Описательные характеристики'!$I$5,"да","нет")</f>
        <v>да</v>
      </c>
    </row>
    <row r="1070" spans="1:3" x14ac:dyDescent="0.35">
      <c r="A1070" s="4">
        <v>21977</v>
      </c>
      <c r="B1070" s="9">
        <v>8.6</v>
      </c>
      <c r="C1070" t="str">
        <f>IF(acs2015_county_data[[#This Row],[Unemployment]]&gt;='Описательные характеристики'!$I$5,"да","нет")</f>
        <v>да</v>
      </c>
    </row>
    <row r="1071" spans="1:3" x14ac:dyDescent="0.35">
      <c r="A1071" s="6">
        <v>16046</v>
      </c>
      <c r="B1071" s="10">
        <v>12.2</v>
      </c>
      <c r="C1071" t="str">
        <f>IF(acs2015_county_data[[#This Row],[Unemployment]]&gt;='Описательные характеристики'!$I$5,"да","нет")</f>
        <v>да</v>
      </c>
    </row>
    <row r="1072" spans="1:3" x14ac:dyDescent="0.35">
      <c r="A1072" s="4">
        <v>19347</v>
      </c>
      <c r="B1072" s="9">
        <v>9.1999999999999993</v>
      </c>
      <c r="C1072" t="str">
        <f>IF(acs2015_county_data[[#This Row],[Unemployment]]&gt;='Описательные характеристики'!$I$5,"да","нет")</f>
        <v>да</v>
      </c>
    </row>
    <row r="1073" spans="1:3" x14ac:dyDescent="0.35">
      <c r="A1073" s="6">
        <v>23707</v>
      </c>
      <c r="B1073" s="10">
        <v>7.7</v>
      </c>
      <c r="C1073" t="str">
        <f>IF(acs2015_county_data[[#This Row],[Unemployment]]&gt;='Описательные характеристики'!$I$5,"да","нет")</f>
        <v>да</v>
      </c>
    </row>
    <row r="1074" spans="1:3" x14ac:dyDescent="0.35">
      <c r="A1074" s="4">
        <v>14179</v>
      </c>
      <c r="B1074" s="9">
        <v>20.6</v>
      </c>
      <c r="C1074" t="str">
        <f>IF(acs2015_county_data[[#This Row],[Unemployment]]&gt;='Описательные характеристики'!$I$5,"да","нет")</f>
        <v>да</v>
      </c>
    </row>
    <row r="1075" spans="1:3" x14ac:dyDescent="0.35">
      <c r="A1075" s="6">
        <v>23773</v>
      </c>
      <c r="B1075" s="10">
        <v>6.2</v>
      </c>
      <c r="C1075" t="str">
        <f>IF(acs2015_county_data[[#This Row],[Unemployment]]&gt;='Описательные характеристики'!$I$5,"да","нет")</f>
        <v>нет</v>
      </c>
    </row>
    <row r="1076" spans="1:3" x14ac:dyDescent="0.35">
      <c r="A1076" s="4">
        <v>23473</v>
      </c>
      <c r="B1076" s="9">
        <v>11.5</v>
      </c>
      <c r="C1076" t="str">
        <f>IF(acs2015_county_data[[#This Row],[Unemployment]]&gt;='Описательные характеристики'!$I$5,"да","нет")</f>
        <v>да</v>
      </c>
    </row>
    <row r="1077" spans="1:3" x14ac:dyDescent="0.35">
      <c r="A1077" s="6">
        <v>16768</v>
      </c>
      <c r="B1077" s="10">
        <v>14.7</v>
      </c>
      <c r="C1077" t="str">
        <f>IF(acs2015_county_data[[#This Row],[Unemployment]]&gt;='Описательные характеристики'!$I$5,"да","нет")</f>
        <v>да</v>
      </c>
    </row>
    <row r="1078" spans="1:3" x14ac:dyDescent="0.35">
      <c r="A1078" s="4">
        <v>22658</v>
      </c>
      <c r="B1078" s="9">
        <v>11.5</v>
      </c>
      <c r="C1078" t="str">
        <f>IF(acs2015_county_data[[#This Row],[Unemployment]]&gt;='Описательные характеристики'!$I$5,"да","нет")</f>
        <v>да</v>
      </c>
    </row>
    <row r="1079" spans="1:3" x14ac:dyDescent="0.35">
      <c r="A1079" s="6">
        <v>17608</v>
      </c>
      <c r="B1079" s="10">
        <v>7.4</v>
      </c>
      <c r="C1079" t="str">
        <f>IF(acs2015_county_data[[#This Row],[Unemployment]]&gt;='Описательные характеристики'!$I$5,"да","нет")</f>
        <v>нет</v>
      </c>
    </row>
    <row r="1080" spans="1:3" x14ac:dyDescent="0.35">
      <c r="A1080" s="4">
        <v>17635</v>
      </c>
      <c r="B1080" s="9">
        <v>9.5</v>
      </c>
      <c r="C1080" t="str">
        <f>IF(acs2015_county_data[[#This Row],[Unemployment]]&gt;='Описательные характеристики'!$I$5,"да","нет")</f>
        <v>да</v>
      </c>
    </row>
    <row r="1081" spans="1:3" x14ac:dyDescent="0.35">
      <c r="A1081" s="6">
        <v>20850</v>
      </c>
      <c r="B1081" s="10">
        <v>10.4</v>
      </c>
      <c r="C1081" t="str">
        <f>IF(acs2015_county_data[[#This Row],[Unemployment]]&gt;='Описательные характеристики'!$I$5,"да","нет")</f>
        <v>да</v>
      </c>
    </row>
    <row r="1082" spans="1:3" x14ac:dyDescent="0.35">
      <c r="A1082" s="4">
        <v>16007</v>
      </c>
      <c r="B1082" s="9">
        <v>9.6</v>
      </c>
      <c r="C1082" t="str">
        <f>IF(acs2015_county_data[[#This Row],[Unemployment]]&gt;='Описательные характеристики'!$I$5,"да","нет")</f>
        <v>да</v>
      </c>
    </row>
    <row r="1083" spans="1:3" x14ac:dyDescent="0.35">
      <c r="A1083" s="6">
        <v>19609</v>
      </c>
      <c r="B1083" s="10">
        <v>10.3</v>
      </c>
      <c r="C1083" t="str">
        <f>IF(acs2015_county_data[[#This Row],[Unemployment]]&gt;='Описательные характеристики'!$I$5,"да","нет")</f>
        <v>да</v>
      </c>
    </row>
    <row r="1084" spans="1:3" x14ac:dyDescent="0.35">
      <c r="A1084" s="4">
        <v>24699</v>
      </c>
      <c r="B1084" s="9">
        <v>9.8000000000000007</v>
      </c>
      <c r="C1084" t="str">
        <f>IF(acs2015_county_data[[#This Row],[Unemployment]]&gt;='Описательные характеристики'!$I$5,"да","нет")</f>
        <v>да</v>
      </c>
    </row>
    <row r="1085" spans="1:3" x14ac:dyDescent="0.35">
      <c r="A1085" s="6">
        <v>20039</v>
      </c>
      <c r="B1085" s="10">
        <v>7.7</v>
      </c>
      <c r="C1085" t="str">
        <f>IF(acs2015_county_data[[#This Row],[Unemployment]]&gt;='Описательные характеристики'!$I$5,"да","нет")</f>
        <v>да</v>
      </c>
    </row>
    <row r="1086" spans="1:3" x14ac:dyDescent="0.35">
      <c r="A1086" s="4">
        <v>19254</v>
      </c>
      <c r="B1086" s="9">
        <v>9.6</v>
      </c>
      <c r="C1086" t="str">
        <f>IF(acs2015_county_data[[#This Row],[Unemployment]]&gt;='Описательные характеристики'!$I$5,"да","нет")</f>
        <v>да</v>
      </c>
    </row>
    <row r="1087" spans="1:3" x14ac:dyDescent="0.35">
      <c r="A1087" s="6">
        <v>34423</v>
      </c>
      <c r="B1087" s="10">
        <v>4.3</v>
      </c>
      <c r="C1087" t="str">
        <f>IF(acs2015_county_data[[#This Row],[Unemployment]]&gt;='Описательные характеристики'!$I$5,"да","нет")</f>
        <v>нет</v>
      </c>
    </row>
    <row r="1088" spans="1:3" x14ac:dyDescent="0.35">
      <c r="A1088" s="4">
        <v>22878</v>
      </c>
      <c r="B1088" s="9">
        <v>8.6</v>
      </c>
      <c r="C1088" t="str">
        <f>IF(acs2015_county_data[[#This Row],[Unemployment]]&gt;='Описательные характеристики'!$I$5,"да","нет")</f>
        <v>да</v>
      </c>
    </row>
    <row r="1089" spans="1:3" x14ac:dyDescent="0.35">
      <c r="A1089" s="6">
        <v>15158</v>
      </c>
      <c r="B1089" s="10">
        <v>8.8000000000000007</v>
      </c>
      <c r="C1089" t="str">
        <f>IF(acs2015_county_data[[#This Row],[Unemployment]]&gt;='Описательные характеристики'!$I$5,"да","нет")</f>
        <v>да</v>
      </c>
    </row>
    <row r="1090" spans="1:3" x14ac:dyDescent="0.35">
      <c r="A1090" s="4">
        <v>23725</v>
      </c>
      <c r="B1090" s="9">
        <v>6.4</v>
      </c>
      <c r="C1090" t="str">
        <f>IF(acs2015_county_data[[#This Row],[Unemployment]]&gt;='Описательные характеристики'!$I$5,"да","нет")</f>
        <v>нет</v>
      </c>
    </row>
    <row r="1091" spans="1:3" x14ac:dyDescent="0.35">
      <c r="A1091" s="6">
        <v>18910</v>
      </c>
      <c r="B1091" s="10">
        <v>13.9</v>
      </c>
      <c r="C1091" t="str">
        <f>IF(acs2015_county_data[[#This Row],[Unemployment]]&gt;='Описательные характеристики'!$I$5,"да","нет")</f>
        <v>да</v>
      </c>
    </row>
    <row r="1092" spans="1:3" x14ac:dyDescent="0.35">
      <c r="A1092" s="4">
        <v>20061</v>
      </c>
      <c r="B1092" s="9">
        <v>10.7</v>
      </c>
      <c r="C1092" t="str">
        <f>IF(acs2015_county_data[[#This Row],[Unemployment]]&gt;='Описательные характеристики'!$I$5,"да","нет")</f>
        <v>да</v>
      </c>
    </row>
    <row r="1093" spans="1:3" x14ac:dyDescent="0.35">
      <c r="A1093" s="6">
        <v>17241</v>
      </c>
      <c r="B1093" s="10">
        <v>8.3000000000000007</v>
      </c>
      <c r="C1093" t="str">
        <f>IF(acs2015_county_data[[#This Row],[Unemployment]]&gt;='Описательные характеристики'!$I$5,"да","нет")</f>
        <v>да</v>
      </c>
    </row>
    <row r="1094" spans="1:3" x14ac:dyDescent="0.35">
      <c r="A1094" s="4">
        <v>20215</v>
      </c>
      <c r="B1094" s="9">
        <v>9.1</v>
      </c>
      <c r="C1094" t="str">
        <f>IF(acs2015_county_data[[#This Row],[Unemployment]]&gt;='Описательные характеристики'!$I$5,"да","нет")</f>
        <v>да</v>
      </c>
    </row>
    <row r="1095" spans="1:3" x14ac:dyDescent="0.35">
      <c r="A1095" s="6">
        <v>19246</v>
      </c>
      <c r="B1095" s="10">
        <v>6.7</v>
      </c>
      <c r="C1095" t="str">
        <f>IF(acs2015_county_data[[#This Row],[Unemployment]]&gt;='Описательные характеристики'!$I$5,"да","нет")</f>
        <v>нет</v>
      </c>
    </row>
    <row r="1096" spans="1:3" x14ac:dyDescent="0.35">
      <c r="A1096" s="4">
        <v>16963</v>
      </c>
      <c r="B1096" s="9">
        <v>11</v>
      </c>
      <c r="C1096" t="str">
        <f>IF(acs2015_county_data[[#This Row],[Unemployment]]&gt;='Описательные характеристики'!$I$5,"да","нет")</f>
        <v>да</v>
      </c>
    </row>
    <row r="1097" spans="1:3" x14ac:dyDescent="0.35">
      <c r="A1097" s="6">
        <v>18185</v>
      </c>
      <c r="B1097" s="10">
        <v>6.5</v>
      </c>
      <c r="C1097" t="str">
        <f>IF(acs2015_county_data[[#This Row],[Unemployment]]&gt;='Описательные характеристики'!$I$5,"да","нет")</f>
        <v>нет</v>
      </c>
    </row>
    <row r="1098" spans="1:3" x14ac:dyDescent="0.35">
      <c r="A1098" s="4">
        <v>17010</v>
      </c>
      <c r="B1098" s="9">
        <v>11.8</v>
      </c>
      <c r="C1098" t="str">
        <f>IF(acs2015_county_data[[#This Row],[Unemployment]]&gt;='Описательные характеристики'!$I$5,"да","нет")</f>
        <v>да</v>
      </c>
    </row>
    <row r="1099" spans="1:3" x14ac:dyDescent="0.35">
      <c r="A1099" s="6">
        <v>28232</v>
      </c>
      <c r="B1099" s="10">
        <v>6.9</v>
      </c>
      <c r="C1099" t="str">
        <f>IF(acs2015_county_data[[#This Row],[Unemployment]]&gt;='Описательные характеристики'!$I$5,"да","нет")</f>
        <v>нет</v>
      </c>
    </row>
    <row r="1100" spans="1:3" x14ac:dyDescent="0.35">
      <c r="A1100" s="4">
        <v>27631</v>
      </c>
      <c r="B1100" s="9">
        <v>5.7</v>
      </c>
      <c r="C1100" t="str">
        <f>IF(acs2015_county_data[[#This Row],[Unemployment]]&gt;='Описательные характеристики'!$I$5,"да","нет")</f>
        <v>нет</v>
      </c>
    </row>
    <row r="1101" spans="1:3" x14ac:dyDescent="0.35">
      <c r="A1101" s="6">
        <v>19397</v>
      </c>
      <c r="B1101" s="10">
        <v>7</v>
      </c>
      <c r="C1101" t="str">
        <f>IF(acs2015_county_data[[#This Row],[Unemployment]]&gt;='Описательные характеристики'!$I$5,"да","нет")</f>
        <v>нет</v>
      </c>
    </row>
    <row r="1102" spans="1:3" x14ac:dyDescent="0.35">
      <c r="A1102" s="4">
        <v>27016</v>
      </c>
      <c r="B1102" s="9">
        <v>6.4</v>
      </c>
      <c r="C1102" t="str">
        <f>IF(acs2015_county_data[[#This Row],[Unemployment]]&gt;='Описательные характеристики'!$I$5,"да","нет")</f>
        <v>нет</v>
      </c>
    </row>
    <row r="1103" spans="1:3" x14ac:dyDescent="0.35">
      <c r="A1103" s="6">
        <v>18120</v>
      </c>
      <c r="B1103" s="10">
        <v>9.6</v>
      </c>
      <c r="C1103" t="str">
        <f>IF(acs2015_county_data[[#This Row],[Unemployment]]&gt;='Описательные характеристики'!$I$5,"да","нет")</f>
        <v>да</v>
      </c>
    </row>
    <row r="1104" spans="1:3" x14ac:dyDescent="0.35">
      <c r="A1104" s="4">
        <v>19042</v>
      </c>
      <c r="B1104" s="9">
        <v>8.5</v>
      </c>
      <c r="C1104" t="str">
        <f>IF(acs2015_county_data[[#This Row],[Unemployment]]&gt;='Описательные характеристики'!$I$5,"да","нет")</f>
        <v>да</v>
      </c>
    </row>
    <row r="1105" spans="1:3" x14ac:dyDescent="0.35">
      <c r="A1105" s="6">
        <v>26001</v>
      </c>
      <c r="B1105" s="10">
        <v>8.4</v>
      </c>
      <c r="C1105" t="str">
        <f>IF(acs2015_county_data[[#This Row],[Unemployment]]&gt;='Описательные характеристики'!$I$5,"да","нет")</f>
        <v>да</v>
      </c>
    </row>
    <row r="1106" spans="1:3" x14ac:dyDescent="0.35">
      <c r="A1106" s="4">
        <v>23465</v>
      </c>
      <c r="B1106" s="9">
        <v>14.6</v>
      </c>
      <c r="C1106" t="str">
        <f>IF(acs2015_county_data[[#This Row],[Unemployment]]&gt;='Описательные характеристики'!$I$5,"да","нет")</f>
        <v>да</v>
      </c>
    </row>
    <row r="1107" spans="1:3" x14ac:dyDescent="0.35">
      <c r="A1107" s="6">
        <v>20164</v>
      </c>
      <c r="B1107" s="10">
        <v>7.8</v>
      </c>
      <c r="C1107" t="str">
        <f>IF(acs2015_county_data[[#This Row],[Unemployment]]&gt;='Описательные характеристики'!$I$5,"да","нет")</f>
        <v>да</v>
      </c>
    </row>
    <row r="1108" spans="1:3" x14ac:dyDescent="0.35">
      <c r="A1108" s="4">
        <v>23823</v>
      </c>
      <c r="B1108" s="9">
        <v>7.9</v>
      </c>
      <c r="C1108" t="str">
        <f>IF(acs2015_county_data[[#This Row],[Unemployment]]&gt;='Описательные характеристики'!$I$5,"да","нет")</f>
        <v>да</v>
      </c>
    </row>
    <row r="1109" spans="1:3" x14ac:dyDescent="0.35">
      <c r="A1109" s="6">
        <v>19793</v>
      </c>
      <c r="B1109" s="10">
        <v>6.1</v>
      </c>
      <c r="C1109" t="str">
        <f>IF(acs2015_county_data[[#This Row],[Unemployment]]&gt;='Описательные характеристики'!$I$5,"да","нет")</f>
        <v>нет</v>
      </c>
    </row>
    <row r="1110" spans="1:3" x14ac:dyDescent="0.35">
      <c r="A1110" s="4">
        <v>15475</v>
      </c>
      <c r="B1110" s="9">
        <v>12.6</v>
      </c>
      <c r="C1110" t="str">
        <f>IF(acs2015_county_data[[#This Row],[Unemployment]]&gt;='Описательные характеристики'!$I$5,"да","нет")</f>
        <v>да</v>
      </c>
    </row>
    <row r="1111" spans="1:3" x14ac:dyDescent="0.35">
      <c r="A1111" s="6">
        <v>19891</v>
      </c>
      <c r="B1111" s="10">
        <v>7.2</v>
      </c>
      <c r="C1111" t="str">
        <f>IF(acs2015_county_data[[#This Row],[Unemployment]]&gt;='Описательные характеристики'!$I$5,"да","нет")</f>
        <v>нет</v>
      </c>
    </row>
    <row r="1112" spans="1:3" x14ac:dyDescent="0.35">
      <c r="A1112" s="4">
        <v>16748</v>
      </c>
      <c r="B1112" s="9">
        <v>10.199999999999999</v>
      </c>
      <c r="C1112" t="str">
        <f>IF(acs2015_county_data[[#This Row],[Unemployment]]&gt;='Описательные характеристики'!$I$5,"да","нет")</f>
        <v>да</v>
      </c>
    </row>
    <row r="1113" spans="1:3" x14ac:dyDescent="0.35">
      <c r="A1113" s="6">
        <v>13901</v>
      </c>
      <c r="B1113" s="10">
        <v>9.6999999999999993</v>
      </c>
      <c r="C1113" t="str">
        <f>IF(acs2015_county_data[[#This Row],[Unemployment]]&gt;='Описательные характеристики'!$I$5,"да","нет")</f>
        <v>да</v>
      </c>
    </row>
    <row r="1114" spans="1:3" x14ac:dyDescent="0.35">
      <c r="A1114" s="4">
        <v>30490</v>
      </c>
      <c r="B1114" s="9">
        <v>4.8</v>
      </c>
      <c r="C1114" t="str">
        <f>IF(acs2015_county_data[[#This Row],[Unemployment]]&gt;='Описательные характеристики'!$I$5,"да","нет")</f>
        <v>нет</v>
      </c>
    </row>
    <row r="1115" spans="1:3" x14ac:dyDescent="0.35">
      <c r="A1115" s="6">
        <v>20552</v>
      </c>
      <c r="B1115" s="10">
        <v>10.1</v>
      </c>
      <c r="C1115" t="str">
        <f>IF(acs2015_county_data[[#This Row],[Unemployment]]&gt;='Описательные характеристики'!$I$5,"да","нет")</f>
        <v>да</v>
      </c>
    </row>
    <row r="1116" spans="1:3" x14ac:dyDescent="0.35">
      <c r="A1116" s="4">
        <v>19868</v>
      </c>
      <c r="B1116" s="9">
        <v>8.9</v>
      </c>
      <c r="C1116" t="str">
        <f>IF(acs2015_county_data[[#This Row],[Unemployment]]&gt;='Описательные характеристики'!$I$5,"да","нет")</f>
        <v>да</v>
      </c>
    </row>
    <row r="1117" spans="1:3" x14ac:dyDescent="0.35">
      <c r="A1117" s="6">
        <v>29269</v>
      </c>
      <c r="B1117" s="10">
        <v>6.4</v>
      </c>
      <c r="C1117" t="str">
        <f>IF(acs2015_county_data[[#This Row],[Unemployment]]&gt;='Описательные характеристики'!$I$5,"да","нет")</f>
        <v>нет</v>
      </c>
    </row>
    <row r="1118" spans="1:3" x14ac:dyDescent="0.35">
      <c r="A1118" s="4">
        <v>23886</v>
      </c>
      <c r="B1118" s="9">
        <v>10.3</v>
      </c>
      <c r="C1118" t="str">
        <f>IF(acs2015_county_data[[#This Row],[Unemployment]]&gt;='Описательные характеристики'!$I$5,"да","нет")</f>
        <v>да</v>
      </c>
    </row>
    <row r="1119" spans="1:3" x14ac:dyDescent="0.35">
      <c r="A1119" s="6">
        <v>18967</v>
      </c>
      <c r="B1119" s="10">
        <v>9.6</v>
      </c>
      <c r="C1119" t="str">
        <f>IF(acs2015_county_data[[#This Row],[Unemployment]]&gt;='Описательные характеристики'!$I$5,"да","нет")</f>
        <v>да</v>
      </c>
    </row>
    <row r="1120" spans="1:3" x14ac:dyDescent="0.35">
      <c r="A1120" s="4">
        <v>22961</v>
      </c>
      <c r="B1120" s="9">
        <v>5.7</v>
      </c>
      <c r="C1120" t="str">
        <f>IF(acs2015_county_data[[#This Row],[Unemployment]]&gt;='Описательные характеристики'!$I$5,"да","нет")</f>
        <v>нет</v>
      </c>
    </row>
    <row r="1121" spans="1:3" x14ac:dyDescent="0.35">
      <c r="A1121" s="6">
        <v>20464</v>
      </c>
      <c r="B1121" s="10">
        <v>10.1</v>
      </c>
      <c r="C1121" t="str">
        <f>IF(acs2015_county_data[[#This Row],[Unemployment]]&gt;='Описательные характеристики'!$I$5,"да","нет")</f>
        <v>да</v>
      </c>
    </row>
    <row r="1122" spans="1:3" x14ac:dyDescent="0.35">
      <c r="A1122" s="4">
        <v>27572</v>
      </c>
      <c r="B1122" s="9">
        <v>5.7</v>
      </c>
      <c r="C1122" t="str">
        <f>IF(acs2015_county_data[[#This Row],[Unemployment]]&gt;='Описательные характеристики'!$I$5,"да","нет")</f>
        <v>нет</v>
      </c>
    </row>
    <row r="1123" spans="1:3" x14ac:dyDescent="0.35">
      <c r="A1123" s="6">
        <v>24876</v>
      </c>
      <c r="B1123" s="10">
        <v>7</v>
      </c>
      <c r="C1123" t="str">
        <f>IF(acs2015_county_data[[#This Row],[Unemployment]]&gt;='Описательные характеристики'!$I$5,"да","нет")</f>
        <v>нет</v>
      </c>
    </row>
    <row r="1124" spans="1:3" x14ac:dyDescent="0.35">
      <c r="A1124" s="4">
        <v>25005</v>
      </c>
      <c r="B1124" s="9">
        <v>8.3000000000000007</v>
      </c>
      <c r="C1124" t="str">
        <f>IF(acs2015_county_data[[#This Row],[Unemployment]]&gt;='Описательные характеристики'!$I$5,"да","нет")</f>
        <v>да</v>
      </c>
    </row>
    <row r="1125" spans="1:3" x14ac:dyDescent="0.35">
      <c r="A1125" s="6">
        <v>21493</v>
      </c>
      <c r="B1125" s="10">
        <v>10.199999999999999</v>
      </c>
      <c r="C1125" t="str">
        <f>IF(acs2015_county_data[[#This Row],[Unemployment]]&gt;='Описательные характеристики'!$I$5,"да","нет")</f>
        <v>да</v>
      </c>
    </row>
    <row r="1126" spans="1:3" x14ac:dyDescent="0.35">
      <c r="A1126" s="4">
        <v>29679</v>
      </c>
      <c r="B1126" s="9">
        <v>6.3</v>
      </c>
      <c r="C1126" t="str">
        <f>IF(acs2015_county_data[[#This Row],[Unemployment]]&gt;='Описательные характеристики'!$I$5,"да","нет")</f>
        <v>нет</v>
      </c>
    </row>
    <row r="1127" spans="1:3" x14ac:dyDescent="0.35">
      <c r="A1127" s="6">
        <v>21851</v>
      </c>
      <c r="B1127" s="10">
        <v>8.3000000000000007</v>
      </c>
      <c r="C1127" t="str">
        <f>IF(acs2015_county_data[[#This Row],[Unemployment]]&gt;='Описательные характеристики'!$I$5,"да","нет")</f>
        <v>да</v>
      </c>
    </row>
    <row r="1128" spans="1:3" x14ac:dyDescent="0.35">
      <c r="A1128" s="4">
        <v>17547</v>
      </c>
      <c r="B1128" s="9">
        <v>13.5</v>
      </c>
      <c r="C1128" t="str">
        <f>IF(acs2015_county_data[[#This Row],[Unemployment]]&gt;='Описательные характеристики'!$I$5,"да","нет")</f>
        <v>да</v>
      </c>
    </row>
    <row r="1129" spans="1:3" x14ac:dyDescent="0.35">
      <c r="A1129" s="6">
        <v>17498</v>
      </c>
      <c r="B1129" s="10">
        <v>11.7</v>
      </c>
      <c r="C1129" t="str">
        <f>IF(acs2015_county_data[[#This Row],[Unemployment]]&gt;='Описательные характеристики'!$I$5,"да","нет")</f>
        <v>да</v>
      </c>
    </row>
    <row r="1130" spans="1:3" x14ac:dyDescent="0.35">
      <c r="A1130" s="4">
        <v>22513</v>
      </c>
      <c r="B1130" s="9">
        <v>9.3000000000000007</v>
      </c>
      <c r="C1130" t="str">
        <f>IF(acs2015_county_data[[#This Row],[Unemployment]]&gt;='Описательные характеристики'!$I$5,"да","нет")</f>
        <v>да</v>
      </c>
    </row>
    <row r="1131" spans="1:3" x14ac:dyDescent="0.35">
      <c r="A1131" s="6">
        <v>27944</v>
      </c>
      <c r="B1131" s="10">
        <v>7.6</v>
      </c>
      <c r="C1131" t="str">
        <f>IF(acs2015_county_data[[#This Row],[Unemployment]]&gt;='Описательные характеристики'!$I$5,"да","нет")</f>
        <v>да</v>
      </c>
    </row>
    <row r="1132" spans="1:3" x14ac:dyDescent="0.35">
      <c r="A1132" s="4">
        <v>11313</v>
      </c>
      <c r="B1132" s="9">
        <v>19.2</v>
      </c>
      <c r="C1132" t="str">
        <f>IF(acs2015_county_data[[#This Row],[Unemployment]]&gt;='Описательные характеристики'!$I$5,"да","нет")</f>
        <v>да</v>
      </c>
    </row>
    <row r="1133" spans="1:3" x14ac:dyDescent="0.35">
      <c r="A1133" s="6">
        <v>21348</v>
      </c>
      <c r="B1133" s="10">
        <v>6.5</v>
      </c>
      <c r="C1133" t="str">
        <f>IF(acs2015_county_data[[#This Row],[Unemployment]]&gt;='Описательные характеристики'!$I$5,"да","нет")</f>
        <v>нет</v>
      </c>
    </row>
    <row r="1134" spans="1:3" x14ac:dyDescent="0.35">
      <c r="A1134" s="4">
        <v>18484</v>
      </c>
      <c r="B1134" s="9">
        <v>10.4</v>
      </c>
      <c r="C1134" t="str">
        <f>IF(acs2015_county_data[[#This Row],[Unemployment]]&gt;='Описательные характеристики'!$I$5,"да","нет")</f>
        <v>да</v>
      </c>
    </row>
    <row r="1135" spans="1:3" x14ac:dyDescent="0.35">
      <c r="A1135" s="6">
        <v>17324</v>
      </c>
      <c r="B1135" s="10">
        <v>11.5</v>
      </c>
      <c r="C1135" t="str">
        <f>IF(acs2015_county_data[[#This Row],[Unemployment]]&gt;='Описательные характеристики'!$I$5,"да","нет")</f>
        <v>да</v>
      </c>
    </row>
    <row r="1136" spans="1:3" x14ac:dyDescent="0.35">
      <c r="A1136" s="4">
        <v>17987</v>
      </c>
      <c r="B1136" s="9">
        <v>9.1999999999999993</v>
      </c>
      <c r="C1136" t="str">
        <f>IF(acs2015_county_data[[#This Row],[Unemployment]]&gt;='Описательные характеристики'!$I$5,"да","нет")</f>
        <v>да</v>
      </c>
    </row>
    <row r="1137" spans="1:3" x14ac:dyDescent="0.35">
      <c r="A1137" s="6">
        <v>23977</v>
      </c>
      <c r="B1137" s="10">
        <v>10.6</v>
      </c>
      <c r="C1137" t="str">
        <f>IF(acs2015_county_data[[#This Row],[Unemployment]]&gt;='Описательные характеристики'!$I$5,"да","нет")</f>
        <v>да</v>
      </c>
    </row>
    <row r="1138" spans="1:3" x14ac:dyDescent="0.35">
      <c r="A1138" s="4">
        <v>21428</v>
      </c>
      <c r="B1138" s="9">
        <v>7.9</v>
      </c>
      <c r="C1138" t="str">
        <f>IF(acs2015_county_data[[#This Row],[Unemployment]]&gt;='Описательные характеристики'!$I$5,"да","нет")</f>
        <v>да</v>
      </c>
    </row>
    <row r="1139" spans="1:3" x14ac:dyDescent="0.35">
      <c r="A1139" s="6">
        <v>18986</v>
      </c>
      <c r="B1139" s="10">
        <v>6.9</v>
      </c>
      <c r="C1139" t="str">
        <f>IF(acs2015_county_data[[#This Row],[Unemployment]]&gt;='Описательные характеристики'!$I$5,"да","нет")</f>
        <v>нет</v>
      </c>
    </row>
    <row r="1140" spans="1:3" x14ac:dyDescent="0.35">
      <c r="A1140" s="4">
        <v>27127</v>
      </c>
      <c r="B1140" s="9">
        <v>6.7</v>
      </c>
      <c r="C1140" t="str">
        <f>IF(acs2015_county_data[[#This Row],[Unemployment]]&gt;='Описательные характеристики'!$I$5,"да","нет")</f>
        <v>нет</v>
      </c>
    </row>
    <row r="1141" spans="1:3" x14ac:dyDescent="0.35">
      <c r="A1141" s="6">
        <v>22260</v>
      </c>
      <c r="B1141" s="10">
        <v>9.1999999999999993</v>
      </c>
      <c r="C1141" t="str">
        <f>IF(acs2015_county_data[[#This Row],[Unemployment]]&gt;='Описательные характеристики'!$I$5,"да","нет")</f>
        <v>да</v>
      </c>
    </row>
    <row r="1142" spans="1:3" x14ac:dyDescent="0.35">
      <c r="A1142" s="4">
        <v>30240</v>
      </c>
      <c r="B1142" s="9">
        <v>6.3</v>
      </c>
      <c r="C1142" t="str">
        <f>IF(acs2015_county_data[[#This Row],[Unemployment]]&gt;='Описательные характеристики'!$I$5,"да","нет")</f>
        <v>нет</v>
      </c>
    </row>
    <row r="1143" spans="1:3" x14ac:dyDescent="0.35">
      <c r="A1143" s="6">
        <v>25303</v>
      </c>
      <c r="B1143" s="10">
        <v>7</v>
      </c>
      <c r="C1143" t="str">
        <f>IF(acs2015_county_data[[#This Row],[Unemployment]]&gt;='Описательные характеристики'!$I$5,"да","нет")</f>
        <v>нет</v>
      </c>
    </row>
    <row r="1144" spans="1:3" x14ac:dyDescent="0.35">
      <c r="A1144" s="4">
        <v>20818</v>
      </c>
      <c r="B1144" s="9">
        <v>6.3</v>
      </c>
      <c r="C1144" t="str">
        <f>IF(acs2015_county_data[[#This Row],[Unemployment]]&gt;='Описательные характеристики'!$I$5,"да","нет")</f>
        <v>нет</v>
      </c>
    </row>
    <row r="1145" spans="1:3" x14ac:dyDescent="0.35">
      <c r="A1145" s="6">
        <v>21003</v>
      </c>
      <c r="B1145" s="10">
        <v>11.9</v>
      </c>
      <c r="C1145" t="str">
        <f>IF(acs2015_county_data[[#This Row],[Unemployment]]&gt;='Описательные характеристики'!$I$5,"да","нет")</f>
        <v>да</v>
      </c>
    </row>
    <row r="1146" spans="1:3" x14ac:dyDescent="0.35">
      <c r="A1146" s="4">
        <v>25999</v>
      </c>
      <c r="B1146" s="9">
        <v>7</v>
      </c>
      <c r="C1146" t="str">
        <f>IF(acs2015_county_data[[#This Row],[Unemployment]]&gt;='Описательные характеристики'!$I$5,"да","нет")</f>
        <v>нет</v>
      </c>
    </row>
    <row r="1147" spans="1:3" x14ac:dyDescent="0.35">
      <c r="A1147" s="6">
        <v>14205</v>
      </c>
      <c r="B1147" s="10">
        <v>16.899999999999999</v>
      </c>
      <c r="C1147" t="str">
        <f>IF(acs2015_county_data[[#This Row],[Unemployment]]&gt;='Описательные характеристики'!$I$5,"да","нет")</f>
        <v>да</v>
      </c>
    </row>
    <row r="1148" spans="1:3" x14ac:dyDescent="0.35">
      <c r="A1148" s="4">
        <v>18209</v>
      </c>
      <c r="B1148" s="9">
        <v>8</v>
      </c>
      <c r="C1148" t="str">
        <f>IF(acs2015_county_data[[#This Row],[Unemployment]]&gt;='Описательные характеристики'!$I$5,"да","нет")</f>
        <v>да</v>
      </c>
    </row>
    <row r="1149" spans="1:3" x14ac:dyDescent="0.35">
      <c r="A1149" s="6">
        <v>19883</v>
      </c>
      <c r="B1149" s="10">
        <v>12.2</v>
      </c>
      <c r="C1149" t="str">
        <f>IF(acs2015_county_data[[#This Row],[Unemployment]]&gt;='Описательные характеристики'!$I$5,"да","нет")</f>
        <v>да</v>
      </c>
    </row>
    <row r="1150" spans="1:3" x14ac:dyDescent="0.35">
      <c r="A1150" s="4">
        <v>27721</v>
      </c>
      <c r="B1150" s="9">
        <v>10.3</v>
      </c>
      <c r="C1150" t="str">
        <f>IF(acs2015_county_data[[#This Row],[Unemployment]]&gt;='Описательные характеристики'!$I$5,"да","нет")</f>
        <v>да</v>
      </c>
    </row>
    <row r="1151" spans="1:3" x14ac:dyDescent="0.35">
      <c r="A1151" s="6">
        <v>21770</v>
      </c>
      <c r="B1151" s="10">
        <v>8</v>
      </c>
      <c r="C1151" t="str">
        <f>IF(acs2015_county_data[[#This Row],[Unemployment]]&gt;='Описательные характеристики'!$I$5,"да","нет")</f>
        <v>да</v>
      </c>
    </row>
    <row r="1152" spans="1:3" x14ac:dyDescent="0.35">
      <c r="A1152" s="4">
        <v>24837</v>
      </c>
      <c r="B1152" s="9">
        <v>4.7</v>
      </c>
      <c r="C1152" t="str">
        <f>IF(acs2015_county_data[[#This Row],[Unemployment]]&gt;='Описательные характеристики'!$I$5,"да","нет")</f>
        <v>нет</v>
      </c>
    </row>
    <row r="1153" spans="1:3" x14ac:dyDescent="0.35">
      <c r="A1153" s="6">
        <v>25024</v>
      </c>
      <c r="B1153" s="10">
        <v>8.3000000000000007</v>
      </c>
      <c r="C1153" t="str">
        <f>IF(acs2015_county_data[[#This Row],[Unemployment]]&gt;='Описательные характеристики'!$I$5,"да","нет")</f>
        <v>да</v>
      </c>
    </row>
    <row r="1154" spans="1:3" x14ac:dyDescent="0.35">
      <c r="A1154" s="4">
        <v>21671</v>
      </c>
      <c r="B1154" s="9">
        <v>8.6</v>
      </c>
      <c r="C1154" t="str">
        <f>IF(acs2015_county_data[[#This Row],[Unemployment]]&gt;='Описательные характеристики'!$I$5,"да","нет")</f>
        <v>да</v>
      </c>
    </row>
    <row r="1155" spans="1:3" x14ac:dyDescent="0.35">
      <c r="A1155" s="6">
        <v>23016</v>
      </c>
      <c r="B1155" s="10">
        <v>9.1999999999999993</v>
      </c>
      <c r="C1155" t="str">
        <f>IF(acs2015_county_data[[#This Row],[Unemployment]]&gt;='Описательные характеристики'!$I$5,"да","нет")</f>
        <v>да</v>
      </c>
    </row>
    <row r="1156" spans="1:3" x14ac:dyDescent="0.35">
      <c r="A1156" s="4">
        <v>19699</v>
      </c>
      <c r="B1156" s="9">
        <v>9.6</v>
      </c>
      <c r="C1156" t="str">
        <f>IF(acs2015_county_data[[#This Row],[Unemployment]]&gt;='Описательные характеристики'!$I$5,"да","нет")</f>
        <v>да</v>
      </c>
    </row>
    <row r="1157" spans="1:3" x14ac:dyDescent="0.35">
      <c r="A1157" s="6">
        <v>22605</v>
      </c>
      <c r="B1157" s="10">
        <v>10.6</v>
      </c>
      <c r="C1157" t="str">
        <f>IF(acs2015_county_data[[#This Row],[Unemployment]]&gt;='Описательные характеристики'!$I$5,"да","нет")</f>
        <v>да</v>
      </c>
    </row>
    <row r="1158" spans="1:3" x14ac:dyDescent="0.35">
      <c r="A1158" s="4">
        <v>20160</v>
      </c>
      <c r="B1158" s="9">
        <v>12.2</v>
      </c>
      <c r="C1158" t="str">
        <f>IF(acs2015_county_data[[#This Row],[Unemployment]]&gt;='Описательные характеристики'!$I$5,"да","нет")</f>
        <v>да</v>
      </c>
    </row>
    <row r="1159" spans="1:3" x14ac:dyDescent="0.35">
      <c r="A1159" s="6">
        <v>27247</v>
      </c>
      <c r="B1159" s="10">
        <v>7.7</v>
      </c>
      <c r="C1159" t="str">
        <f>IF(acs2015_county_data[[#This Row],[Unemployment]]&gt;='Описательные характеристики'!$I$5,"да","нет")</f>
        <v>да</v>
      </c>
    </row>
    <row r="1160" spans="1:3" x14ac:dyDescent="0.35">
      <c r="A1160" s="4">
        <v>18620</v>
      </c>
      <c r="B1160" s="9">
        <v>14.4</v>
      </c>
      <c r="C1160" t="str">
        <f>IF(acs2015_county_data[[#This Row],[Unemployment]]&gt;='Описательные характеристики'!$I$5,"да","нет")</f>
        <v>да</v>
      </c>
    </row>
    <row r="1161" spans="1:3" x14ac:dyDescent="0.35">
      <c r="A1161" s="6">
        <v>24071</v>
      </c>
      <c r="B1161" s="10">
        <v>11</v>
      </c>
      <c r="C1161" t="str">
        <f>IF(acs2015_county_data[[#This Row],[Unemployment]]&gt;='Описательные характеристики'!$I$5,"да","нет")</f>
        <v>да</v>
      </c>
    </row>
    <row r="1162" spans="1:3" x14ac:dyDescent="0.35">
      <c r="A1162" s="4">
        <v>22660</v>
      </c>
      <c r="B1162" s="9">
        <v>9.1999999999999993</v>
      </c>
      <c r="C1162" t="str">
        <f>IF(acs2015_county_data[[#This Row],[Unemployment]]&gt;='Описательные характеристики'!$I$5,"да","нет")</f>
        <v>да</v>
      </c>
    </row>
    <row r="1163" spans="1:3" x14ac:dyDescent="0.35">
      <c r="A1163" s="6">
        <v>19156</v>
      </c>
      <c r="B1163" s="10">
        <v>6.1</v>
      </c>
      <c r="C1163" t="str">
        <f>IF(acs2015_county_data[[#This Row],[Unemployment]]&gt;='Описательные характеристики'!$I$5,"да","нет")</f>
        <v>нет</v>
      </c>
    </row>
    <row r="1164" spans="1:3" x14ac:dyDescent="0.35">
      <c r="A1164" s="4">
        <v>22983</v>
      </c>
      <c r="B1164" s="9">
        <v>7.2</v>
      </c>
      <c r="C1164" t="str">
        <f>IF(acs2015_county_data[[#This Row],[Unemployment]]&gt;='Описательные характеристики'!$I$5,"да","нет")</f>
        <v>нет</v>
      </c>
    </row>
    <row r="1165" spans="1:3" x14ac:dyDescent="0.35">
      <c r="A1165" s="6">
        <v>21847</v>
      </c>
      <c r="B1165" s="10">
        <v>12.2</v>
      </c>
      <c r="C1165" t="str">
        <f>IF(acs2015_county_data[[#This Row],[Unemployment]]&gt;='Описательные характеристики'!$I$5,"да","нет")</f>
        <v>да</v>
      </c>
    </row>
    <row r="1166" spans="1:3" x14ac:dyDescent="0.35">
      <c r="A1166" s="4">
        <v>31022</v>
      </c>
      <c r="B1166" s="9">
        <v>7.6</v>
      </c>
      <c r="C1166" t="str">
        <f>IF(acs2015_county_data[[#This Row],[Unemployment]]&gt;='Описательные характеристики'!$I$5,"да","нет")</f>
        <v>да</v>
      </c>
    </row>
    <row r="1167" spans="1:3" x14ac:dyDescent="0.35">
      <c r="A1167" s="6">
        <v>21671</v>
      </c>
      <c r="B1167" s="10">
        <v>10.7</v>
      </c>
      <c r="C1167" t="str">
        <f>IF(acs2015_county_data[[#This Row],[Unemployment]]&gt;='Описательные характеристики'!$I$5,"да","нет")</f>
        <v>да</v>
      </c>
    </row>
    <row r="1168" spans="1:3" x14ac:dyDescent="0.35">
      <c r="A1168" s="4">
        <v>16912</v>
      </c>
      <c r="B1168" s="9">
        <v>15.6</v>
      </c>
      <c r="C1168" t="str">
        <f>IF(acs2015_county_data[[#This Row],[Unemployment]]&gt;='Описательные характеристики'!$I$5,"да","нет")</f>
        <v>да</v>
      </c>
    </row>
    <row r="1169" spans="1:3" x14ac:dyDescent="0.35">
      <c r="A1169" s="6">
        <v>23626</v>
      </c>
      <c r="B1169" s="10">
        <v>5.5</v>
      </c>
      <c r="C1169" t="str">
        <f>IF(acs2015_county_data[[#This Row],[Unemployment]]&gt;='Описательные характеристики'!$I$5,"да","нет")</f>
        <v>нет</v>
      </c>
    </row>
    <row r="1170" spans="1:3" x14ac:dyDescent="0.35">
      <c r="A1170" s="4">
        <v>19676</v>
      </c>
      <c r="B1170" s="9">
        <v>7.7</v>
      </c>
      <c r="C1170" t="str">
        <f>IF(acs2015_county_data[[#This Row],[Unemployment]]&gt;='Описательные характеристики'!$I$5,"да","нет")</f>
        <v>да</v>
      </c>
    </row>
    <row r="1171" spans="1:3" x14ac:dyDescent="0.35">
      <c r="A1171" s="6">
        <v>23261</v>
      </c>
      <c r="B1171" s="10">
        <v>8.5</v>
      </c>
      <c r="C1171" t="str">
        <f>IF(acs2015_county_data[[#This Row],[Unemployment]]&gt;='Описательные характеристики'!$I$5,"да","нет")</f>
        <v>да</v>
      </c>
    </row>
    <row r="1172" spans="1:3" x14ac:dyDescent="0.35">
      <c r="A1172" s="4">
        <v>21578</v>
      </c>
      <c r="B1172" s="9">
        <v>7.5</v>
      </c>
      <c r="C1172" t="str">
        <f>IF(acs2015_county_data[[#This Row],[Unemployment]]&gt;='Описательные характеристики'!$I$5,"да","нет")</f>
        <v>нет</v>
      </c>
    </row>
    <row r="1173" spans="1:3" x14ac:dyDescent="0.35">
      <c r="A1173" s="6">
        <v>17745</v>
      </c>
      <c r="B1173" s="10">
        <v>15</v>
      </c>
      <c r="C1173" t="str">
        <f>IF(acs2015_county_data[[#This Row],[Unemployment]]&gt;='Описательные характеристики'!$I$5,"да","нет")</f>
        <v>да</v>
      </c>
    </row>
    <row r="1174" spans="1:3" x14ac:dyDescent="0.35">
      <c r="A1174" s="4">
        <v>20248</v>
      </c>
      <c r="B1174" s="9">
        <v>7.6</v>
      </c>
      <c r="C1174" t="str">
        <f>IF(acs2015_county_data[[#This Row],[Unemployment]]&gt;='Описательные характеристики'!$I$5,"да","нет")</f>
        <v>да</v>
      </c>
    </row>
    <row r="1175" spans="1:3" x14ac:dyDescent="0.35">
      <c r="A1175" s="6">
        <v>26118</v>
      </c>
      <c r="B1175" s="10">
        <v>6.5</v>
      </c>
      <c r="C1175" t="str">
        <f>IF(acs2015_county_data[[#This Row],[Unemployment]]&gt;='Описательные характеристики'!$I$5,"да","нет")</f>
        <v>нет</v>
      </c>
    </row>
    <row r="1176" spans="1:3" x14ac:dyDescent="0.35">
      <c r="A1176" s="4">
        <v>19353</v>
      </c>
      <c r="B1176" s="9">
        <v>11.9</v>
      </c>
      <c r="C1176" t="str">
        <f>IF(acs2015_county_data[[#This Row],[Unemployment]]&gt;='Описательные характеристики'!$I$5,"да","нет")</f>
        <v>да</v>
      </c>
    </row>
    <row r="1177" spans="1:3" x14ac:dyDescent="0.35">
      <c r="A1177" s="6">
        <v>22122</v>
      </c>
      <c r="B1177" s="10">
        <v>8.5</v>
      </c>
      <c r="C1177" t="str">
        <f>IF(acs2015_county_data[[#This Row],[Unemployment]]&gt;='Описательные характеристики'!$I$5,"да","нет")</f>
        <v>да</v>
      </c>
    </row>
    <row r="1178" spans="1:3" x14ac:dyDescent="0.35">
      <c r="A1178" s="4">
        <v>17877</v>
      </c>
      <c r="B1178" s="9">
        <v>6.3</v>
      </c>
      <c r="C1178" t="str">
        <f>IF(acs2015_county_data[[#This Row],[Unemployment]]&gt;='Описательные характеристики'!$I$5,"да","нет")</f>
        <v>нет</v>
      </c>
    </row>
    <row r="1179" spans="1:3" x14ac:dyDescent="0.35">
      <c r="A1179" s="6">
        <v>25011</v>
      </c>
      <c r="B1179" s="10">
        <v>7.2</v>
      </c>
      <c r="C1179" t="str">
        <f>IF(acs2015_county_data[[#This Row],[Unemployment]]&gt;='Описательные характеристики'!$I$5,"да","нет")</f>
        <v>нет</v>
      </c>
    </row>
    <row r="1180" spans="1:3" x14ac:dyDescent="0.35">
      <c r="A1180" s="4">
        <v>21763</v>
      </c>
      <c r="B1180" s="9">
        <v>7.5</v>
      </c>
      <c r="C1180" t="str">
        <f>IF(acs2015_county_data[[#This Row],[Unemployment]]&gt;='Описательные характеристики'!$I$5,"да","нет")</f>
        <v>нет</v>
      </c>
    </row>
    <row r="1181" spans="1:3" x14ac:dyDescent="0.35">
      <c r="A1181" s="6">
        <v>34081</v>
      </c>
      <c r="B1181" s="10">
        <v>5.4</v>
      </c>
      <c r="C1181" t="str">
        <f>IF(acs2015_county_data[[#This Row],[Unemployment]]&gt;='Описательные характеристики'!$I$5,"да","нет")</f>
        <v>нет</v>
      </c>
    </row>
    <row r="1182" spans="1:3" x14ac:dyDescent="0.35">
      <c r="A1182" s="4">
        <v>22980</v>
      </c>
      <c r="B1182" s="9">
        <v>7.7</v>
      </c>
      <c r="C1182" t="str">
        <f>IF(acs2015_county_data[[#This Row],[Unemployment]]&gt;='Описательные характеристики'!$I$5,"да","нет")</f>
        <v>да</v>
      </c>
    </row>
    <row r="1183" spans="1:3" x14ac:dyDescent="0.35">
      <c r="A1183" s="6">
        <v>28432</v>
      </c>
      <c r="B1183" s="10">
        <v>7.7</v>
      </c>
      <c r="C1183" t="str">
        <f>IF(acs2015_county_data[[#This Row],[Unemployment]]&gt;='Описательные характеристики'!$I$5,"да","нет")</f>
        <v>да</v>
      </c>
    </row>
    <row r="1184" spans="1:3" x14ac:dyDescent="0.35">
      <c r="A1184" s="4">
        <v>25957</v>
      </c>
      <c r="B1184" s="9">
        <v>7.7</v>
      </c>
      <c r="C1184" t="str">
        <f>IF(acs2015_county_data[[#This Row],[Unemployment]]&gt;='Описательные характеристики'!$I$5,"да","нет")</f>
        <v>да</v>
      </c>
    </row>
    <row r="1185" spans="1:3" x14ac:dyDescent="0.35">
      <c r="A1185" s="6">
        <v>28144</v>
      </c>
      <c r="B1185" s="10">
        <v>5.7</v>
      </c>
      <c r="C1185" t="str">
        <f>IF(acs2015_county_data[[#This Row],[Unemployment]]&gt;='Описательные характеристики'!$I$5,"да","нет")</f>
        <v>нет</v>
      </c>
    </row>
    <row r="1186" spans="1:3" x14ac:dyDescent="0.35">
      <c r="A1186" s="4">
        <v>29078</v>
      </c>
      <c r="B1186" s="9">
        <v>4.2</v>
      </c>
      <c r="C1186" t="str">
        <f>IF(acs2015_county_data[[#This Row],[Unemployment]]&gt;='Описательные характеристики'!$I$5,"да","нет")</f>
        <v>нет</v>
      </c>
    </row>
    <row r="1187" spans="1:3" x14ac:dyDescent="0.35">
      <c r="A1187" s="6">
        <v>21280</v>
      </c>
      <c r="B1187" s="10">
        <v>9.1999999999999993</v>
      </c>
      <c r="C1187" t="str">
        <f>IF(acs2015_county_data[[#This Row],[Unemployment]]&gt;='Описательные характеристики'!$I$5,"да","нет")</f>
        <v>да</v>
      </c>
    </row>
    <row r="1188" spans="1:3" x14ac:dyDescent="0.35">
      <c r="A1188" s="4">
        <v>24149</v>
      </c>
      <c r="B1188" s="9">
        <v>7.8</v>
      </c>
      <c r="C1188" t="str">
        <f>IF(acs2015_county_data[[#This Row],[Unemployment]]&gt;='Описательные характеристики'!$I$5,"да","нет")</f>
        <v>да</v>
      </c>
    </row>
    <row r="1189" spans="1:3" x14ac:dyDescent="0.35">
      <c r="A1189" s="6">
        <v>22856</v>
      </c>
      <c r="B1189" s="10">
        <v>10.5</v>
      </c>
      <c r="C1189" t="str">
        <f>IF(acs2015_county_data[[#This Row],[Unemployment]]&gt;='Описательные характеристики'!$I$5,"да","нет")</f>
        <v>да</v>
      </c>
    </row>
    <row r="1190" spans="1:3" x14ac:dyDescent="0.35">
      <c r="A1190" s="4">
        <v>30062</v>
      </c>
      <c r="B1190" s="9">
        <v>5.7</v>
      </c>
      <c r="C1190" t="str">
        <f>IF(acs2015_county_data[[#This Row],[Unemployment]]&gt;='Описательные характеристики'!$I$5,"да","нет")</f>
        <v>нет</v>
      </c>
    </row>
    <row r="1191" spans="1:3" x14ac:dyDescent="0.35">
      <c r="A1191" s="6">
        <v>21729</v>
      </c>
      <c r="B1191" s="10">
        <v>9.5</v>
      </c>
      <c r="C1191" t="str">
        <f>IF(acs2015_county_data[[#This Row],[Unemployment]]&gt;='Описательные характеристики'!$I$5,"да","нет")</f>
        <v>да</v>
      </c>
    </row>
    <row r="1192" spans="1:3" x14ac:dyDescent="0.35">
      <c r="A1192" s="4">
        <v>24473</v>
      </c>
      <c r="B1192" s="9">
        <v>7.5</v>
      </c>
      <c r="C1192" t="str">
        <f>IF(acs2015_county_data[[#This Row],[Unemployment]]&gt;='Описательные характеристики'!$I$5,"да","нет")</f>
        <v>нет</v>
      </c>
    </row>
    <row r="1193" spans="1:3" x14ac:dyDescent="0.35">
      <c r="A1193" s="6">
        <v>21977</v>
      </c>
      <c r="B1193" s="10">
        <v>9.8000000000000007</v>
      </c>
      <c r="C1193" t="str">
        <f>IF(acs2015_county_data[[#This Row],[Unemployment]]&gt;='Описательные характеристики'!$I$5,"да","нет")</f>
        <v>да</v>
      </c>
    </row>
    <row r="1194" spans="1:3" x14ac:dyDescent="0.35">
      <c r="A1194" s="4">
        <v>30705</v>
      </c>
      <c r="B1194" s="9">
        <v>5.9</v>
      </c>
      <c r="C1194" t="str">
        <f>IF(acs2015_county_data[[#This Row],[Unemployment]]&gt;='Описательные характеристики'!$I$5,"да","нет")</f>
        <v>нет</v>
      </c>
    </row>
    <row r="1195" spans="1:3" x14ac:dyDescent="0.35">
      <c r="A1195" s="6">
        <v>21674</v>
      </c>
      <c r="B1195" s="10">
        <v>10</v>
      </c>
      <c r="C1195" t="str">
        <f>IF(acs2015_county_data[[#This Row],[Unemployment]]&gt;='Описательные характеристики'!$I$5,"да","нет")</f>
        <v>да</v>
      </c>
    </row>
    <row r="1196" spans="1:3" x14ac:dyDescent="0.35">
      <c r="A1196" s="4">
        <v>41706</v>
      </c>
      <c r="B1196" s="9">
        <v>5.9</v>
      </c>
      <c r="C1196" t="str">
        <f>IF(acs2015_county_data[[#This Row],[Unemployment]]&gt;='Описательные характеристики'!$I$5,"да","нет")</f>
        <v>нет</v>
      </c>
    </row>
    <row r="1197" spans="1:3" x14ac:dyDescent="0.35">
      <c r="A1197" s="6">
        <v>35011</v>
      </c>
      <c r="B1197" s="10">
        <v>6.9</v>
      </c>
      <c r="C1197" t="str">
        <f>IF(acs2015_county_data[[#This Row],[Unemployment]]&gt;='Описательные характеристики'!$I$5,"да","нет")</f>
        <v>нет</v>
      </c>
    </row>
    <row r="1198" spans="1:3" x14ac:dyDescent="0.35">
      <c r="A1198" s="4">
        <v>39011</v>
      </c>
      <c r="B1198" s="9">
        <v>7.6</v>
      </c>
      <c r="C1198" t="str">
        <f>IF(acs2015_county_data[[#This Row],[Unemployment]]&gt;='Описательные характеристики'!$I$5,"да","нет")</f>
        <v>да</v>
      </c>
    </row>
    <row r="1199" spans="1:3" x14ac:dyDescent="0.35">
      <c r="A1199" s="6">
        <v>24943</v>
      </c>
      <c r="B1199" s="10">
        <v>8.8000000000000007</v>
      </c>
      <c r="C1199" t="str">
        <f>IF(acs2015_county_data[[#This Row],[Unemployment]]&gt;='Описательные характеристики'!$I$5,"да","нет")</f>
        <v>да</v>
      </c>
    </row>
    <row r="1200" spans="1:3" x14ac:dyDescent="0.35">
      <c r="A1200" s="4">
        <v>36936</v>
      </c>
      <c r="B1200" s="9">
        <v>4.5999999999999996</v>
      </c>
      <c r="C1200" t="str">
        <f>IF(acs2015_county_data[[#This Row],[Unemployment]]&gt;='Описательные характеристики'!$I$5,"да","нет")</f>
        <v>нет</v>
      </c>
    </row>
    <row r="1201" spans="1:3" x14ac:dyDescent="0.35">
      <c r="A1201" s="6">
        <v>29538</v>
      </c>
      <c r="B1201" s="10">
        <v>7.5</v>
      </c>
      <c r="C1201" t="str">
        <f>IF(acs2015_county_data[[#This Row],[Unemployment]]&gt;='Описательные характеристики'!$I$5,"да","нет")</f>
        <v>нет</v>
      </c>
    </row>
    <row r="1202" spans="1:3" x14ac:dyDescent="0.35">
      <c r="A1202" s="4">
        <v>36809</v>
      </c>
      <c r="B1202" s="9">
        <v>6.3</v>
      </c>
      <c r="C1202" t="str">
        <f>IF(acs2015_county_data[[#This Row],[Unemployment]]&gt;='Описательные характеристики'!$I$5,"да","нет")</f>
        <v>нет</v>
      </c>
    </row>
    <row r="1203" spans="1:3" x14ac:dyDescent="0.35">
      <c r="A1203" s="6">
        <v>27870</v>
      </c>
      <c r="B1203" s="10">
        <v>10.4</v>
      </c>
      <c r="C1203" t="str">
        <f>IF(acs2015_county_data[[#This Row],[Unemployment]]&gt;='Описательные характеристики'!$I$5,"да","нет")</f>
        <v>да</v>
      </c>
    </row>
    <row r="1204" spans="1:3" x14ac:dyDescent="0.35">
      <c r="A1204" s="4">
        <v>37449</v>
      </c>
      <c r="B1204" s="9">
        <v>5.8</v>
      </c>
      <c r="C1204" t="str">
        <f>IF(acs2015_county_data[[#This Row],[Unemployment]]&gt;='Описательные характеристики'!$I$5,"да","нет")</f>
        <v>нет</v>
      </c>
    </row>
    <row r="1205" spans="1:3" x14ac:dyDescent="0.35">
      <c r="A1205" s="6">
        <v>25348</v>
      </c>
      <c r="B1205" s="10">
        <v>7</v>
      </c>
      <c r="C1205" t="str">
        <f>IF(acs2015_county_data[[#This Row],[Unemployment]]&gt;='Описательные характеристики'!$I$5,"да","нет")</f>
        <v>нет</v>
      </c>
    </row>
    <row r="1206" spans="1:3" x14ac:dyDescent="0.35">
      <c r="A1206" s="4">
        <v>35746</v>
      </c>
      <c r="B1206" s="9">
        <v>6.4</v>
      </c>
      <c r="C1206" t="str">
        <f>IF(acs2015_county_data[[#This Row],[Unemployment]]&gt;='Описательные характеристики'!$I$5,"да","нет")</f>
        <v>нет</v>
      </c>
    </row>
    <row r="1207" spans="1:3" x14ac:dyDescent="0.35">
      <c r="A1207" s="6">
        <v>48104</v>
      </c>
      <c r="B1207" s="10">
        <v>4.9000000000000004</v>
      </c>
      <c r="C1207" t="str">
        <f>IF(acs2015_county_data[[#This Row],[Unemployment]]&gt;='Описательные характеристики'!$I$5,"да","нет")</f>
        <v>нет</v>
      </c>
    </row>
    <row r="1208" spans="1:3" x14ac:dyDescent="0.35">
      <c r="A1208" s="4">
        <v>30081</v>
      </c>
      <c r="B1208" s="9">
        <v>7.2</v>
      </c>
      <c r="C1208" t="str">
        <f>IF(acs2015_county_data[[#This Row],[Unemployment]]&gt;='Описательные характеристики'!$I$5,"да","нет")</f>
        <v>нет</v>
      </c>
    </row>
    <row r="1209" spans="1:3" x14ac:dyDescent="0.35">
      <c r="A1209" s="6">
        <v>49110</v>
      </c>
      <c r="B1209" s="10">
        <v>6.1</v>
      </c>
      <c r="C1209" t="str">
        <f>IF(acs2015_county_data[[#This Row],[Unemployment]]&gt;='Описательные характеристики'!$I$5,"да","нет")</f>
        <v>нет</v>
      </c>
    </row>
    <row r="1210" spans="1:3" x14ac:dyDescent="0.35">
      <c r="A1210" s="4">
        <v>32639</v>
      </c>
      <c r="B1210" s="9">
        <v>8.6999999999999993</v>
      </c>
      <c r="C1210" t="str">
        <f>IF(acs2015_county_data[[#This Row],[Unemployment]]&gt;='Описательные характеристики'!$I$5,"да","нет")</f>
        <v>да</v>
      </c>
    </row>
    <row r="1211" spans="1:3" x14ac:dyDescent="0.35">
      <c r="A1211" s="6">
        <v>38733</v>
      </c>
      <c r="B1211" s="10">
        <v>5.3</v>
      </c>
      <c r="C1211" t="str">
        <f>IF(acs2015_county_data[[#This Row],[Unemployment]]&gt;='Описательные характеристики'!$I$5,"да","нет")</f>
        <v>нет</v>
      </c>
    </row>
    <row r="1212" spans="1:3" x14ac:dyDescent="0.35">
      <c r="A1212" s="4">
        <v>36668</v>
      </c>
      <c r="B1212" s="9">
        <v>4.8</v>
      </c>
      <c r="C1212" t="str">
        <f>IF(acs2015_county_data[[#This Row],[Unemployment]]&gt;='Описательные характеристики'!$I$5,"да","нет")</f>
        <v>нет</v>
      </c>
    </row>
    <row r="1213" spans="1:3" x14ac:dyDescent="0.35">
      <c r="A1213" s="6">
        <v>16631</v>
      </c>
      <c r="B1213" s="10">
        <v>8.1999999999999993</v>
      </c>
      <c r="C1213" t="str">
        <f>IF(acs2015_county_data[[#This Row],[Unemployment]]&gt;='Описательные характеристики'!$I$5,"да","нет")</f>
        <v>да</v>
      </c>
    </row>
    <row r="1214" spans="1:3" x14ac:dyDescent="0.35">
      <c r="A1214" s="4">
        <v>38317</v>
      </c>
      <c r="B1214" s="9">
        <v>6.7</v>
      </c>
      <c r="C1214" t="str">
        <f>IF(acs2015_county_data[[#This Row],[Unemployment]]&gt;='Описательные характеристики'!$I$5,"да","нет")</f>
        <v>нет</v>
      </c>
    </row>
    <row r="1215" spans="1:3" x14ac:dyDescent="0.35">
      <c r="A1215" s="6">
        <v>27066</v>
      </c>
      <c r="B1215" s="10">
        <v>8.5</v>
      </c>
      <c r="C1215" t="str">
        <f>IF(acs2015_county_data[[#This Row],[Unemployment]]&gt;='Описательные характеристики'!$I$5,"да","нет")</f>
        <v>да</v>
      </c>
    </row>
    <row r="1216" spans="1:3" x14ac:dyDescent="0.35">
      <c r="A1216" s="4">
        <v>26241</v>
      </c>
      <c r="B1216" s="9">
        <v>8.8000000000000007</v>
      </c>
      <c r="C1216" t="str">
        <f>IF(acs2015_county_data[[#This Row],[Unemployment]]&gt;='Описательные характеристики'!$I$5,"да","нет")</f>
        <v>да</v>
      </c>
    </row>
    <row r="1217" spans="1:3" x14ac:dyDescent="0.35">
      <c r="A1217" s="6">
        <v>32419</v>
      </c>
      <c r="B1217" s="10">
        <v>9.9</v>
      </c>
      <c r="C1217" t="str">
        <f>IF(acs2015_county_data[[#This Row],[Unemployment]]&gt;='Описательные характеристики'!$I$5,"да","нет")</f>
        <v>да</v>
      </c>
    </row>
    <row r="1218" spans="1:3" x14ac:dyDescent="0.35">
      <c r="A1218" s="4">
        <v>25707</v>
      </c>
      <c r="B1218" s="9">
        <v>13.1</v>
      </c>
      <c r="C1218" t="str">
        <f>IF(acs2015_county_data[[#This Row],[Unemployment]]&gt;='Описательные характеристики'!$I$5,"да","нет")</f>
        <v>да</v>
      </c>
    </row>
    <row r="1219" spans="1:3" x14ac:dyDescent="0.35">
      <c r="A1219" s="6">
        <v>37678</v>
      </c>
      <c r="B1219" s="10">
        <v>7</v>
      </c>
      <c r="C1219" t="str">
        <f>IF(acs2015_county_data[[#This Row],[Unemployment]]&gt;='Описательные характеристики'!$I$5,"да","нет")</f>
        <v>нет</v>
      </c>
    </row>
    <row r="1220" spans="1:3" x14ac:dyDescent="0.35">
      <c r="A1220" s="4">
        <v>30469</v>
      </c>
      <c r="B1220" s="9">
        <v>8.9</v>
      </c>
      <c r="C1220" t="str">
        <f>IF(acs2015_county_data[[#This Row],[Unemployment]]&gt;='Описательные характеристики'!$I$5,"да","нет")</f>
        <v>да</v>
      </c>
    </row>
    <row r="1221" spans="1:3" x14ac:dyDescent="0.35">
      <c r="A1221" s="6">
        <v>29607</v>
      </c>
      <c r="B1221" s="10">
        <v>9</v>
      </c>
      <c r="C1221" t="str">
        <f>IF(acs2015_county_data[[#This Row],[Unemployment]]&gt;='Описательные характеристики'!$I$5,"да","нет")</f>
        <v>да</v>
      </c>
    </row>
    <row r="1222" spans="1:3" x14ac:dyDescent="0.35">
      <c r="A1222" s="4">
        <v>38560</v>
      </c>
      <c r="B1222" s="9">
        <v>5.2</v>
      </c>
      <c r="C1222" t="str">
        <f>IF(acs2015_county_data[[#This Row],[Unemployment]]&gt;='Описательные характеристики'!$I$5,"да","нет")</f>
        <v>нет</v>
      </c>
    </row>
    <row r="1223" spans="1:3" x14ac:dyDescent="0.35">
      <c r="A1223" s="6">
        <v>36212</v>
      </c>
      <c r="B1223" s="10">
        <v>7.7</v>
      </c>
      <c r="C1223" t="str">
        <f>IF(acs2015_county_data[[#This Row],[Unemployment]]&gt;='Описательные характеристики'!$I$5,"да","нет")</f>
        <v>да</v>
      </c>
    </row>
    <row r="1224" spans="1:3" x14ac:dyDescent="0.35">
      <c r="A1224" s="4">
        <v>30584</v>
      </c>
      <c r="B1224" s="9">
        <v>6.7</v>
      </c>
      <c r="C1224" t="str">
        <f>IF(acs2015_county_data[[#This Row],[Unemployment]]&gt;='Описательные характеристики'!$I$5,"да","нет")</f>
        <v>нет</v>
      </c>
    </row>
    <row r="1225" spans="1:3" x14ac:dyDescent="0.35">
      <c r="A1225" s="6">
        <v>26560</v>
      </c>
      <c r="B1225" s="10">
        <v>10</v>
      </c>
      <c r="C1225" t="str">
        <f>IF(acs2015_county_data[[#This Row],[Unemployment]]&gt;='Описательные характеристики'!$I$5,"да","нет")</f>
        <v>да</v>
      </c>
    </row>
    <row r="1226" spans="1:3" x14ac:dyDescent="0.35">
      <c r="A1226" s="4">
        <v>30244</v>
      </c>
      <c r="B1226" s="9">
        <v>7.2</v>
      </c>
      <c r="C1226" t="str">
        <f>IF(acs2015_county_data[[#This Row],[Unemployment]]&gt;='Описательные характеристики'!$I$5,"да","нет")</f>
        <v>нет</v>
      </c>
    </row>
    <row r="1227" spans="1:3" x14ac:dyDescent="0.35">
      <c r="A1227" s="6">
        <v>44152</v>
      </c>
      <c r="B1227" s="10">
        <v>6.1</v>
      </c>
      <c r="C1227" t="str">
        <f>IF(acs2015_county_data[[#This Row],[Unemployment]]&gt;='Описательные характеристики'!$I$5,"да","нет")</f>
        <v>нет</v>
      </c>
    </row>
    <row r="1228" spans="1:3" x14ac:dyDescent="0.35">
      <c r="A1228" s="4">
        <v>45000</v>
      </c>
      <c r="B1228" s="9">
        <v>3</v>
      </c>
      <c r="C1228" t="str">
        <f>IF(acs2015_county_data[[#This Row],[Unemployment]]&gt;='Описательные характеристики'!$I$5,"да","нет")</f>
        <v>нет</v>
      </c>
    </row>
    <row r="1229" spans="1:3" x14ac:dyDescent="0.35">
      <c r="A1229" s="6">
        <v>45829</v>
      </c>
      <c r="B1229" s="10">
        <v>6.9</v>
      </c>
      <c r="C1229" t="str">
        <f>IF(acs2015_county_data[[#This Row],[Unemployment]]&gt;='Описательные характеристики'!$I$5,"да","нет")</f>
        <v>нет</v>
      </c>
    </row>
    <row r="1230" spans="1:3" x14ac:dyDescent="0.35">
      <c r="A1230" s="4">
        <v>36163</v>
      </c>
      <c r="B1230" s="9">
        <v>7.9</v>
      </c>
      <c r="C1230" t="str">
        <f>IF(acs2015_county_data[[#This Row],[Unemployment]]&gt;='Описательные характеристики'!$I$5,"да","нет")</f>
        <v>да</v>
      </c>
    </row>
    <row r="1231" spans="1:3" x14ac:dyDescent="0.35">
      <c r="A1231" s="6">
        <v>34420</v>
      </c>
      <c r="B1231" s="10">
        <v>8.6999999999999993</v>
      </c>
      <c r="C1231" t="str">
        <f>IF(acs2015_county_data[[#This Row],[Unemployment]]&gt;='Описательные характеристики'!$I$5,"да","нет")</f>
        <v>да</v>
      </c>
    </row>
    <row r="1232" spans="1:3" x14ac:dyDescent="0.35">
      <c r="A1232" s="4">
        <v>32284</v>
      </c>
      <c r="B1232" s="9">
        <v>7.8</v>
      </c>
      <c r="C1232" t="str">
        <f>IF(acs2015_county_data[[#This Row],[Unemployment]]&gt;='Описательные характеристики'!$I$5,"да","нет")</f>
        <v>да</v>
      </c>
    </row>
    <row r="1233" spans="1:3" x14ac:dyDescent="0.35">
      <c r="A1233" s="6">
        <v>23933</v>
      </c>
      <c r="B1233" s="10">
        <v>12.2</v>
      </c>
      <c r="C1233" t="str">
        <f>IF(acs2015_county_data[[#This Row],[Unemployment]]&gt;='Описательные характеристики'!$I$5,"да","нет")</f>
        <v>да</v>
      </c>
    </row>
    <row r="1234" spans="1:3" x14ac:dyDescent="0.35">
      <c r="A1234" s="4">
        <v>21259</v>
      </c>
      <c r="B1234" s="9">
        <v>10.8</v>
      </c>
      <c r="C1234" t="str">
        <f>IF(acs2015_county_data[[#This Row],[Unemployment]]&gt;='Описательные характеристики'!$I$5,"да","нет")</f>
        <v>да</v>
      </c>
    </row>
    <row r="1235" spans="1:3" x14ac:dyDescent="0.35">
      <c r="A1235" s="6">
        <v>25161</v>
      </c>
      <c r="B1235" s="10">
        <v>6.1</v>
      </c>
      <c r="C1235" t="str">
        <f>IF(acs2015_county_data[[#This Row],[Unemployment]]&gt;='Описательные характеристики'!$I$5,"да","нет")</f>
        <v>нет</v>
      </c>
    </row>
    <row r="1236" spans="1:3" x14ac:dyDescent="0.35">
      <c r="A1236" s="4">
        <v>22082</v>
      </c>
      <c r="B1236" s="9">
        <v>9.3000000000000007</v>
      </c>
      <c r="C1236" t="str">
        <f>IF(acs2015_county_data[[#This Row],[Unemployment]]&gt;='Описательные характеристики'!$I$5,"да","нет")</f>
        <v>да</v>
      </c>
    </row>
    <row r="1237" spans="1:3" x14ac:dyDescent="0.35">
      <c r="A1237" s="6">
        <v>27155</v>
      </c>
      <c r="B1237" s="10">
        <v>9.6999999999999993</v>
      </c>
      <c r="C1237" t="str">
        <f>IF(acs2015_county_data[[#This Row],[Unemployment]]&gt;='Описательные характеристики'!$I$5,"да","нет")</f>
        <v>да</v>
      </c>
    </row>
    <row r="1238" spans="1:3" x14ac:dyDescent="0.35">
      <c r="A1238" s="4">
        <v>21197</v>
      </c>
      <c r="B1238" s="9">
        <v>12</v>
      </c>
      <c r="C1238" t="str">
        <f>IF(acs2015_county_data[[#This Row],[Unemployment]]&gt;='Описательные характеристики'!$I$5,"да","нет")</f>
        <v>да</v>
      </c>
    </row>
    <row r="1239" spans="1:3" x14ac:dyDescent="0.35">
      <c r="A1239" s="6">
        <v>17461</v>
      </c>
      <c r="B1239" s="10">
        <v>8.1</v>
      </c>
      <c r="C1239" t="str">
        <f>IF(acs2015_county_data[[#This Row],[Unemployment]]&gt;='Описательные характеристики'!$I$5,"да","нет")</f>
        <v>да</v>
      </c>
    </row>
    <row r="1240" spans="1:3" x14ac:dyDescent="0.35">
      <c r="A1240" s="4">
        <v>25795</v>
      </c>
      <c r="B1240" s="9">
        <v>7.9</v>
      </c>
      <c r="C1240" t="str">
        <f>IF(acs2015_county_data[[#This Row],[Unemployment]]&gt;='Описательные характеристики'!$I$5,"да","нет")</f>
        <v>да</v>
      </c>
    </row>
    <row r="1241" spans="1:3" x14ac:dyDescent="0.35">
      <c r="A1241" s="6">
        <v>24445</v>
      </c>
      <c r="B1241" s="10">
        <v>9.6999999999999993</v>
      </c>
      <c r="C1241" t="str">
        <f>IF(acs2015_county_data[[#This Row],[Unemployment]]&gt;='Описательные характеристики'!$I$5,"да","нет")</f>
        <v>да</v>
      </c>
    </row>
    <row r="1242" spans="1:3" x14ac:dyDescent="0.35">
      <c r="A1242" s="4">
        <v>25023</v>
      </c>
      <c r="B1242" s="9">
        <v>8.4</v>
      </c>
      <c r="C1242" t="str">
        <f>IF(acs2015_county_data[[#This Row],[Unemployment]]&gt;='Описательные характеристики'!$I$5,"да","нет")</f>
        <v>да</v>
      </c>
    </row>
    <row r="1243" spans="1:3" x14ac:dyDescent="0.35">
      <c r="A1243" s="6">
        <v>25241</v>
      </c>
      <c r="B1243" s="10">
        <v>9.4</v>
      </c>
      <c r="C1243" t="str">
        <f>IF(acs2015_county_data[[#This Row],[Unemployment]]&gt;='Описательные характеристики'!$I$5,"да","нет")</f>
        <v>да</v>
      </c>
    </row>
    <row r="1244" spans="1:3" x14ac:dyDescent="0.35">
      <c r="A1244" s="4">
        <v>21263</v>
      </c>
      <c r="B1244" s="9">
        <v>7</v>
      </c>
      <c r="C1244" t="str">
        <f>IF(acs2015_county_data[[#This Row],[Unemployment]]&gt;='Описательные характеристики'!$I$5,"да","нет")</f>
        <v>нет</v>
      </c>
    </row>
    <row r="1245" spans="1:3" x14ac:dyDescent="0.35">
      <c r="A1245" s="6">
        <v>23150</v>
      </c>
      <c r="B1245" s="10">
        <v>10</v>
      </c>
      <c r="C1245" t="str">
        <f>IF(acs2015_county_data[[#This Row],[Unemployment]]&gt;='Описательные характеристики'!$I$5,"да","нет")</f>
        <v>да</v>
      </c>
    </row>
    <row r="1246" spans="1:3" x14ac:dyDescent="0.35">
      <c r="A1246" s="4">
        <v>24314</v>
      </c>
      <c r="B1246" s="9">
        <v>9.6999999999999993</v>
      </c>
      <c r="C1246" t="str">
        <f>IF(acs2015_county_data[[#This Row],[Unemployment]]&gt;='Описательные характеристики'!$I$5,"да","нет")</f>
        <v>да</v>
      </c>
    </row>
    <row r="1247" spans="1:3" x14ac:dyDescent="0.35">
      <c r="A1247" s="6">
        <v>28188</v>
      </c>
      <c r="B1247" s="10">
        <v>7.8</v>
      </c>
      <c r="C1247" t="str">
        <f>IF(acs2015_county_data[[#This Row],[Unemployment]]&gt;='Описательные характеристики'!$I$5,"да","нет")</f>
        <v>да</v>
      </c>
    </row>
    <row r="1248" spans="1:3" x14ac:dyDescent="0.35">
      <c r="A1248" s="4">
        <v>23631</v>
      </c>
      <c r="B1248" s="9">
        <v>13.9</v>
      </c>
      <c r="C1248" t="str">
        <f>IF(acs2015_county_data[[#This Row],[Unemployment]]&gt;='Описательные характеристики'!$I$5,"да","нет")</f>
        <v>да</v>
      </c>
    </row>
    <row r="1249" spans="1:3" x14ac:dyDescent="0.35">
      <c r="A1249" s="6">
        <v>20396</v>
      </c>
      <c r="B1249" s="10">
        <v>11.7</v>
      </c>
      <c r="C1249" t="str">
        <f>IF(acs2015_county_data[[#This Row],[Unemployment]]&gt;='Описательные характеристики'!$I$5,"да","нет")</f>
        <v>да</v>
      </c>
    </row>
    <row r="1250" spans="1:3" x14ac:dyDescent="0.35">
      <c r="A1250" s="4">
        <v>19181</v>
      </c>
      <c r="B1250" s="9">
        <v>13.2</v>
      </c>
      <c r="C1250" t="str">
        <f>IF(acs2015_county_data[[#This Row],[Unemployment]]&gt;='Описательные характеристики'!$I$5,"да","нет")</f>
        <v>да</v>
      </c>
    </row>
    <row r="1251" spans="1:3" x14ac:dyDescent="0.35">
      <c r="A1251" s="6">
        <v>29766</v>
      </c>
      <c r="B1251" s="10">
        <v>6.5</v>
      </c>
      <c r="C1251" t="str">
        <f>IF(acs2015_county_data[[#This Row],[Unemployment]]&gt;='Описательные характеристики'!$I$5,"да","нет")</f>
        <v>нет</v>
      </c>
    </row>
    <row r="1252" spans="1:3" x14ac:dyDescent="0.35">
      <c r="A1252" s="4">
        <v>22595</v>
      </c>
      <c r="B1252" s="9">
        <v>12</v>
      </c>
      <c r="C1252" t="str">
        <f>IF(acs2015_county_data[[#This Row],[Unemployment]]&gt;='Описательные характеристики'!$I$5,"да","нет")</f>
        <v>да</v>
      </c>
    </row>
    <row r="1253" spans="1:3" x14ac:dyDescent="0.35">
      <c r="A1253" s="6">
        <v>23061</v>
      </c>
      <c r="B1253" s="10">
        <v>9.1999999999999993</v>
      </c>
      <c r="C1253" t="str">
        <f>IF(acs2015_county_data[[#This Row],[Unemployment]]&gt;='Описательные характеристики'!$I$5,"да","нет")</f>
        <v>да</v>
      </c>
    </row>
    <row r="1254" spans="1:3" x14ac:dyDescent="0.35">
      <c r="A1254" s="4">
        <v>24880</v>
      </c>
      <c r="B1254" s="9">
        <v>7</v>
      </c>
      <c r="C1254" t="str">
        <f>IF(acs2015_county_data[[#This Row],[Unemployment]]&gt;='Описательные характеристики'!$I$5,"да","нет")</f>
        <v>нет</v>
      </c>
    </row>
    <row r="1255" spans="1:3" x14ac:dyDescent="0.35">
      <c r="A1255" s="6">
        <v>27577</v>
      </c>
      <c r="B1255" s="10">
        <v>7.8</v>
      </c>
      <c r="C1255" t="str">
        <f>IF(acs2015_county_data[[#This Row],[Unemployment]]&gt;='Описательные характеристики'!$I$5,"да","нет")</f>
        <v>да</v>
      </c>
    </row>
    <row r="1256" spans="1:3" x14ac:dyDescent="0.35">
      <c r="A1256" s="4">
        <v>31109</v>
      </c>
      <c r="B1256" s="9">
        <v>8.4</v>
      </c>
      <c r="C1256" t="str">
        <f>IF(acs2015_county_data[[#This Row],[Unemployment]]&gt;='Описательные характеристики'!$I$5,"да","нет")</f>
        <v>да</v>
      </c>
    </row>
    <row r="1257" spans="1:3" x14ac:dyDescent="0.35">
      <c r="A1257" s="6">
        <v>22957</v>
      </c>
      <c r="B1257" s="10">
        <v>13.2</v>
      </c>
      <c r="C1257" t="str">
        <f>IF(acs2015_county_data[[#This Row],[Unemployment]]&gt;='Описательные характеристики'!$I$5,"да","нет")</f>
        <v>да</v>
      </c>
    </row>
    <row r="1258" spans="1:3" x14ac:dyDescent="0.35">
      <c r="A1258" s="4">
        <v>21234</v>
      </c>
      <c r="B1258" s="9">
        <v>11</v>
      </c>
      <c r="C1258" t="str">
        <f>IF(acs2015_county_data[[#This Row],[Unemployment]]&gt;='Описательные характеристики'!$I$5,"да","нет")</f>
        <v>да</v>
      </c>
    </row>
    <row r="1259" spans="1:3" x14ac:dyDescent="0.35">
      <c r="A1259" s="6">
        <v>21008</v>
      </c>
      <c r="B1259" s="10">
        <v>9.5</v>
      </c>
      <c r="C1259" t="str">
        <f>IF(acs2015_county_data[[#This Row],[Unemployment]]&gt;='Описательные характеристики'!$I$5,"да","нет")</f>
        <v>да</v>
      </c>
    </row>
    <row r="1260" spans="1:3" x14ac:dyDescent="0.35">
      <c r="A1260" s="4">
        <v>28050</v>
      </c>
      <c r="B1260" s="9">
        <v>6.6</v>
      </c>
      <c r="C1260" t="str">
        <f>IF(acs2015_county_data[[#This Row],[Unemployment]]&gt;='Описательные характеристики'!$I$5,"да","нет")</f>
        <v>нет</v>
      </c>
    </row>
    <row r="1261" spans="1:3" x14ac:dyDescent="0.35">
      <c r="A1261" s="6">
        <v>19618</v>
      </c>
      <c r="B1261" s="10">
        <v>8.5</v>
      </c>
      <c r="C1261" t="str">
        <f>IF(acs2015_county_data[[#This Row],[Unemployment]]&gt;='Описательные характеристики'!$I$5,"да","нет")</f>
        <v>да</v>
      </c>
    </row>
    <row r="1262" spans="1:3" x14ac:dyDescent="0.35">
      <c r="A1262" s="4">
        <v>21291</v>
      </c>
      <c r="B1262" s="9">
        <v>9</v>
      </c>
      <c r="C1262" t="str">
        <f>IF(acs2015_county_data[[#This Row],[Unemployment]]&gt;='Описательные характеристики'!$I$5,"да","нет")</f>
        <v>да</v>
      </c>
    </row>
    <row r="1263" spans="1:3" x14ac:dyDescent="0.35">
      <c r="A1263" s="6">
        <v>20081</v>
      </c>
      <c r="B1263" s="10">
        <v>7.2</v>
      </c>
      <c r="C1263" t="str">
        <f>IF(acs2015_county_data[[#This Row],[Unemployment]]&gt;='Описательные характеристики'!$I$5,"да","нет")</f>
        <v>нет</v>
      </c>
    </row>
    <row r="1264" spans="1:3" x14ac:dyDescent="0.35">
      <c r="A1264" s="4">
        <v>23382</v>
      </c>
      <c r="B1264" s="9">
        <v>7.8</v>
      </c>
      <c r="C1264" t="str">
        <f>IF(acs2015_county_data[[#This Row],[Unemployment]]&gt;='Описательные характеристики'!$I$5,"да","нет")</f>
        <v>да</v>
      </c>
    </row>
    <row r="1265" spans="1:3" x14ac:dyDescent="0.35">
      <c r="A1265" s="6">
        <v>25436</v>
      </c>
      <c r="B1265" s="10">
        <v>9</v>
      </c>
      <c r="C1265" t="str">
        <f>IF(acs2015_county_data[[#This Row],[Unemployment]]&gt;='Описательные характеристики'!$I$5,"да","нет")</f>
        <v>да</v>
      </c>
    </row>
    <row r="1266" spans="1:3" x14ac:dyDescent="0.35">
      <c r="A1266" s="4">
        <v>20921</v>
      </c>
      <c r="B1266" s="9">
        <v>10.4</v>
      </c>
      <c r="C1266" t="str">
        <f>IF(acs2015_county_data[[#This Row],[Unemployment]]&gt;='Описательные характеристики'!$I$5,"да","нет")</f>
        <v>да</v>
      </c>
    </row>
    <row r="1267" spans="1:3" x14ac:dyDescent="0.35">
      <c r="A1267" s="6">
        <v>23486</v>
      </c>
      <c r="B1267" s="10">
        <v>12.1</v>
      </c>
      <c r="C1267" t="str">
        <f>IF(acs2015_county_data[[#This Row],[Unemployment]]&gt;='Описательные характеристики'!$I$5,"да","нет")</f>
        <v>да</v>
      </c>
    </row>
    <row r="1268" spans="1:3" x14ac:dyDescent="0.35">
      <c r="A1268" s="4">
        <v>21725</v>
      </c>
      <c r="B1268" s="9">
        <v>9</v>
      </c>
      <c r="C1268" t="str">
        <f>IF(acs2015_county_data[[#This Row],[Unemployment]]&gt;='Описательные характеристики'!$I$5,"да","нет")</f>
        <v>да</v>
      </c>
    </row>
    <row r="1269" spans="1:3" x14ac:dyDescent="0.35">
      <c r="A1269" s="6">
        <v>20518</v>
      </c>
      <c r="B1269" s="10">
        <v>11.3</v>
      </c>
      <c r="C1269" t="str">
        <f>IF(acs2015_county_data[[#This Row],[Unemployment]]&gt;='Описательные характеристики'!$I$5,"да","нет")</f>
        <v>да</v>
      </c>
    </row>
    <row r="1270" spans="1:3" x14ac:dyDescent="0.35">
      <c r="A1270" s="4">
        <v>23377</v>
      </c>
      <c r="B1270" s="9">
        <v>10.3</v>
      </c>
      <c r="C1270" t="str">
        <f>IF(acs2015_county_data[[#This Row],[Unemployment]]&gt;='Описательные характеристики'!$I$5,"да","нет")</f>
        <v>да</v>
      </c>
    </row>
    <row r="1271" spans="1:3" x14ac:dyDescent="0.35">
      <c r="A1271" s="6">
        <v>26416</v>
      </c>
      <c r="B1271" s="10">
        <v>9.1</v>
      </c>
      <c r="C1271" t="str">
        <f>IF(acs2015_county_data[[#This Row],[Unemployment]]&gt;='Описательные характеристики'!$I$5,"да","нет")</f>
        <v>да</v>
      </c>
    </row>
    <row r="1272" spans="1:3" x14ac:dyDescent="0.35">
      <c r="A1272" s="4">
        <v>21320</v>
      </c>
      <c r="B1272" s="9">
        <v>10.4</v>
      </c>
      <c r="C1272" t="str">
        <f>IF(acs2015_county_data[[#This Row],[Unemployment]]&gt;='Описательные характеристики'!$I$5,"да","нет")</f>
        <v>да</v>
      </c>
    </row>
    <row r="1273" spans="1:3" x14ac:dyDescent="0.35">
      <c r="A1273" s="6">
        <v>27032</v>
      </c>
      <c r="B1273" s="10">
        <v>7.7</v>
      </c>
      <c r="C1273" t="str">
        <f>IF(acs2015_county_data[[#This Row],[Unemployment]]&gt;='Описательные характеристики'!$I$5,"да","нет")</f>
        <v>да</v>
      </c>
    </row>
    <row r="1274" spans="1:3" x14ac:dyDescent="0.35">
      <c r="A1274" s="4">
        <v>24384</v>
      </c>
      <c r="B1274" s="9">
        <v>7</v>
      </c>
      <c r="C1274" t="str">
        <f>IF(acs2015_county_data[[#This Row],[Unemployment]]&gt;='Описательные характеристики'!$I$5,"да","нет")</f>
        <v>нет</v>
      </c>
    </row>
    <row r="1275" spans="1:3" x14ac:dyDescent="0.35">
      <c r="A1275" s="6">
        <v>16679</v>
      </c>
      <c r="B1275" s="10">
        <v>13.2</v>
      </c>
      <c r="C1275" t="str">
        <f>IF(acs2015_county_data[[#This Row],[Unemployment]]&gt;='Описательные характеристики'!$I$5,"да","нет")</f>
        <v>да</v>
      </c>
    </row>
    <row r="1276" spans="1:3" x14ac:dyDescent="0.35">
      <c r="A1276" s="4">
        <v>24478</v>
      </c>
      <c r="B1276" s="9">
        <v>10.5</v>
      </c>
      <c r="C1276" t="str">
        <f>IF(acs2015_county_data[[#This Row],[Unemployment]]&gt;='Описательные характеристики'!$I$5,"да","нет")</f>
        <v>да</v>
      </c>
    </row>
    <row r="1277" spans="1:3" x14ac:dyDescent="0.35">
      <c r="A1277" s="6">
        <v>34322</v>
      </c>
      <c r="B1277" s="10">
        <v>7.1</v>
      </c>
      <c r="C1277" t="str">
        <f>IF(acs2015_county_data[[#This Row],[Unemployment]]&gt;='Описательные характеристики'!$I$5,"да","нет")</f>
        <v>нет</v>
      </c>
    </row>
    <row r="1278" spans="1:3" x14ac:dyDescent="0.35">
      <c r="A1278" s="4">
        <v>23252</v>
      </c>
      <c r="B1278" s="9">
        <v>8.6</v>
      </c>
      <c r="C1278" t="str">
        <f>IF(acs2015_county_data[[#This Row],[Unemployment]]&gt;='Описательные характеристики'!$I$5,"да","нет")</f>
        <v>да</v>
      </c>
    </row>
    <row r="1279" spans="1:3" x14ac:dyDescent="0.35">
      <c r="A1279" s="6">
        <v>33619</v>
      </c>
      <c r="B1279" s="10">
        <v>5.9</v>
      </c>
      <c r="C1279" t="str">
        <f>IF(acs2015_county_data[[#This Row],[Unemployment]]&gt;='Описательные характеристики'!$I$5,"да","нет")</f>
        <v>нет</v>
      </c>
    </row>
    <row r="1280" spans="1:3" x14ac:dyDescent="0.35">
      <c r="A1280" s="4">
        <v>18427</v>
      </c>
      <c r="B1280" s="9">
        <v>11.6</v>
      </c>
      <c r="C1280" t="str">
        <f>IF(acs2015_county_data[[#This Row],[Unemployment]]&gt;='Описательные характеристики'!$I$5,"да","нет")</f>
        <v>да</v>
      </c>
    </row>
    <row r="1281" spans="1:3" x14ac:dyDescent="0.35">
      <c r="A1281" s="6">
        <v>23889</v>
      </c>
      <c r="B1281" s="10">
        <v>12.5</v>
      </c>
      <c r="C1281" t="str">
        <f>IF(acs2015_county_data[[#This Row],[Unemployment]]&gt;='Описательные характеристики'!$I$5,"да","нет")</f>
        <v>да</v>
      </c>
    </row>
    <row r="1282" spans="1:3" x14ac:dyDescent="0.35">
      <c r="A1282" s="4">
        <v>27525</v>
      </c>
      <c r="B1282" s="9">
        <v>9</v>
      </c>
      <c r="C1282" t="str">
        <f>IF(acs2015_county_data[[#This Row],[Unemployment]]&gt;='Описательные характеристики'!$I$5,"да","нет")</f>
        <v>да</v>
      </c>
    </row>
    <row r="1283" spans="1:3" x14ac:dyDescent="0.35">
      <c r="A1283" s="6">
        <v>22647</v>
      </c>
      <c r="B1283" s="10">
        <v>11.5</v>
      </c>
      <c r="C1283" t="str">
        <f>IF(acs2015_county_data[[#This Row],[Unemployment]]&gt;='Описательные характеристики'!$I$5,"да","нет")</f>
        <v>да</v>
      </c>
    </row>
    <row r="1284" spans="1:3" x14ac:dyDescent="0.35">
      <c r="A1284" s="4">
        <v>23785</v>
      </c>
      <c r="B1284" s="9">
        <v>8.1</v>
      </c>
      <c r="C1284" t="str">
        <f>IF(acs2015_county_data[[#This Row],[Unemployment]]&gt;='Описательные характеристики'!$I$5,"да","нет")</f>
        <v>да</v>
      </c>
    </row>
    <row r="1285" spans="1:3" x14ac:dyDescent="0.35">
      <c r="A1285" s="6">
        <v>24244</v>
      </c>
      <c r="B1285" s="10">
        <v>10.7</v>
      </c>
      <c r="C1285" t="str">
        <f>IF(acs2015_county_data[[#This Row],[Unemployment]]&gt;='Описательные характеристики'!$I$5,"да","нет")</f>
        <v>да</v>
      </c>
    </row>
    <row r="1286" spans="1:3" x14ac:dyDescent="0.35">
      <c r="A1286" s="4">
        <v>20405</v>
      </c>
      <c r="B1286" s="9">
        <v>12.2</v>
      </c>
      <c r="C1286" t="str">
        <f>IF(acs2015_county_data[[#This Row],[Unemployment]]&gt;='Описательные характеристики'!$I$5,"да","нет")</f>
        <v>да</v>
      </c>
    </row>
    <row r="1287" spans="1:3" x14ac:dyDescent="0.35">
      <c r="A1287" s="6">
        <v>23233</v>
      </c>
      <c r="B1287" s="10">
        <v>8.5</v>
      </c>
      <c r="C1287" t="str">
        <f>IF(acs2015_county_data[[#This Row],[Unemployment]]&gt;='Описательные характеристики'!$I$5,"да","нет")</f>
        <v>да</v>
      </c>
    </row>
    <row r="1288" spans="1:3" x14ac:dyDescent="0.35">
      <c r="A1288" s="4">
        <v>30172</v>
      </c>
      <c r="B1288" s="9">
        <v>8.5</v>
      </c>
      <c r="C1288" t="str">
        <f>IF(acs2015_county_data[[#This Row],[Unemployment]]&gt;='Описательные характеристики'!$I$5,"да","нет")</f>
        <v>да</v>
      </c>
    </row>
    <row r="1289" spans="1:3" x14ac:dyDescent="0.35">
      <c r="A1289" s="6">
        <v>20530</v>
      </c>
      <c r="B1289" s="10">
        <v>11</v>
      </c>
      <c r="C1289" t="str">
        <f>IF(acs2015_county_data[[#This Row],[Unemployment]]&gt;='Описательные характеристики'!$I$5,"да","нет")</f>
        <v>да</v>
      </c>
    </row>
    <row r="1290" spans="1:3" x14ac:dyDescent="0.35">
      <c r="A1290" s="4">
        <v>26982</v>
      </c>
      <c r="B1290" s="9">
        <v>8.3000000000000007</v>
      </c>
      <c r="C1290" t="str">
        <f>IF(acs2015_county_data[[#This Row],[Unemployment]]&gt;='Описательные характеристики'!$I$5,"да","нет")</f>
        <v>да</v>
      </c>
    </row>
    <row r="1291" spans="1:3" x14ac:dyDescent="0.35">
      <c r="A1291" s="6">
        <v>19955</v>
      </c>
      <c r="B1291" s="10">
        <v>11.2</v>
      </c>
      <c r="C1291" t="str">
        <f>IF(acs2015_county_data[[#This Row],[Unemployment]]&gt;='Описательные характеристики'!$I$5,"да","нет")</f>
        <v>да</v>
      </c>
    </row>
    <row r="1292" spans="1:3" x14ac:dyDescent="0.35">
      <c r="A1292" s="4">
        <v>20771</v>
      </c>
      <c r="B1292" s="9">
        <v>16</v>
      </c>
      <c r="C1292" t="str">
        <f>IF(acs2015_county_data[[#This Row],[Unemployment]]&gt;='Описательные характеристики'!$I$5,"да","нет")</f>
        <v>да</v>
      </c>
    </row>
    <row r="1293" spans="1:3" x14ac:dyDescent="0.35">
      <c r="A1293" s="6">
        <v>21291</v>
      </c>
      <c r="B1293" s="10">
        <v>11.9</v>
      </c>
      <c r="C1293" t="str">
        <f>IF(acs2015_county_data[[#This Row],[Unemployment]]&gt;='Описательные характеристики'!$I$5,"да","нет")</f>
        <v>да</v>
      </c>
    </row>
    <row r="1294" spans="1:3" x14ac:dyDescent="0.35">
      <c r="A1294" s="4">
        <v>21230</v>
      </c>
      <c r="B1294" s="9">
        <v>10.1</v>
      </c>
      <c r="C1294" t="str">
        <f>IF(acs2015_county_data[[#This Row],[Unemployment]]&gt;='Описательные характеристики'!$I$5,"да","нет")</f>
        <v>да</v>
      </c>
    </row>
    <row r="1295" spans="1:3" x14ac:dyDescent="0.35">
      <c r="A1295" s="6">
        <v>37728</v>
      </c>
      <c r="B1295" s="10">
        <v>7.5</v>
      </c>
      <c r="C1295" t="str">
        <f>IF(acs2015_county_data[[#This Row],[Unemployment]]&gt;='Описательные характеристики'!$I$5,"да","нет")</f>
        <v>нет</v>
      </c>
    </row>
    <row r="1296" spans="1:3" x14ac:dyDescent="0.35">
      <c r="A1296" s="4">
        <v>20234</v>
      </c>
      <c r="B1296" s="9">
        <v>8.6999999999999993</v>
      </c>
      <c r="C1296" t="str">
        <f>IF(acs2015_county_data[[#This Row],[Unemployment]]&gt;='Описательные характеристики'!$I$5,"да","нет")</f>
        <v>да</v>
      </c>
    </row>
    <row r="1297" spans="1:3" x14ac:dyDescent="0.35">
      <c r="A1297" s="6">
        <v>20972</v>
      </c>
      <c r="B1297" s="10">
        <v>12.4</v>
      </c>
      <c r="C1297" t="str">
        <f>IF(acs2015_county_data[[#This Row],[Unemployment]]&gt;='Описательные характеристики'!$I$5,"да","нет")</f>
        <v>да</v>
      </c>
    </row>
    <row r="1298" spans="1:3" x14ac:dyDescent="0.35">
      <c r="A1298" s="4">
        <v>21896</v>
      </c>
      <c r="B1298" s="9">
        <v>13.7</v>
      </c>
      <c r="C1298" t="str">
        <f>IF(acs2015_county_data[[#This Row],[Unemployment]]&gt;='Описательные характеристики'!$I$5,"да","нет")</f>
        <v>да</v>
      </c>
    </row>
    <row r="1299" spans="1:3" x14ac:dyDescent="0.35">
      <c r="A1299" s="6">
        <v>19205</v>
      </c>
      <c r="B1299" s="10">
        <v>10.3</v>
      </c>
      <c r="C1299" t="str">
        <f>IF(acs2015_county_data[[#This Row],[Unemployment]]&gt;='Описательные характеристики'!$I$5,"да","нет")</f>
        <v>да</v>
      </c>
    </row>
    <row r="1300" spans="1:3" x14ac:dyDescent="0.35">
      <c r="A1300" s="4">
        <v>19520</v>
      </c>
      <c r="B1300" s="9">
        <v>13.2</v>
      </c>
      <c r="C1300" t="str">
        <f>IF(acs2015_county_data[[#This Row],[Unemployment]]&gt;='Описательные характеристики'!$I$5,"да","нет")</f>
        <v>да</v>
      </c>
    </row>
    <row r="1301" spans="1:3" x14ac:dyDescent="0.35">
      <c r="A1301" s="6">
        <v>25743</v>
      </c>
      <c r="B1301" s="10">
        <v>8.1999999999999993</v>
      </c>
      <c r="C1301" t="str">
        <f>IF(acs2015_county_data[[#This Row],[Unemployment]]&gt;='Описательные характеристики'!$I$5,"да","нет")</f>
        <v>да</v>
      </c>
    </row>
    <row r="1302" spans="1:3" x14ac:dyDescent="0.35">
      <c r="A1302" s="4">
        <v>26519</v>
      </c>
      <c r="B1302" s="9">
        <v>6.1</v>
      </c>
      <c r="C1302" t="str">
        <f>IF(acs2015_county_data[[#This Row],[Unemployment]]&gt;='Описательные характеристики'!$I$5,"да","нет")</f>
        <v>нет</v>
      </c>
    </row>
    <row r="1303" spans="1:3" x14ac:dyDescent="0.35">
      <c r="A1303" s="6">
        <v>23550</v>
      </c>
      <c r="B1303" s="10">
        <v>13.1</v>
      </c>
      <c r="C1303" t="str">
        <f>IF(acs2015_county_data[[#This Row],[Unemployment]]&gt;='Описательные характеристики'!$I$5,"да","нет")</f>
        <v>да</v>
      </c>
    </row>
    <row r="1304" spans="1:3" x14ac:dyDescent="0.35">
      <c r="A1304" s="4">
        <v>22513</v>
      </c>
      <c r="B1304" s="9">
        <v>14.2</v>
      </c>
      <c r="C1304" t="str">
        <f>IF(acs2015_county_data[[#This Row],[Unemployment]]&gt;='Описательные характеристики'!$I$5,"да","нет")</f>
        <v>да</v>
      </c>
    </row>
    <row r="1305" spans="1:3" x14ac:dyDescent="0.35">
      <c r="A1305" s="6">
        <v>23139</v>
      </c>
      <c r="B1305" s="10">
        <v>11.1</v>
      </c>
      <c r="C1305" t="str">
        <f>IF(acs2015_county_data[[#This Row],[Unemployment]]&gt;='Описательные характеристики'!$I$5,"да","нет")</f>
        <v>да</v>
      </c>
    </row>
    <row r="1306" spans="1:3" x14ac:dyDescent="0.35">
      <c r="A1306" s="4">
        <v>25429</v>
      </c>
      <c r="B1306" s="9">
        <v>10.4</v>
      </c>
      <c r="C1306" t="str">
        <f>IF(acs2015_county_data[[#This Row],[Unemployment]]&gt;='Описательные характеристики'!$I$5,"да","нет")</f>
        <v>да</v>
      </c>
    </row>
    <row r="1307" spans="1:3" x14ac:dyDescent="0.35">
      <c r="A1307" s="6">
        <v>21559</v>
      </c>
      <c r="B1307" s="10">
        <v>8.6</v>
      </c>
      <c r="C1307" t="str">
        <f>IF(acs2015_county_data[[#This Row],[Unemployment]]&gt;='Описательные характеристики'!$I$5,"да","нет")</f>
        <v>да</v>
      </c>
    </row>
    <row r="1308" spans="1:3" x14ac:dyDescent="0.35">
      <c r="A1308" s="4">
        <v>21374</v>
      </c>
      <c r="B1308" s="9">
        <v>10.7</v>
      </c>
      <c r="C1308" t="str">
        <f>IF(acs2015_county_data[[#This Row],[Unemployment]]&gt;='Описательные характеристики'!$I$5,"да","нет")</f>
        <v>да</v>
      </c>
    </row>
    <row r="1309" spans="1:3" x14ac:dyDescent="0.35">
      <c r="A1309" s="6">
        <v>20580</v>
      </c>
      <c r="B1309" s="10">
        <v>15.6</v>
      </c>
      <c r="C1309" t="str">
        <f>IF(acs2015_county_data[[#This Row],[Unemployment]]&gt;='Описательные характеристики'!$I$5,"да","нет")</f>
        <v>да</v>
      </c>
    </row>
    <row r="1310" spans="1:3" x14ac:dyDescent="0.35">
      <c r="A1310" s="4">
        <v>23582</v>
      </c>
      <c r="B1310" s="9">
        <v>10.3</v>
      </c>
      <c r="C1310" t="str">
        <f>IF(acs2015_county_data[[#This Row],[Unemployment]]&gt;='Описательные характеристики'!$I$5,"да","нет")</f>
        <v>да</v>
      </c>
    </row>
    <row r="1311" spans="1:3" x14ac:dyDescent="0.35">
      <c r="A1311" s="6">
        <v>21904</v>
      </c>
      <c r="B1311" s="10">
        <v>9.3000000000000007</v>
      </c>
      <c r="C1311" t="str">
        <f>IF(acs2015_county_data[[#This Row],[Unemployment]]&gt;='Описательные характеристики'!$I$5,"да","нет")</f>
        <v>да</v>
      </c>
    </row>
    <row r="1312" spans="1:3" x14ac:dyDescent="0.35">
      <c r="A1312" s="4">
        <v>22358</v>
      </c>
      <c r="B1312" s="9">
        <v>8.4</v>
      </c>
      <c r="C1312" t="str">
        <f>IF(acs2015_county_data[[#This Row],[Unemployment]]&gt;='Описательные характеристики'!$I$5,"да","нет")</f>
        <v>да</v>
      </c>
    </row>
    <row r="1313" spans="1:3" x14ac:dyDescent="0.35">
      <c r="A1313" s="6">
        <v>34738</v>
      </c>
      <c r="B1313" s="10">
        <v>7.4</v>
      </c>
      <c r="C1313" t="str">
        <f>IF(acs2015_county_data[[#This Row],[Unemployment]]&gt;='Описательные характеристики'!$I$5,"да","нет")</f>
        <v>нет</v>
      </c>
    </row>
    <row r="1314" spans="1:3" x14ac:dyDescent="0.35">
      <c r="A1314" s="4">
        <v>22897</v>
      </c>
      <c r="B1314" s="9">
        <v>14.9</v>
      </c>
      <c r="C1314" t="str">
        <f>IF(acs2015_county_data[[#This Row],[Unemployment]]&gt;='Описательные характеристики'!$I$5,"да","нет")</f>
        <v>да</v>
      </c>
    </row>
    <row r="1315" spans="1:3" x14ac:dyDescent="0.35">
      <c r="A1315" s="6">
        <v>20988</v>
      </c>
      <c r="B1315" s="10">
        <v>9.5</v>
      </c>
      <c r="C1315" t="str">
        <f>IF(acs2015_county_data[[#This Row],[Unemployment]]&gt;='Описательные характеристики'!$I$5,"да","нет")</f>
        <v>да</v>
      </c>
    </row>
    <row r="1316" spans="1:3" x14ac:dyDescent="0.35">
      <c r="A1316" s="4">
        <v>25591</v>
      </c>
      <c r="B1316" s="9">
        <v>7.3</v>
      </c>
      <c r="C1316" t="str">
        <f>IF(acs2015_county_data[[#This Row],[Unemployment]]&gt;='Описательные характеристики'!$I$5,"да","нет")</f>
        <v>нет</v>
      </c>
    </row>
    <row r="1317" spans="1:3" x14ac:dyDescent="0.35">
      <c r="A1317" s="6">
        <v>31775</v>
      </c>
      <c r="B1317" s="10">
        <v>6.2</v>
      </c>
      <c r="C1317" t="str">
        <f>IF(acs2015_county_data[[#This Row],[Unemployment]]&gt;='Описательные характеристики'!$I$5,"да","нет")</f>
        <v>нет</v>
      </c>
    </row>
    <row r="1318" spans="1:3" x14ac:dyDescent="0.35">
      <c r="A1318" s="4">
        <v>26399</v>
      </c>
      <c r="B1318" s="9">
        <v>3.5</v>
      </c>
      <c r="C1318" t="str">
        <f>IF(acs2015_county_data[[#This Row],[Unemployment]]&gt;='Описательные характеристики'!$I$5,"да","нет")</f>
        <v>нет</v>
      </c>
    </row>
    <row r="1319" spans="1:3" x14ac:dyDescent="0.35">
      <c r="A1319" s="6">
        <v>22524</v>
      </c>
      <c r="B1319" s="10">
        <v>10.6</v>
      </c>
      <c r="C1319" t="str">
        <f>IF(acs2015_county_data[[#This Row],[Unemployment]]&gt;='Описательные характеристики'!$I$5,"да","нет")</f>
        <v>да</v>
      </c>
    </row>
    <row r="1320" spans="1:3" x14ac:dyDescent="0.35">
      <c r="A1320" s="4">
        <v>25341</v>
      </c>
      <c r="B1320" s="9">
        <v>6.7</v>
      </c>
      <c r="C1320" t="str">
        <f>IF(acs2015_county_data[[#This Row],[Unemployment]]&gt;='Описательные характеристики'!$I$5,"да","нет")</f>
        <v>нет</v>
      </c>
    </row>
    <row r="1321" spans="1:3" x14ac:dyDescent="0.35">
      <c r="A1321" s="6">
        <v>27426</v>
      </c>
      <c r="B1321" s="10">
        <v>3.3</v>
      </c>
      <c r="C1321" t="str">
        <f>IF(acs2015_county_data[[#This Row],[Unemployment]]&gt;='Описательные характеристики'!$I$5,"да","нет")</f>
        <v>нет</v>
      </c>
    </row>
    <row r="1322" spans="1:3" x14ac:dyDescent="0.35">
      <c r="A1322" s="4">
        <v>26440</v>
      </c>
      <c r="B1322" s="9">
        <v>4.9000000000000004</v>
      </c>
      <c r="C1322" t="str">
        <f>IF(acs2015_county_data[[#This Row],[Unemployment]]&gt;='Описательные характеристики'!$I$5,"да","нет")</f>
        <v>нет</v>
      </c>
    </row>
    <row r="1323" spans="1:3" x14ac:dyDescent="0.35">
      <c r="A1323" s="6">
        <v>28018</v>
      </c>
      <c r="B1323" s="10">
        <v>3.2</v>
      </c>
      <c r="C1323" t="str">
        <f>IF(acs2015_county_data[[#This Row],[Unemployment]]&gt;='Описательные характеристики'!$I$5,"да","нет")</f>
        <v>нет</v>
      </c>
    </row>
    <row r="1324" spans="1:3" x14ac:dyDescent="0.35">
      <c r="A1324" s="4">
        <v>24584</v>
      </c>
      <c r="B1324" s="9">
        <v>5.4</v>
      </c>
      <c r="C1324" t="str">
        <f>IF(acs2015_county_data[[#This Row],[Unemployment]]&gt;='Описательные характеристики'!$I$5,"да","нет")</f>
        <v>нет</v>
      </c>
    </row>
    <row r="1325" spans="1:3" x14ac:dyDescent="0.35">
      <c r="A1325" s="6">
        <v>40322</v>
      </c>
      <c r="B1325" s="10">
        <v>3.8</v>
      </c>
      <c r="C1325" t="str">
        <f>IF(acs2015_county_data[[#This Row],[Unemployment]]&gt;='Описательные характеристики'!$I$5,"да","нет")</f>
        <v>нет</v>
      </c>
    </row>
    <row r="1326" spans="1:3" x14ac:dyDescent="0.35">
      <c r="A1326" s="4">
        <v>25720</v>
      </c>
      <c r="B1326" s="9">
        <v>7.4</v>
      </c>
      <c r="C1326" t="str">
        <f>IF(acs2015_county_data[[#This Row],[Unemployment]]&gt;='Описательные характеристики'!$I$5,"да","нет")</f>
        <v>нет</v>
      </c>
    </row>
    <row r="1327" spans="1:3" x14ac:dyDescent="0.35">
      <c r="A1327" s="6">
        <v>26372</v>
      </c>
      <c r="B1327" s="10">
        <v>2.6</v>
      </c>
      <c r="C1327" t="str">
        <f>IF(acs2015_county_data[[#This Row],[Unemployment]]&gt;='Описательные характеристики'!$I$5,"да","нет")</f>
        <v>нет</v>
      </c>
    </row>
    <row r="1328" spans="1:3" x14ac:dyDescent="0.35">
      <c r="A1328" s="4">
        <v>29553</v>
      </c>
      <c r="B1328" s="9">
        <v>5.5</v>
      </c>
      <c r="C1328" t="str">
        <f>IF(acs2015_county_data[[#This Row],[Unemployment]]&gt;='Описательные характеристики'!$I$5,"да","нет")</f>
        <v>нет</v>
      </c>
    </row>
    <row r="1329" spans="1:3" x14ac:dyDescent="0.35">
      <c r="A1329" s="6">
        <v>25896</v>
      </c>
      <c r="B1329" s="10">
        <v>4.3</v>
      </c>
      <c r="C1329" t="str">
        <f>IF(acs2015_county_data[[#This Row],[Unemployment]]&gt;='Описательные характеристики'!$I$5,"да","нет")</f>
        <v>нет</v>
      </c>
    </row>
    <row r="1330" spans="1:3" x14ac:dyDescent="0.35">
      <c r="A1330" s="4">
        <v>23391</v>
      </c>
      <c r="B1330" s="9">
        <v>7.4</v>
      </c>
      <c r="C1330" t="str">
        <f>IF(acs2015_county_data[[#This Row],[Unemployment]]&gt;='Описательные характеристики'!$I$5,"да","нет")</f>
        <v>нет</v>
      </c>
    </row>
    <row r="1331" spans="1:3" x14ac:dyDescent="0.35">
      <c r="A1331" s="6">
        <v>33056</v>
      </c>
      <c r="B1331" s="10">
        <v>4</v>
      </c>
      <c r="C1331" t="str">
        <f>IF(acs2015_county_data[[#This Row],[Unemployment]]&gt;='Описательные характеристики'!$I$5,"да","нет")</f>
        <v>нет</v>
      </c>
    </row>
    <row r="1332" spans="1:3" x14ac:dyDescent="0.35">
      <c r="A1332" s="4">
        <v>24978</v>
      </c>
      <c r="B1332" s="9">
        <v>4.9000000000000004</v>
      </c>
      <c r="C1332" t="str">
        <f>IF(acs2015_county_data[[#This Row],[Unemployment]]&gt;='Описательные характеристики'!$I$5,"да","нет")</f>
        <v>нет</v>
      </c>
    </row>
    <row r="1333" spans="1:3" x14ac:dyDescent="0.35">
      <c r="A1333" s="6">
        <v>27936</v>
      </c>
      <c r="B1333" s="10">
        <v>5.7</v>
      </c>
      <c r="C1333" t="str">
        <f>IF(acs2015_county_data[[#This Row],[Unemployment]]&gt;='Описательные характеристики'!$I$5,"да","нет")</f>
        <v>нет</v>
      </c>
    </row>
    <row r="1334" spans="1:3" x14ac:dyDescent="0.35">
      <c r="A1334" s="4">
        <v>36171</v>
      </c>
      <c r="B1334" s="9">
        <v>5</v>
      </c>
      <c r="C1334" t="str">
        <f>IF(acs2015_county_data[[#This Row],[Unemployment]]&gt;='Описательные характеристики'!$I$5,"да","нет")</f>
        <v>нет</v>
      </c>
    </row>
    <row r="1335" spans="1:3" x14ac:dyDescent="0.35">
      <c r="A1335" s="6">
        <v>30091</v>
      </c>
      <c r="B1335" s="10">
        <v>3.5</v>
      </c>
      <c r="C1335" t="str">
        <f>IF(acs2015_county_data[[#This Row],[Unemployment]]&gt;='Описательные характеристики'!$I$5,"да","нет")</f>
        <v>нет</v>
      </c>
    </row>
    <row r="1336" spans="1:3" x14ac:dyDescent="0.35">
      <c r="A1336" s="4">
        <v>29953</v>
      </c>
      <c r="B1336" s="9">
        <v>4.5</v>
      </c>
      <c r="C1336" t="str">
        <f>IF(acs2015_county_data[[#This Row],[Unemployment]]&gt;='Описательные характеристики'!$I$5,"да","нет")</f>
        <v>нет</v>
      </c>
    </row>
    <row r="1337" spans="1:3" x14ac:dyDescent="0.35">
      <c r="A1337" s="6">
        <v>27135</v>
      </c>
      <c r="B1337" s="10">
        <v>4.2</v>
      </c>
      <c r="C1337" t="str">
        <f>IF(acs2015_county_data[[#This Row],[Unemployment]]&gt;='Описательные характеристики'!$I$5,"да","нет")</f>
        <v>нет</v>
      </c>
    </row>
    <row r="1338" spans="1:3" x14ac:dyDescent="0.35">
      <c r="A1338" s="4">
        <v>26348</v>
      </c>
      <c r="B1338" s="9">
        <v>4.3</v>
      </c>
      <c r="C1338" t="str">
        <f>IF(acs2015_county_data[[#This Row],[Unemployment]]&gt;='Описательные характеристики'!$I$5,"да","нет")</f>
        <v>нет</v>
      </c>
    </row>
    <row r="1339" spans="1:3" x14ac:dyDescent="0.35">
      <c r="A1339" s="6">
        <v>26494</v>
      </c>
      <c r="B1339" s="10">
        <v>4.9000000000000004</v>
      </c>
      <c r="C1339" t="str">
        <f>IF(acs2015_county_data[[#This Row],[Unemployment]]&gt;='Описательные характеристики'!$I$5,"да","нет")</f>
        <v>нет</v>
      </c>
    </row>
    <row r="1340" spans="1:3" x14ac:dyDescent="0.35">
      <c r="A1340" s="4">
        <v>30236</v>
      </c>
      <c r="B1340" s="9">
        <v>5.3</v>
      </c>
      <c r="C1340" t="str">
        <f>IF(acs2015_county_data[[#This Row],[Unemployment]]&gt;='Описательные характеристики'!$I$5,"да","нет")</f>
        <v>нет</v>
      </c>
    </row>
    <row r="1341" spans="1:3" x14ac:dyDescent="0.35">
      <c r="A1341" s="6">
        <v>27952</v>
      </c>
      <c r="B1341" s="10">
        <v>3.6</v>
      </c>
      <c r="C1341" t="str">
        <f>IF(acs2015_county_data[[#This Row],[Unemployment]]&gt;='Описательные характеристики'!$I$5,"да","нет")</f>
        <v>нет</v>
      </c>
    </row>
    <row r="1342" spans="1:3" x14ac:dyDescent="0.35">
      <c r="A1342" s="4">
        <v>38724</v>
      </c>
      <c r="B1342" s="9">
        <v>6</v>
      </c>
      <c r="C1342" t="str">
        <f>IF(acs2015_county_data[[#This Row],[Unemployment]]&gt;='Описательные характеристики'!$I$5,"да","нет")</f>
        <v>нет</v>
      </c>
    </row>
    <row r="1343" spans="1:3" x14ac:dyDescent="0.35">
      <c r="A1343" s="6">
        <v>27626</v>
      </c>
      <c r="B1343" s="10">
        <v>4.9000000000000004</v>
      </c>
      <c r="C1343" t="str">
        <f>IF(acs2015_county_data[[#This Row],[Unemployment]]&gt;='Описательные характеристики'!$I$5,"да","нет")</f>
        <v>нет</v>
      </c>
    </row>
    <row r="1344" spans="1:3" x14ac:dyDescent="0.35">
      <c r="A1344" s="4">
        <v>25725</v>
      </c>
      <c r="B1344" s="9">
        <v>5</v>
      </c>
      <c r="C1344" t="str">
        <f>IF(acs2015_county_data[[#This Row],[Unemployment]]&gt;='Описательные характеристики'!$I$5,"да","нет")</f>
        <v>нет</v>
      </c>
    </row>
    <row r="1345" spans="1:3" x14ac:dyDescent="0.35">
      <c r="A1345" s="6">
        <v>27152</v>
      </c>
      <c r="B1345" s="10">
        <v>7.3</v>
      </c>
      <c r="C1345" t="str">
        <f>IF(acs2015_county_data[[#This Row],[Unemployment]]&gt;='Описательные характеристики'!$I$5,"да","нет")</f>
        <v>нет</v>
      </c>
    </row>
    <row r="1346" spans="1:3" x14ac:dyDescent="0.35">
      <c r="A1346" s="4">
        <v>25219</v>
      </c>
      <c r="B1346" s="9">
        <v>7.1</v>
      </c>
      <c r="C1346" t="str">
        <f>IF(acs2015_county_data[[#This Row],[Unemployment]]&gt;='Описательные характеристики'!$I$5,"да","нет")</f>
        <v>нет</v>
      </c>
    </row>
    <row r="1347" spans="1:3" x14ac:dyDescent="0.35">
      <c r="A1347" s="6">
        <v>27494</v>
      </c>
      <c r="B1347" s="10">
        <v>3.2</v>
      </c>
      <c r="C1347" t="str">
        <f>IF(acs2015_county_data[[#This Row],[Unemployment]]&gt;='Описательные характеристики'!$I$5,"да","нет")</f>
        <v>нет</v>
      </c>
    </row>
    <row r="1348" spans="1:3" x14ac:dyDescent="0.35">
      <c r="A1348" s="4">
        <v>23661</v>
      </c>
      <c r="B1348" s="9">
        <v>9.8000000000000007</v>
      </c>
      <c r="C1348" t="str">
        <f>IF(acs2015_county_data[[#This Row],[Unemployment]]&gt;='Описательные характеристики'!$I$5,"да","нет")</f>
        <v>да</v>
      </c>
    </row>
    <row r="1349" spans="1:3" x14ac:dyDescent="0.35">
      <c r="A1349" s="6">
        <v>27560</v>
      </c>
      <c r="B1349" s="10">
        <v>4.8</v>
      </c>
      <c r="C1349" t="str">
        <f>IF(acs2015_county_data[[#This Row],[Unemployment]]&gt;='Описательные характеристики'!$I$5,"да","нет")</f>
        <v>нет</v>
      </c>
    </row>
    <row r="1350" spans="1:3" x14ac:dyDescent="0.35">
      <c r="A1350" s="4">
        <v>29279</v>
      </c>
      <c r="B1350" s="9">
        <v>2.8</v>
      </c>
      <c r="C1350" t="str">
        <f>IF(acs2015_county_data[[#This Row],[Unemployment]]&gt;='Описательные характеристики'!$I$5,"да","нет")</f>
        <v>нет</v>
      </c>
    </row>
    <row r="1351" spans="1:3" x14ac:dyDescent="0.35">
      <c r="A1351" s="6">
        <v>25398</v>
      </c>
      <c r="B1351" s="10">
        <v>7.8</v>
      </c>
      <c r="C1351" t="str">
        <f>IF(acs2015_county_data[[#This Row],[Unemployment]]&gt;='Описательные характеристики'!$I$5,"да","нет")</f>
        <v>да</v>
      </c>
    </row>
    <row r="1352" spans="1:3" x14ac:dyDescent="0.35">
      <c r="A1352" s="4">
        <v>29541</v>
      </c>
      <c r="B1352" s="9">
        <v>3.7</v>
      </c>
      <c r="C1352" t="str">
        <f>IF(acs2015_county_data[[#This Row],[Unemployment]]&gt;='Описательные характеристики'!$I$5,"да","нет")</f>
        <v>нет</v>
      </c>
    </row>
    <row r="1353" spans="1:3" x14ac:dyDescent="0.35">
      <c r="A1353" s="6">
        <v>29346</v>
      </c>
      <c r="B1353" s="10">
        <v>4.8</v>
      </c>
      <c r="C1353" t="str">
        <f>IF(acs2015_county_data[[#This Row],[Unemployment]]&gt;='Описательные характеристики'!$I$5,"да","нет")</f>
        <v>нет</v>
      </c>
    </row>
    <row r="1354" spans="1:3" x14ac:dyDescent="0.35">
      <c r="A1354" s="4">
        <v>22543</v>
      </c>
      <c r="B1354" s="9">
        <v>4.8</v>
      </c>
      <c r="C1354" t="str">
        <f>IF(acs2015_county_data[[#This Row],[Unemployment]]&gt;='Описательные характеристики'!$I$5,"да","нет")</f>
        <v>нет</v>
      </c>
    </row>
    <row r="1355" spans="1:3" x14ac:dyDescent="0.35">
      <c r="A1355" s="6">
        <v>28483</v>
      </c>
      <c r="B1355" s="10">
        <v>5.3</v>
      </c>
      <c r="C1355" t="str">
        <f>IF(acs2015_county_data[[#This Row],[Unemployment]]&gt;='Описательные характеристики'!$I$5,"да","нет")</f>
        <v>нет</v>
      </c>
    </row>
    <row r="1356" spans="1:3" x14ac:dyDescent="0.35">
      <c r="A1356" s="4">
        <v>26910</v>
      </c>
      <c r="B1356" s="9">
        <v>2.8</v>
      </c>
      <c r="C1356" t="str">
        <f>IF(acs2015_county_data[[#This Row],[Unemployment]]&gt;='Описательные характеристики'!$I$5,"да","нет")</f>
        <v>нет</v>
      </c>
    </row>
    <row r="1357" spans="1:3" x14ac:dyDescent="0.35">
      <c r="A1357" s="6">
        <v>28010</v>
      </c>
      <c r="B1357" s="10">
        <v>5.3</v>
      </c>
      <c r="C1357" t="str">
        <f>IF(acs2015_county_data[[#This Row],[Unemployment]]&gt;='Описательные характеристики'!$I$5,"да","нет")</f>
        <v>нет</v>
      </c>
    </row>
    <row r="1358" spans="1:3" x14ac:dyDescent="0.35">
      <c r="A1358" s="4">
        <v>27612</v>
      </c>
      <c r="B1358" s="9">
        <v>4.5</v>
      </c>
      <c r="C1358" t="str">
        <f>IF(acs2015_county_data[[#This Row],[Unemployment]]&gt;='Описательные характеристики'!$I$5,"да","нет")</f>
        <v>нет</v>
      </c>
    </row>
    <row r="1359" spans="1:3" x14ac:dyDescent="0.35">
      <c r="A1359" s="6">
        <v>19743</v>
      </c>
      <c r="B1359" s="10">
        <v>9.1999999999999993</v>
      </c>
      <c r="C1359" t="str">
        <f>IF(acs2015_county_data[[#This Row],[Unemployment]]&gt;='Описательные характеристики'!$I$5,"да","нет")</f>
        <v>да</v>
      </c>
    </row>
    <row r="1360" spans="1:3" x14ac:dyDescent="0.35">
      <c r="A1360" s="4">
        <v>27863</v>
      </c>
      <c r="B1360" s="9">
        <v>4.7</v>
      </c>
      <c r="C1360" t="str">
        <f>IF(acs2015_county_data[[#This Row],[Unemployment]]&gt;='Описательные характеристики'!$I$5,"да","нет")</f>
        <v>нет</v>
      </c>
    </row>
    <row r="1361" spans="1:3" x14ac:dyDescent="0.35">
      <c r="A1361" s="6">
        <v>28244</v>
      </c>
      <c r="B1361" s="10">
        <v>3.5</v>
      </c>
      <c r="C1361" t="str">
        <f>IF(acs2015_county_data[[#This Row],[Unemployment]]&gt;='Описательные характеристики'!$I$5,"да","нет")</f>
        <v>нет</v>
      </c>
    </row>
    <row r="1362" spans="1:3" x14ac:dyDescent="0.35">
      <c r="A1362" s="4">
        <v>27313</v>
      </c>
      <c r="B1362" s="9">
        <v>4.7</v>
      </c>
      <c r="C1362" t="str">
        <f>IF(acs2015_county_data[[#This Row],[Unemployment]]&gt;='Описательные характеристики'!$I$5,"да","нет")</f>
        <v>нет</v>
      </c>
    </row>
    <row r="1363" spans="1:3" x14ac:dyDescent="0.35">
      <c r="A1363" s="6">
        <v>23603</v>
      </c>
      <c r="B1363" s="10">
        <v>7.7</v>
      </c>
      <c r="C1363" t="str">
        <f>IF(acs2015_county_data[[#This Row],[Unemployment]]&gt;='Описательные характеристики'!$I$5,"да","нет")</f>
        <v>да</v>
      </c>
    </row>
    <row r="1364" spans="1:3" x14ac:dyDescent="0.35">
      <c r="A1364" s="4">
        <v>24984</v>
      </c>
      <c r="B1364" s="9">
        <v>5.8</v>
      </c>
      <c r="C1364" t="str">
        <f>IF(acs2015_county_data[[#This Row],[Unemployment]]&gt;='Описательные характеристики'!$I$5,"да","нет")</f>
        <v>нет</v>
      </c>
    </row>
    <row r="1365" spans="1:3" x14ac:dyDescent="0.35">
      <c r="A1365" s="6">
        <v>26265</v>
      </c>
      <c r="B1365" s="10">
        <v>6.5</v>
      </c>
      <c r="C1365" t="str">
        <f>IF(acs2015_county_data[[#This Row],[Unemployment]]&gt;='Описательные характеристики'!$I$5,"да","нет")</f>
        <v>нет</v>
      </c>
    </row>
    <row r="1366" spans="1:3" x14ac:dyDescent="0.35">
      <c r="A1366" s="4">
        <v>28976</v>
      </c>
      <c r="B1366" s="9">
        <v>4.5</v>
      </c>
      <c r="C1366" t="str">
        <f>IF(acs2015_county_data[[#This Row],[Unemployment]]&gt;='Описательные характеристики'!$I$5,"да","нет")</f>
        <v>нет</v>
      </c>
    </row>
    <row r="1367" spans="1:3" x14ac:dyDescent="0.35">
      <c r="A1367" s="6">
        <v>28118</v>
      </c>
      <c r="B1367" s="10">
        <v>4</v>
      </c>
      <c r="C1367" t="str">
        <f>IF(acs2015_county_data[[#This Row],[Unemployment]]&gt;='Описательные характеристики'!$I$5,"да","нет")</f>
        <v>нет</v>
      </c>
    </row>
    <row r="1368" spans="1:3" x14ac:dyDescent="0.35">
      <c r="A1368" s="4">
        <v>23515</v>
      </c>
      <c r="B1368" s="9">
        <v>6.9</v>
      </c>
      <c r="C1368" t="str">
        <f>IF(acs2015_county_data[[#This Row],[Unemployment]]&gt;='Описательные характеристики'!$I$5,"да","нет")</f>
        <v>нет</v>
      </c>
    </row>
    <row r="1369" spans="1:3" x14ac:dyDescent="0.35">
      <c r="A1369" s="6">
        <v>25314</v>
      </c>
      <c r="B1369" s="10">
        <v>5.0999999999999996</v>
      </c>
      <c r="C1369" t="str">
        <f>IF(acs2015_county_data[[#This Row],[Unemployment]]&gt;='Описательные характеристики'!$I$5,"да","нет")</f>
        <v>нет</v>
      </c>
    </row>
    <row r="1370" spans="1:3" x14ac:dyDescent="0.35">
      <c r="A1370" s="4">
        <v>35267</v>
      </c>
      <c r="B1370" s="9">
        <v>4.0999999999999996</v>
      </c>
      <c r="C1370" t="str">
        <f>IF(acs2015_county_data[[#This Row],[Unemployment]]&gt;='Описательные характеристики'!$I$5,"да","нет")</f>
        <v>нет</v>
      </c>
    </row>
    <row r="1371" spans="1:3" x14ac:dyDescent="0.35">
      <c r="A1371" s="6">
        <v>28066</v>
      </c>
      <c r="B1371" s="10">
        <v>4.4000000000000004</v>
      </c>
      <c r="C1371" t="str">
        <f>IF(acs2015_county_data[[#This Row],[Unemployment]]&gt;='Описательные характеристики'!$I$5,"да","нет")</f>
        <v>нет</v>
      </c>
    </row>
    <row r="1372" spans="1:3" x14ac:dyDescent="0.35">
      <c r="A1372" s="4">
        <v>25500</v>
      </c>
      <c r="B1372" s="9">
        <v>3</v>
      </c>
      <c r="C1372" t="str">
        <f>IF(acs2015_county_data[[#This Row],[Unemployment]]&gt;='Описательные характеристики'!$I$5,"да","нет")</f>
        <v>нет</v>
      </c>
    </row>
    <row r="1373" spans="1:3" x14ac:dyDescent="0.35">
      <c r="A1373" s="6">
        <v>22436</v>
      </c>
      <c r="B1373" s="10">
        <v>7.4</v>
      </c>
      <c r="C1373" t="str">
        <f>IF(acs2015_county_data[[#This Row],[Unemployment]]&gt;='Описательные характеристики'!$I$5,"да","нет")</f>
        <v>нет</v>
      </c>
    </row>
    <row r="1374" spans="1:3" x14ac:dyDescent="0.35">
      <c r="A1374" s="4">
        <v>26842</v>
      </c>
      <c r="B1374" s="9">
        <v>4.2</v>
      </c>
      <c r="C1374" t="str">
        <f>IF(acs2015_county_data[[#This Row],[Unemployment]]&gt;='Описательные характеристики'!$I$5,"да","нет")</f>
        <v>нет</v>
      </c>
    </row>
    <row r="1375" spans="1:3" x14ac:dyDescent="0.35">
      <c r="A1375" s="6">
        <v>26766</v>
      </c>
      <c r="B1375" s="10">
        <v>4.5999999999999996</v>
      </c>
      <c r="C1375" t="str">
        <f>IF(acs2015_county_data[[#This Row],[Unemployment]]&gt;='Описательные характеристики'!$I$5,"да","нет")</f>
        <v>нет</v>
      </c>
    </row>
    <row r="1376" spans="1:3" x14ac:dyDescent="0.35">
      <c r="A1376" s="4">
        <v>30071</v>
      </c>
      <c r="B1376" s="9">
        <v>4.0999999999999996</v>
      </c>
      <c r="C1376" t="str">
        <f>IF(acs2015_county_data[[#This Row],[Unemployment]]&gt;='Описательные характеристики'!$I$5,"да","нет")</f>
        <v>нет</v>
      </c>
    </row>
    <row r="1377" spans="1:3" x14ac:dyDescent="0.35">
      <c r="A1377" s="6">
        <v>30333</v>
      </c>
      <c r="B1377" s="10">
        <v>7.1</v>
      </c>
      <c r="C1377" t="str">
        <f>IF(acs2015_county_data[[#This Row],[Unemployment]]&gt;='Описательные характеристики'!$I$5,"да","нет")</f>
        <v>нет</v>
      </c>
    </row>
    <row r="1378" spans="1:3" x14ac:dyDescent="0.35">
      <c r="A1378" s="4">
        <v>25183</v>
      </c>
      <c r="B1378" s="9">
        <v>3.5</v>
      </c>
      <c r="C1378" t="str">
        <f>IF(acs2015_county_data[[#This Row],[Unemployment]]&gt;='Описательные характеристики'!$I$5,"да","нет")</f>
        <v>нет</v>
      </c>
    </row>
    <row r="1379" spans="1:3" x14ac:dyDescent="0.35">
      <c r="A1379" s="6">
        <v>25716</v>
      </c>
      <c r="B1379" s="10">
        <v>4</v>
      </c>
      <c r="C1379" t="str">
        <f>IF(acs2015_county_data[[#This Row],[Unemployment]]&gt;='Описательные характеристики'!$I$5,"да","нет")</f>
        <v>нет</v>
      </c>
    </row>
    <row r="1380" spans="1:3" x14ac:dyDescent="0.35">
      <c r="A1380" s="4">
        <v>28698</v>
      </c>
      <c r="B1380" s="9">
        <v>5</v>
      </c>
      <c r="C1380" t="str">
        <f>IF(acs2015_county_data[[#This Row],[Unemployment]]&gt;='Описательные характеристики'!$I$5,"да","нет")</f>
        <v>нет</v>
      </c>
    </row>
    <row r="1381" spans="1:3" x14ac:dyDescent="0.35">
      <c r="A1381" s="6">
        <v>26660</v>
      </c>
      <c r="B1381" s="10">
        <v>5.6</v>
      </c>
      <c r="C1381" t="str">
        <f>IF(acs2015_county_data[[#This Row],[Unemployment]]&gt;='Описательные характеристики'!$I$5,"да","нет")</f>
        <v>нет</v>
      </c>
    </row>
    <row r="1382" spans="1:3" x14ac:dyDescent="0.35">
      <c r="A1382" s="4">
        <v>26065</v>
      </c>
      <c r="B1382" s="9">
        <v>3.7</v>
      </c>
      <c r="C1382" t="str">
        <f>IF(acs2015_county_data[[#This Row],[Unemployment]]&gt;='Описательные характеристики'!$I$5,"да","нет")</f>
        <v>нет</v>
      </c>
    </row>
    <row r="1383" spans="1:3" x14ac:dyDescent="0.35">
      <c r="A1383" s="6">
        <v>26698</v>
      </c>
      <c r="B1383" s="10">
        <v>2.7</v>
      </c>
      <c r="C1383" t="str">
        <f>IF(acs2015_county_data[[#This Row],[Unemployment]]&gt;='Описательные характеристики'!$I$5,"да","нет")</f>
        <v>нет</v>
      </c>
    </row>
    <row r="1384" spans="1:3" x14ac:dyDescent="0.35">
      <c r="A1384" s="4">
        <v>27190</v>
      </c>
      <c r="B1384" s="9">
        <v>6.9</v>
      </c>
      <c r="C1384" t="str">
        <f>IF(acs2015_county_data[[#This Row],[Unemployment]]&gt;='Описательные характеристики'!$I$5,"да","нет")</f>
        <v>нет</v>
      </c>
    </row>
    <row r="1385" spans="1:3" x14ac:dyDescent="0.35">
      <c r="A1385" s="6">
        <v>36180</v>
      </c>
      <c r="B1385" s="10">
        <v>4.5999999999999996</v>
      </c>
      <c r="C1385" t="str">
        <f>IF(acs2015_county_data[[#This Row],[Unemployment]]&gt;='Описательные характеристики'!$I$5,"да","нет")</f>
        <v>нет</v>
      </c>
    </row>
    <row r="1386" spans="1:3" x14ac:dyDescent="0.35">
      <c r="A1386" s="4">
        <v>29923</v>
      </c>
      <c r="B1386" s="9">
        <v>5.2</v>
      </c>
      <c r="C1386" t="str">
        <f>IF(acs2015_county_data[[#This Row],[Unemployment]]&gt;='Описательные характеристики'!$I$5,"да","нет")</f>
        <v>нет</v>
      </c>
    </row>
    <row r="1387" spans="1:3" x14ac:dyDescent="0.35">
      <c r="A1387" s="6">
        <v>27493</v>
      </c>
      <c r="B1387" s="10">
        <v>5.5</v>
      </c>
      <c r="C1387" t="str">
        <f>IF(acs2015_county_data[[#This Row],[Unemployment]]&gt;='Описательные характеристики'!$I$5,"да","нет")</f>
        <v>нет</v>
      </c>
    </row>
    <row r="1388" spans="1:3" x14ac:dyDescent="0.35">
      <c r="A1388" s="4">
        <v>27135</v>
      </c>
      <c r="B1388" s="9">
        <v>5</v>
      </c>
      <c r="C1388" t="str">
        <f>IF(acs2015_county_data[[#This Row],[Unemployment]]&gt;='Описательные характеристики'!$I$5,"да","нет")</f>
        <v>нет</v>
      </c>
    </row>
    <row r="1389" spans="1:3" x14ac:dyDescent="0.35">
      <c r="A1389" s="6">
        <v>28087</v>
      </c>
      <c r="B1389" s="10">
        <v>4.9000000000000004</v>
      </c>
      <c r="C1389" t="str">
        <f>IF(acs2015_county_data[[#This Row],[Unemployment]]&gt;='Описательные характеристики'!$I$5,"да","нет")</f>
        <v>нет</v>
      </c>
    </row>
    <row r="1390" spans="1:3" x14ac:dyDescent="0.35">
      <c r="A1390" s="4">
        <v>25739</v>
      </c>
      <c r="B1390" s="9">
        <v>3.1</v>
      </c>
      <c r="C1390" t="str">
        <f>IF(acs2015_county_data[[#This Row],[Unemployment]]&gt;='Описательные характеристики'!$I$5,"да","нет")</f>
        <v>нет</v>
      </c>
    </row>
    <row r="1391" spans="1:3" x14ac:dyDescent="0.35">
      <c r="A1391" s="6">
        <v>27202</v>
      </c>
      <c r="B1391" s="10">
        <v>3.9</v>
      </c>
      <c r="C1391" t="str">
        <f>IF(acs2015_county_data[[#This Row],[Unemployment]]&gt;='Описательные характеристики'!$I$5,"да","нет")</f>
        <v>нет</v>
      </c>
    </row>
    <row r="1392" spans="1:3" x14ac:dyDescent="0.35">
      <c r="A1392" s="4">
        <v>23808</v>
      </c>
      <c r="B1392" s="9">
        <v>5.0999999999999996</v>
      </c>
      <c r="C1392" t="str">
        <f>IF(acs2015_county_data[[#This Row],[Unemployment]]&gt;='Описательные характеристики'!$I$5,"да","нет")</f>
        <v>нет</v>
      </c>
    </row>
    <row r="1393" spans="1:3" x14ac:dyDescent="0.35">
      <c r="A1393" s="6">
        <v>29120</v>
      </c>
      <c r="B1393" s="10">
        <v>2.9</v>
      </c>
      <c r="C1393" t="str">
        <f>IF(acs2015_county_data[[#This Row],[Unemployment]]&gt;='Описательные характеристики'!$I$5,"да","нет")</f>
        <v>нет</v>
      </c>
    </row>
    <row r="1394" spans="1:3" x14ac:dyDescent="0.35">
      <c r="A1394" s="4">
        <v>30468</v>
      </c>
      <c r="B1394" s="9">
        <v>3.6</v>
      </c>
      <c r="C1394" t="str">
        <f>IF(acs2015_county_data[[#This Row],[Unemployment]]&gt;='Описательные характеристики'!$I$5,"да","нет")</f>
        <v>нет</v>
      </c>
    </row>
    <row r="1395" spans="1:3" x14ac:dyDescent="0.35">
      <c r="A1395" s="6">
        <v>22002</v>
      </c>
      <c r="B1395" s="10">
        <v>5.2</v>
      </c>
      <c r="C1395" t="str">
        <f>IF(acs2015_county_data[[#This Row],[Unemployment]]&gt;='Описательные характеристики'!$I$5,"да","нет")</f>
        <v>нет</v>
      </c>
    </row>
    <row r="1396" spans="1:3" x14ac:dyDescent="0.35">
      <c r="A1396" s="4">
        <v>26457</v>
      </c>
      <c r="B1396" s="9">
        <v>4.5999999999999996</v>
      </c>
      <c r="C1396" t="str">
        <f>IF(acs2015_county_data[[#This Row],[Unemployment]]&gt;='Описательные характеристики'!$I$5,"да","нет")</f>
        <v>нет</v>
      </c>
    </row>
    <row r="1397" spans="1:3" x14ac:dyDescent="0.35">
      <c r="A1397" s="6">
        <v>38461</v>
      </c>
      <c r="B1397" s="10">
        <v>4.8</v>
      </c>
      <c r="C1397" t="str">
        <f>IF(acs2015_county_data[[#This Row],[Unemployment]]&gt;='Описательные характеристики'!$I$5,"да","нет")</f>
        <v>нет</v>
      </c>
    </row>
    <row r="1398" spans="1:3" x14ac:dyDescent="0.35">
      <c r="A1398" s="4">
        <v>25973</v>
      </c>
      <c r="B1398" s="9">
        <v>2.9</v>
      </c>
      <c r="C1398" t="str">
        <f>IF(acs2015_county_data[[#This Row],[Unemployment]]&gt;='Описательные характеристики'!$I$5,"да","нет")</f>
        <v>нет</v>
      </c>
    </row>
    <row r="1399" spans="1:3" x14ac:dyDescent="0.35">
      <c r="A1399" s="6">
        <v>26862</v>
      </c>
      <c r="B1399" s="10">
        <v>2</v>
      </c>
      <c r="C1399" t="str">
        <f>IF(acs2015_county_data[[#This Row],[Unemployment]]&gt;='Описательные характеристики'!$I$5,"да","нет")</f>
        <v>нет</v>
      </c>
    </row>
    <row r="1400" spans="1:3" x14ac:dyDescent="0.35">
      <c r="A1400" s="4">
        <v>24660</v>
      </c>
      <c r="B1400" s="9">
        <v>6.2</v>
      </c>
      <c r="C1400" t="str">
        <f>IF(acs2015_county_data[[#This Row],[Unemployment]]&gt;='Описательные характеристики'!$I$5,"да","нет")</f>
        <v>нет</v>
      </c>
    </row>
    <row r="1401" spans="1:3" x14ac:dyDescent="0.35">
      <c r="A1401" s="6">
        <v>30238</v>
      </c>
      <c r="B1401" s="10">
        <v>5.2</v>
      </c>
      <c r="C1401" t="str">
        <f>IF(acs2015_county_data[[#This Row],[Unemployment]]&gt;='Описательные характеристики'!$I$5,"да","нет")</f>
        <v>нет</v>
      </c>
    </row>
    <row r="1402" spans="1:3" x14ac:dyDescent="0.35">
      <c r="A1402" s="4">
        <v>26885</v>
      </c>
      <c r="B1402" s="9">
        <v>3.4</v>
      </c>
      <c r="C1402" t="str">
        <f>IF(acs2015_county_data[[#This Row],[Unemployment]]&gt;='Описательные характеристики'!$I$5,"да","нет")</f>
        <v>нет</v>
      </c>
    </row>
    <row r="1403" spans="1:3" x14ac:dyDescent="0.35">
      <c r="A1403" s="6">
        <v>17669</v>
      </c>
      <c r="B1403" s="10">
        <v>11.3</v>
      </c>
      <c r="C1403" t="str">
        <f>IF(acs2015_county_data[[#This Row],[Unemployment]]&gt;='Описательные характеристики'!$I$5,"да","нет")</f>
        <v>да</v>
      </c>
    </row>
    <row r="1404" spans="1:3" x14ac:dyDescent="0.35">
      <c r="A1404" s="4">
        <v>19467</v>
      </c>
      <c r="B1404" s="9">
        <v>9</v>
      </c>
      <c r="C1404" t="str">
        <f>IF(acs2015_county_data[[#This Row],[Unemployment]]&gt;='Описательные характеристики'!$I$5,"да","нет")</f>
        <v>да</v>
      </c>
    </row>
    <row r="1405" spans="1:3" x14ac:dyDescent="0.35">
      <c r="A1405" s="6">
        <v>17635</v>
      </c>
      <c r="B1405" s="10">
        <v>12.7</v>
      </c>
      <c r="C1405" t="str">
        <f>IF(acs2015_county_data[[#This Row],[Unemployment]]&gt;='Описательные характеристики'!$I$5,"да","нет")</f>
        <v>да</v>
      </c>
    </row>
    <row r="1406" spans="1:3" x14ac:dyDescent="0.35">
      <c r="A1406" s="4">
        <v>20604</v>
      </c>
      <c r="B1406" s="9">
        <v>12.6</v>
      </c>
      <c r="C1406" t="str">
        <f>IF(acs2015_county_data[[#This Row],[Unemployment]]&gt;='Описательные характеристики'!$I$5,"да","нет")</f>
        <v>да</v>
      </c>
    </row>
    <row r="1407" spans="1:3" x14ac:dyDescent="0.35">
      <c r="A1407" s="6">
        <v>19935</v>
      </c>
      <c r="B1407" s="10">
        <v>17.100000000000001</v>
      </c>
      <c r="C1407" t="str">
        <f>IF(acs2015_county_data[[#This Row],[Unemployment]]&gt;='Описательные характеристики'!$I$5,"да","нет")</f>
        <v>да</v>
      </c>
    </row>
    <row r="1408" spans="1:3" x14ac:dyDescent="0.35">
      <c r="A1408" s="4">
        <v>15751</v>
      </c>
      <c r="B1408" s="9">
        <v>15.3</v>
      </c>
      <c r="C1408" t="str">
        <f>IF(acs2015_county_data[[#This Row],[Unemployment]]&gt;='Описательные характеристики'!$I$5,"да","нет")</f>
        <v>да</v>
      </c>
    </row>
    <row r="1409" spans="1:3" x14ac:dyDescent="0.35">
      <c r="A1409" s="6">
        <v>17434</v>
      </c>
      <c r="B1409" s="10">
        <v>10.1</v>
      </c>
      <c r="C1409" t="str">
        <f>IF(acs2015_county_data[[#This Row],[Unemployment]]&gt;='Описательные характеристики'!$I$5,"да","нет")</f>
        <v>да</v>
      </c>
    </row>
    <row r="1410" spans="1:3" x14ac:dyDescent="0.35">
      <c r="A1410" s="4">
        <v>20627</v>
      </c>
      <c r="B1410" s="9">
        <v>11.9</v>
      </c>
      <c r="C1410" t="str">
        <f>IF(acs2015_county_data[[#This Row],[Unemployment]]&gt;='Описательные характеристики'!$I$5,"да","нет")</f>
        <v>да</v>
      </c>
    </row>
    <row r="1411" spans="1:3" x14ac:dyDescent="0.35">
      <c r="A1411" s="6">
        <v>17538</v>
      </c>
      <c r="B1411" s="10">
        <v>12.2</v>
      </c>
      <c r="C1411" t="str">
        <f>IF(acs2015_county_data[[#This Row],[Unemployment]]&gt;='Описательные характеристики'!$I$5,"да","нет")</f>
        <v>да</v>
      </c>
    </row>
    <row r="1412" spans="1:3" x14ac:dyDescent="0.35">
      <c r="A1412" s="4">
        <v>17464</v>
      </c>
      <c r="B1412" s="9">
        <v>14.2</v>
      </c>
      <c r="C1412" t="str">
        <f>IF(acs2015_county_data[[#This Row],[Unemployment]]&gt;='Описательные характеристики'!$I$5,"да","нет")</f>
        <v>да</v>
      </c>
    </row>
    <row r="1413" spans="1:3" x14ac:dyDescent="0.35">
      <c r="A1413" s="6">
        <v>12229</v>
      </c>
      <c r="B1413" s="10">
        <v>17.5</v>
      </c>
      <c r="C1413" t="str">
        <f>IF(acs2015_county_data[[#This Row],[Unemployment]]&gt;='Описательные характеристики'!$I$5,"да","нет")</f>
        <v>да</v>
      </c>
    </row>
    <row r="1414" spans="1:3" x14ac:dyDescent="0.35">
      <c r="A1414" s="4">
        <v>20071</v>
      </c>
      <c r="B1414" s="9">
        <v>11.7</v>
      </c>
      <c r="C1414" t="str">
        <f>IF(acs2015_county_data[[#This Row],[Unemployment]]&gt;='Описательные характеристики'!$I$5,"да","нет")</f>
        <v>да</v>
      </c>
    </row>
    <row r="1415" spans="1:3" x14ac:dyDescent="0.35">
      <c r="A1415" s="6">
        <v>18405</v>
      </c>
      <c r="B1415" s="10">
        <v>16.2</v>
      </c>
      <c r="C1415" t="str">
        <f>IF(acs2015_county_data[[#This Row],[Unemployment]]&gt;='Описательные характеристики'!$I$5,"да","нет")</f>
        <v>да</v>
      </c>
    </row>
    <row r="1416" spans="1:3" x14ac:dyDescent="0.35">
      <c r="A1416" s="4">
        <v>15393</v>
      </c>
      <c r="B1416" s="9">
        <v>20.3</v>
      </c>
      <c r="C1416" t="str">
        <f>IF(acs2015_county_data[[#This Row],[Unemployment]]&gt;='Описательные характеристики'!$I$5,"да","нет")</f>
        <v>да</v>
      </c>
    </row>
    <row r="1417" spans="1:3" x14ac:dyDescent="0.35">
      <c r="A1417" s="6">
        <v>17762</v>
      </c>
      <c r="B1417" s="10">
        <v>14.3</v>
      </c>
      <c r="C1417" t="str">
        <f>IF(acs2015_county_data[[#This Row],[Unemployment]]&gt;='Описательные характеристики'!$I$5,"да","нет")</f>
        <v>да</v>
      </c>
    </row>
    <row r="1418" spans="1:3" x14ac:dyDescent="0.35">
      <c r="A1418" s="4">
        <v>16245</v>
      </c>
      <c r="B1418" s="9">
        <v>13.7</v>
      </c>
      <c r="C1418" t="str">
        <f>IF(acs2015_county_data[[#This Row],[Unemployment]]&gt;='Описательные характеристики'!$I$5,"да","нет")</f>
        <v>да</v>
      </c>
    </row>
    <row r="1419" spans="1:3" x14ac:dyDescent="0.35">
      <c r="A1419" s="6">
        <v>26085</v>
      </c>
      <c r="B1419" s="10">
        <v>7.6</v>
      </c>
      <c r="C1419" t="str">
        <f>IF(acs2015_county_data[[#This Row],[Unemployment]]&gt;='Описательные характеристики'!$I$5,"да","нет")</f>
        <v>да</v>
      </c>
    </row>
    <row r="1420" spans="1:3" x14ac:dyDescent="0.35">
      <c r="A1420" s="4">
        <v>19897</v>
      </c>
      <c r="B1420" s="9">
        <v>13.1</v>
      </c>
      <c r="C1420" t="str">
        <f>IF(acs2015_county_data[[#This Row],[Unemployment]]&gt;='Описательные характеристики'!$I$5,"да","нет")</f>
        <v>да</v>
      </c>
    </row>
    <row r="1421" spans="1:3" x14ac:dyDescent="0.35">
      <c r="A1421" s="6">
        <v>22098</v>
      </c>
      <c r="B1421" s="10">
        <v>8.9</v>
      </c>
      <c r="C1421" t="str">
        <f>IF(acs2015_county_data[[#This Row],[Unemployment]]&gt;='Описательные характеристики'!$I$5,"да","нет")</f>
        <v>да</v>
      </c>
    </row>
    <row r="1422" spans="1:3" x14ac:dyDescent="0.35">
      <c r="A1422" s="4">
        <v>21413</v>
      </c>
      <c r="B1422" s="9">
        <v>9</v>
      </c>
      <c r="C1422" t="str">
        <f>IF(acs2015_county_data[[#This Row],[Unemployment]]&gt;='Описательные характеристики'!$I$5,"да","нет")</f>
        <v>да</v>
      </c>
    </row>
    <row r="1423" spans="1:3" x14ac:dyDescent="0.35">
      <c r="A1423" s="6">
        <v>15728</v>
      </c>
      <c r="B1423" s="10">
        <v>12.6</v>
      </c>
      <c r="C1423" t="str">
        <f>IF(acs2015_county_data[[#This Row],[Unemployment]]&gt;='Описательные характеристики'!$I$5,"да","нет")</f>
        <v>да</v>
      </c>
    </row>
    <row r="1424" spans="1:3" x14ac:dyDescent="0.35">
      <c r="A1424" s="4">
        <v>19138</v>
      </c>
      <c r="B1424" s="9">
        <v>9.4</v>
      </c>
      <c r="C1424" t="str">
        <f>IF(acs2015_county_data[[#This Row],[Unemployment]]&gt;='Описательные характеристики'!$I$5,"да","нет")</f>
        <v>да</v>
      </c>
    </row>
    <row r="1425" spans="1:3" x14ac:dyDescent="0.35">
      <c r="A1425" s="6">
        <v>22286</v>
      </c>
      <c r="B1425" s="10">
        <v>10.1</v>
      </c>
      <c r="C1425" t="str">
        <f>IF(acs2015_county_data[[#This Row],[Unemployment]]&gt;='Описательные характеристики'!$I$5,"да","нет")</f>
        <v>да</v>
      </c>
    </row>
    <row r="1426" spans="1:3" x14ac:dyDescent="0.35">
      <c r="A1426" s="4">
        <v>22120</v>
      </c>
      <c r="B1426" s="9">
        <v>9.6999999999999993</v>
      </c>
      <c r="C1426" t="str">
        <f>IF(acs2015_county_data[[#This Row],[Unemployment]]&gt;='Описательные характеристики'!$I$5,"да","нет")</f>
        <v>да</v>
      </c>
    </row>
    <row r="1427" spans="1:3" x14ac:dyDescent="0.35">
      <c r="A1427" s="6">
        <v>20598</v>
      </c>
      <c r="B1427" s="10">
        <v>10.3</v>
      </c>
      <c r="C1427" t="str">
        <f>IF(acs2015_county_data[[#This Row],[Unemployment]]&gt;='Описательные характеристики'!$I$5,"да","нет")</f>
        <v>да</v>
      </c>
    </row>
    <row r="1428" spans="1:3" x14ac:dyDescent="0.35">
      <c r="A1428" s="4">
        <v>11972</v>
      </c>
      <c r="B1428" s="9">
        <v>19.2</v>
      </c>
      <c r="C1428" t="str">
        <f>IF(acs2015_county_data[[#This Row],[Unemployment]]&gt;='Описательные характеристики'!$I$5,"да","нет")</f>
        <v>да</v>
      </c>
    </row>
    <row r="1429" spans="1:3" x14ac:dyDescent="0.35">
      <c r="A1429" s="6">
        <v>13503</v>
      </c>
      <c r="B1429" s="10">
        <v>26.8</v>
      </c>
      <c r="C1429" t="str">
        <f>IF(acs2015_county_data[[#This Row],[Unemployment]]&gt;='Описательные характеристики'!$I$5,"да","нет")</f>
        <v>да</v>
      </c>
    </row>
    <row r="1430" spans="1:3" x14ac:dyDescent="0.35">
      <c r="A1430" s="4">
        <v>12423</v>
      </c>
      <c r="B1430" s="9">
        <v>11.6</v>
      </c>
      <c r="C1430" t="str">
        <f>IF(acs2015_county_data[[#This Row],[Unemployment]]&gt;='Описательные характеристики'!$I$5,"да","нет")</f>
        <v>да</v>
      </c>
    </row>
    <row r="1431" spans="1:3" x14ac:dyDescent="0.35">
      <c r="A1431" s="6">
        <v>19483</v>
      </c>
      <c r="B1431" s="10">
        <v>9.3000000000000007</v>
      </c>
      <c r="C1431" t="str">
        <f>IF(acs2015_county_data[[#This Row],[Unemployment]]&gt;='Описательные характеристики'!$I$5,"да","нет")</f>
        <v>да</v>
      </c>
    </row>
    <row r="1432" spans="1:3" x14ac:dyDescent="0.35">
      <c r="A1432" s="4">
        <v>24001</v>
      </c>
      <c r="B1432" s="9">
        <v>9.1</v>
      </c>
      <c r="C1432" t="str">
        <f>IF(acs2015_county_data[[#This Row],[Unemployment]]&gt;='Описательные характеристики'!$I$5,"да","нет")</f>
        <v>да</v>
      </c>
    </row>
    <row r="1433" spans="1:3" x14ac:dyDescent="0.35">
      <c r="A1433" s="6">
        <v>18260</v>
      </c>
      <c r="B1433" s="10">
        <v>7.9</v>
      </c>
      <c r="C1433" t="str">
        <f>IF(acs2015_county_data[[#This Row],[Unemployment]]&gt;='Описательные характеристики'!$I$5,"да","нет")</f>
        <v>да</v>
      </c>
    </row>
    <row r="1434" spans="1:3" x14ac:dyDescent="0.35">
      <c r="A1434" s="4">
        <v>12601</v>
      </c>
      <c r="B1434" s="9">
        <v>15.9</v>
      </c>
      <c r="C1434" t="str">
        <f>IF(acs2015_county_data[[#This Row],[Unemployment]]&gt;='Описательные характеристики'!$I$5,"да","нет")</f>
        <v>да</v>
      </c>
    </row>
    <row r="1435" spans="1:3" x14ac:dyDescent="0.35">
      <c r="A1435" s="6">
        <v>15682</v>
      </c>
      <c r="B1435" s="10">
        <v>12.9</v>
      </c>
      <c r="C1435" t="str">
        <f>IF(acs2015_county_data[[#This Row],[Unemployment]]&gt;='Описательные характеристики'!$I$5,"да","нет")</f>
        <v>да</v>
      </c>
    </row>
    <row r="1436" spans="1:3" x14ac:dyDescent="0.35">
      <c r="A1436" s="4">
        <v>20465</v>
      </c>
      <c r="B1436" s="9">
        <v>7.4</v>
      </c>
      <c r="C1436" t="str">
        <f>IF(acs2015_county_data[[#This Row],[Unemployment]]&gt;='Описательные характеристики'!$I$5,"да","нет")</f>
        <v>нет</v>
      </c>
    </row>
    <row r="1437" spans="1:3" x14ac:dyDescent="0.35">
      <c r="A1437" s="6">
        <v>14516</v>
      </c>
      <c r="B1437" s="10">
        <v>10.1</v>
      </c>
      <c r="C1437" t="str">
        <f>IF(acs2015_county_data[[#This Row],[Unemployment]]&gt;='Описательные характеристики'!$I$5,"да","нет")</f>
        <v>да</v>
      </c>
    </row>
    <row r="1438" spans="1:3" x14ac:dyDescent="0.35">
      <c r="A1438" s="4">
        <v>23227</v>
      </c>
      <c r="B1438" s="9">
        <v>8.4</v>
      </c>
      <c r="C1438" t="str">
        <f>IF(acs2015_county_data[[#This Row],[Unemployment]]&gt;='Описательные характеристики'!$I$5,"да","нет")</f>
        <v>да</v>
      </c>
    </row>
    <row r="1439" spans="1:3" x14ac:dyDescent="0.35">
      <c r="A1439" s="6">
        <v>26403</v>
      </c>
      <c r="B1439" s="10">
        <v>8.5</v>
      </c>
      <c r="C1439" t="str">
        <f>IF(acs2015_county_data[[#This Row],[Unemployment]]&gt;='Описательные характеристики'!$I$5,"да","нет")</f>
        <v>да</v>
      </c>
    </row>
    <row r="1440" spans="1:3" x14ac:dyDescent="0.35">
      <c r="A1440" s="4">
        <v>21525</v>
      </c>
      <c r="B1440" s="9">
        <v>9.6</v>
      </c>
      <c r="C1440" t="str">
        <f>IF(acs2015_county_data[[#This Row],[Unemployment]]&gt;='Описательные характеристики'!$I$5,"да","нет")</f>
        <v>да</v>
      </c>
    </row>
    <row r="1441" spans="1:3" x14ac:dyDescent="0.35">
      <c r="A1441" s="6">
        <v>19844</v>
      </c>
      <c r="B1441" s="10">
        <v>10.8</v>
      </c>
      <c r="C1441" t="str">
        <f>IF(acs2015_county_data[[#This Row],[Unemployment]]&gt;='Описательные характеристики'!$I$5,"да","нет")</f>
        <v>да</v>
      </c>
    </row>
    <row r="1442" spans="1:3" x14ac:dyDescent="0.35">
      <c r="A1442" s="4">
        <v>17696</v>
      </c>
      <c r="B1442" s="9">
        <v>10.5</v>
      </c>
      <c r="C1442" t="str">
        <f>IF(acs2015_county_data[[#This Row],[Unemployment]]&gt;='Описательные характеристики'!$I$5,"да","нет")</f>
        <v>да</v>
      </c>
    </row>
    <row r="1443" spans="1:3" x14ac:dyDescent="0.35">
      <c r="A1443" s="6">
        <v>22282</v>
      </c>
      <c r="B1443" s="10">
        <v>7.8</v>
      </c>
      <c r="C1443" t="str">
        <f>IF(acs2015_county_data[[#This Row],[Unemployment]]&gt;='Описательные характеристики'!$I$5,"да","нет")</f>
        <v>да</v>
      </c>
    </row>
    <row r="1444" spans="1:3" x14ac:dyDescent="0.35">
      <c r="A1444" s="4">
        <v>14563</v>
      </c>
      <c r="B1444" s="9">
        <v>16.3</v>
      </c>
      <c r="C1444" t="str">
        <f>IF(acs2015_county_data[[#This Row],[Unemployment]]&gt;='Описательные характеристики'!$I$5,"да","нет")</f>
        <v>да</v>
      </c>
    </row>
    <row r="1445" spans="1:3" x14ac:dyDescent="0.35">
      <c r="A1445" s="6">
        <v>18844</v>
      </c>
      <c r="B1445" s="10">
        <v>7.5</v>
      </c>
      <c r="C1445" t="str">
        <f>IF(acs2015_county_data[[#This Row],[Unemployment]]&gt;='Описательные характеристики'!$I$5,"да","нет")</f>
        <v>нет</v>
      </c>
    </row>
    <row r="1446" spans="1:3" x14ac:dyDescent="0.35">
      <c r="A1446" s="4">
        <v>21410</v>
      </c>
      <c r="B1446" s="9">
        <v>12.6</v>
      </c>
      <c r="C1446" t="str">
        <f>IF(acs2015_county_data[[#This Row],[Unemployment]]&gt;='Описательные характеристики'!$I$5,"да","нет")</f>
        <v>да</v>
      </c>
    </row>
    <row r="1447" spans="1:3" x14ac:dyDescent="0.35">
      <c r="A1447" s="6">
        <v>34478</v>
      </c>
      <c r="B1447" s="10">
        <v>5.4</v>
      </c>
      <c r="C1447" t="str">
        <f>IF(acs2015_county_data[[#This Row],[Unemployment]]&gt;='Описательные характеристики'!$I$5,"да","нет")</f>
        <v>нет</v>
      </c>
    </row>
    <row r="1448" spans="1:3" x14ac:dyDescent="0.35">
      <c r="A1448" s="4">
        <v>19491</v>
      </c>
      <c r="B1448" s="9">
        <v>10.4</v>
      </c>
      <c r="C1448" t="str">
        <f>IF(acs2015_county_data[[#This Row],[Unemployment]]&gt;='Описательные характеристики'!$I$5,"да","нет")</f>
        <v>да</v>
      </c>
    </row>
    <row r="1449" spans="1:3" x14ac:dyDescent="0.35">
      <c r="A1449" s="6">
        <v>19047</v>
      </c>
      <c r="B1449" s="10">
        <v>8.4</v>
      </c>
      <c r="C1449" t="str">
        <f>IF(acs2015_county_data[[#This Row],[Unemployment]]&gt;='Описательные характеристики'!$I$5,"да","нет")</f>
        <v>да</v>
      </c>
    </row>
    <row r="1450" spans="1:3" x14ac:dyDescent="0.35">
      <c r="A1450" s="4">
        <v>19215</v>
      </c>
      <c r="B1450" s="9">
        <v>10.9</v>
      </c>
      <c r="C1450" t="str">
        <f>IF(acs2015_county_data[[#This Row],[Unemployment]]&gt;='Описательные характеристики'!$I$5,"да","нет")</f>
        <v>да</v>
      </c>
    </row>
    <row r="1451" spans="1:3" x14ac:dyDescent="0.35">
      <c r="A1451" s="6">
        <v>17674</v>
      </c>
      <c r="B1451" s="10">
        <v>8.5</v>
      </c>
      <c r="C1451" t="str">
        <f>IF(acs2015_county_data[[#This Row],[Unemployment]]&gt;='Описательные характеристики'!$I$5,"да","нет")</f>
        <v>да</v>
      </c>
    </row>
    <row r="1452" spans="1:3" x14ac:dyDescent="0.35">
      <c r="A1452" s="4">
        <v>18572</v>
      </c>
      <c r="B1452" s="9">
        <v>9.8000000000000007</v>
      </c>
      <c r="C1452" t="str">
        <f>IF(acs2015_county_data[[#This Row],[Unemployment]]&gt;='Описательные характеристики'!$I$5,"да","нет")</f>
        <v>да</v>
      </c>
    </row>
    <row r="1453" spans="1:3" x14ac:dyDescent="0.35">
      <c r="A1453" s="6">
        <v>20413</v>
      </c>
      <c r="B1453" s="10">
        <v>10.6</v>
      </c>
      <c r="C1453" t="str">
        <f>IF(acs2015_county_data[[#This Row],[Unemployment]]&gt;='Описательные характеристики'!$I$5,"да","нет")</f>
        <v>да</v>
      </c>
    </row>
    <row r="1454" spans="1:3" x14ac:dyDescent="0.35">
      <c r="A1454" s="4">
        <v>14450</v>
      </c>
      <c r="B1454" s="9">
        <v>19</v>
      </c>
      <c r="C1454" t="str">
        <f>IF(acs2015_county_data[[#This Row],[Unemployment]]&gt;='Описательные характеристики'!$I$5,"да","нет")</f>
        <v>да</v>
      </c>
    </row>
    <row r="1455" spans="1:3" x14ac:dyDescent="0.35">
      <c r="A1455" s="6">
        <v>20091</v>
      </c>
      <c r="B1455" s="10">
        <v>13.3</v>
      </c>
      <c r="C1455" t="str">
        <f>IF(acs2015_county_data[[#This Row],[Unemployment]]&gt;='Описательные характеристики'!$I$5,"да","нет")</f>
        <v>да</v>
      </c>
    </row>
    <row r="1456" spans="1:3" x14ac:dyDescent="0.35">
      <c r="A1456" s="4">
        <v>19525</v>
      </c>
      <c r="B1456" s="9">
        <v>10.3</v>
      </c>
      <c r="C1456" t="str">
        <f>IF(acs2015_county_data[[#This Row],[Unemployment]]&gt;='Описательные характеристики'!$I$5,"да","нет")</f>
        <v>да</v>
      </c>
    </row>
    <row r="1457" spans="1:3" x14ac:dyDescent="0.35">
      <c r="A1457" s="6">
        <v>19786</v>
      </c>
      <c r="B1457" s="10">
        <v>12.1</v>
      </c>
      <c r="C1457" t="str">
        <f>IF(acs2015_county_data[[#This Row],[Unemployment]]&gt;='Описательные характеристики'!$I$5,"да","нет")</f>
        <v>да</v>
      </c>
    </row>
    <row r="1458" spans="1:3" x14ac:dyDescent="0.35">
      <c r="A1458" s="4">
        <v>17928</v>
      </c>
      <c r="B1458" s="9">
        <v>12.9</v>
      </c>
      <c r="C1458" t="str">
        <f>IF(acs2015_county_data[[#This Row],[Unemployment]]&gt;='Описательные характеристики'!$I$5,"да","нет")</f>
        <v>да</v>
      </c>
    </row>
    <row r="1459" spans="1:3" x14ac:dyDescent="0.35">
      <c r="A1459" s="6">
        <v>17777</v>
      </c>
      <c r="B1459" s="10">
        <v>9.5</v>
      </c>
      <c r="C1459" t="str">
        <f>IF(acs2015_county_data[[#This Row],[Unemployment]]&gt;='Описательные характеристики'!$I$5,"да","нет")</f>
        <v>да</v>
      </c>
    </row>
    <row r="1460" spans="1:3" x14ac:dyDescent="0.35">
      <c r="A1460" s="4">
        <v>19695</v>
      </c>
      <c r="B1460" s="9">
        <v>6.6</v>
      </c>
      <c r="C1460" t="str">
        <f>IF(acs2015_county_data[[#This Row],[Unemployment]]&gt;='Описательные характеристики'!$I$5,"да","нет")</f>
        <v>нет</v>
      </c>
    </row>
    <row r="1461" spans="1:3" x14ac:dyDescent="0.35">
      <c r="A1461" s="6">
        <v>17644</v>
      </c>
      <c r="B1461" s="10">
        <v>10.199999999999999</v>
      </c>
      <c r="C1461" t="str">
        <f>IF(acs2015_county_data[[#This Row],[Unemployment]]&gt;='Описательные характеристики'!$I$5,"да","нет")</f>
        <v>да</v>
      </c>
    </row>
    <row r="1462" spans="1:3" x14ac:dyDescent="0.35">
      <c r="A1462" s="4">
        <v>14503</v>
      </c>
      <c r="B1462" s="9">
        <v>25.3</v>
      </c>
      <c r="C1462" t="str">
        <f>IF(acs2015_county_data[[#This Row],[Unemployment]]&gt;='Описательные характеристики'!$I$5,"да","нет")</f>
        <v>да</v>
      </c>
    </row>
    <row r="1463" spans="1:3" x14ac:dyDescent="0.35">
      <c r="A1463" s="6">
        <v>27389</v>
      </c>
      <c r="B1463" s="10">
        <v>5.4</v>
      </c>
      <c r="C1463" t="str">
        <f>IF(acs2015_county_data[[#This Row],[Unemployment]]&gt;='Описательные характеристики'!$I$5,"да","нет")</f>
        <v>нет</v>
      </c>
    </row>
    <row r="1464" spans="1:3" x14ac:dyDescent="0.35">
      <c r="A1464" s="4">
        <v>17256</v>
      </c>
      <c r="B1464" s="9">
        <v>13.1</v>
      </c>
      <c r="C1464" t="str">
        <f>IF(acs2015_county_data[[#This Row],[Unemployment]]&gt;='Описательные характеристики'!$I$5,"да","нет")</f>
        <v>да</v>
      </c>
    </row>
    <row r="1465" spans="1:3" x14ac:dyDescent="0.35">
      <c r="A1465" s="6">
        <v>15993</v>
      </c>
      <c r="B1465" s="10">
        <v>22.1</v>
      </c>
      <c r="C1465" t="str">
        <f>IF(acs2015_county_data[[#This Row],[Unemployment]]&gt;='Описательные характеристики'!$I$5,"да","нет")</f>
        <v>да</v>
      </c>
    </row>
    <row r="1466" spans="1:3" x14ac:dyDescent="0.35">
      <c r="A1466" s="4">
        <v>17412</v>
      </c>
      <c r="B1466" s="9">
        <v>10.9</v>
      </c>
      <c r="C1466" t="str">
        <f>IF(acs2015_county_data[[#This Row],[Unemployment]]&gt;='Описательные характеристики'!$I$5,"да","нет")</f>
        <v>да</v>
      </c>
    </row>
    <row r="1467" spans="1:3" x14ac:dyDescent="0.35">
      <c r="A1467" s="6">
        <v>21050</v>
      </c>
      <c r="B1467" s="10">
        <v>4.8</v>
      </c>
      <c r="C1467" t="str">
        <f>IF(acs2015_county_data[[#This Row],[Unemployment]]&gt;='Описательные характеристики'!$I$5,"да","нет")</f>
        <v>нет</v>
      </c>
    </row>
    <row r="1468" spans="1:3" x14ac:dyDescent="0.35">
      <c r="A1468" s="4">
        <v>19484</v>
      </c>
      <c r="B1468" s="9">
        <v>9.6999999999999993</v>
      </c>
      <c r="C1468" t="str">
        <f>IF(acs2015_county_data[[#This Row],[Unemployment]]&gt;='Описательные характеристики'!$I$5,"да","нет")</f>
        <v>да</v>
      </c>
    </row>
    <row r="1469" spans="1:3" x14ac:dyDescent="0.35">
      <c r="A1469" s="6">
        <v>13718</v>
      </c>
      <c r="B1469" s="10">
        <v>20.100000000000001</v>
      </c>
      <c r="C1469" t="str">
        <f>IF(acs2015_county_data[[#This Row],[Unemployment]]&gt;='Описательные характеристики'!$I$5,"да","нет")</f>
        <v>да</v>
      </c>
    </row>
    <row r="1470" spans="1:3" x14ac:dyDescent="0.35">
      <c r="A1470" s="4">
        <v>13819</v>
      </c>
      <c r="B1470" s="9">
        <v>19</v>
      </c>
      <c r="C1470" t="str">
        <f>IF(acs2015_county_data[[#This Row],[Unemployment]]&gt;='Описательные характеристики'!$I$5,"да","нет")</f>
        <v>да</v>
      </c>
    </row>
    <row r="1471" spans="1:3" x14ac:dyDescent="0.35">
      <c r="A1471" s="6">
        <v>21547</v>
      </c>
      <c r="B1471" s="10">
        <v>10</v>
      </c>
      <c r="C1471" t="str">
        <f>IF(acs2015_county_data[[#This Row],[Unemployment]]&gt;='Описательные характеристики'!$I$5,"да","нет")</f>
        <v>да</v>
      </c>
    </row>
    <row r="1472" spans="1:3" x14ac:dyDescent="0.35">
      <c r="A1472" s="4">
        <v>20012</v>
      </c>
      <c r="B1472" s="9">
        <v>12.2</v>
      </c>
      <c r="C1472" t="str">
        <f>IF(acs2015_county_data[[#This Row],[Unemployment]]&gt;='Описательные характеристики'!$I$5,"да","нет")</f>
        <v>да</v>
      </c>
    </row>
    <row r="1473" spans="1:3" x14ac:dyDescent="0.35">
      <c r="A1473" s="6">
        <v>18881</v>
      </c>
      <c r="B1473" s="10">
        <v>10.5</v>
      </c>
      <c r="C1473" t="str">
        <f>IF(acs2015_county_data[[#This Row],[Unemployment]]&gt;='Описательные характеристики'!$I$5,"да","нет")</f>
        <v>да</v>
      </c>
    </row>
    <row r="1474" spans="1:3" x14ac:dyDescent="0.35">
      <c r="A1474" s="4">
        <v>17246</v>
      </c>
      <c r="B1474" s="9">
        <v>12.4</v>
      </c>
      <c r="C1474" t="str">
        <f>IF(acs2015_county_data[[#This Row],[Unemployment]]&gt;='Описательные характеристики'!$I$5,"да","нет")</f>
        <v>да</v>
      </c>
    </row>
    <row r="1475" spans="1:3" x14ac:dyDescent="0.35">
      <c r="A1475" s="6">
        <v>18889</v>
      </c>
      <c r="B1475" s="10">
        <v>10.7</v>
      </c>
      <c r="C1475" t="str">
        <f>IF(acs2015_county_data[[#This Row],[Unemployment]]&gt;='Описательные характеристики'!$I$5,"да","нет")</f>
        <v>да</v>
      </c>
    </row>
    <row r="1476" spans="1:3" x14ac:dyDescent="0.35">
      <c r="A1476" s="4">
        <v>17872</v>
      </c>
      <c r="B1476" s="9">
        <v>11.1</v>
      </c>
      <c r="C1476" t="str">
        <f>IF(acs2015_county_data[[#This Row],[Unemployment]]&gt;='Описательные характеристики'!$I$5,"да","нет")</f>
        <v>да</v>
      </c>
    </row>
    <row r="1477" spans="1:3" x14ac:dyDescent="0.35">
      <c r="A1477" s="6">
        <v>22417</v>
      </c>
      <c r="B1477" s="10">
        <v>8</v>
      </c>
      <c r="C1477" t="str">
        <f>IF(acs2015_county_data[[#This Row],[Unemployment]]&gt;='Описательные характеристики'!$I$5,"да","нет")</f>
        <v>да</v>
      </c>
    </row>
    <row r="1478" spans="1:3" x14ac:dyDescent="0.35">
      <c r="A1478" s="4">
        <v>17160</v>
      </c>
      <c r="B1478" s="9">
        <v>21.7</v>
      </c>
      <c r="C1478" t="str">
        <f>IF(acs2015_county_data[[#This Row],[Unemployment]]&gt;='Описательные характеристики'!$I$5,"да","нет")</f>
        <v>да</v>
      </c>
    </row>
    <row r="1479" spans="1:3" x14ac:dyDescent="0.35">
      <c r="A1479" s="6">
        <v>20231</v>
      </c>
      <c r="B1479" s="10">
        <v>9.4</v>
      </c>
      <c r="C1479" t="str">
        <f>IF(acs2015_county_data[[#This Row],[Unemployment]]&gt;='Описательные характеристики'!$I$5,"да","нет")</f>
        <v>да</v>
      </c>
    </row>
    <row r="1480" spans="1:3" x14ac:dyDescent="0.35">
      <c r="A1480" s="4">
        <v>19938</v>
      </c>
      <c r="B1480" s="9">
        <v>11.2</v>
      </c>
      <c r="C1480" t="str">
        <f>IF(acs2015_county_data[[#This Row],[Unemployment]]&gt;='Описательные характеристики'!$I$5,"да","нет")</f>
        <v>да</v>
      </c>
    </row>
    <row r="1481" spans="1:3" x14ac:dyDescent="0.35">
      <c r="A1481" s="6">
        <v>15307</v>
      </c>
      <c r="B1481" s="10">
        <v>9.6999999999999993</v>
      </c>
      <c r="C1481" t="str">
        <f>IF(acs2015_county_data[[#This Row],[Unemployment]]&gt;='Описательные характеристики'!$I$5,"да","нет")</f>
        <v>да</v>
      </c>
    </row>
    <row r="1482" spans="1:3" x14ac:dyDescent="0.35">
      <c r="A1482" s="4">
        <v>19199</v>
      </c>
      <c r="B1482" s="9">
        <v>12.3</v>
      </c>
      <c r="C1482" t="str">
        <f>IF(acs2015_county_data[[#This Row],[Unemployment]]&gt;='Описательные характеристики'!$I$5,"да","нет")</f>
        <v>да</v>
      </c>
    </row>
    <row r="1483" spans="1:3" x14ac:dyDescent="0.35">
      <c r="A1483" s="6">
        <v>19679</v>
      </c>
      <c r="B1483" s="10">
        <v>5.7</v>
      </c>
      <c r="C1483" t="str">
        <f>IF(acs2015_county_data[[#This Row],[Unemployment]]&gt;='Описательные характеристики'!$I$5,"да","нет")</f>
        <v>нет</v>
      </c>
    </row>
    <row r="1484" spans="1:3" x14ac:dyDescent="0.35">
      <c r="A1484" s="4">
        <v>14934</v>
      </c>
      <c r="B1484" s="9">
        <v>19.8</v>
      </c>
      <c r="C1484" t="str">
        <f>IF(acs2015_county_data[[#This Row],[Unemployment]]&gt;='Описательные характеристики'!$I$5,"да","нет")</f>
        <v>да</v>
      </c>
    </row>
    <row r="1485" spans="1:3" x14ac:dyDescent="0.35">
      <c r="A1485" s="6">
        <v>19671</v>
      </c>
      <c r="B1485" s="10">
        <v>7.9</v>
      </c>
      <c r="C1485" t="str">
        <f>IF(acs2015_county_data[[#This Row],[Unemployment]]&gt;='Описательные характеристики'!$I$5,"да","нет")</f>
        <v>да</v>
      </c>
    </row>
    <row r="1486" spans="1:3" x14ac:dyDescent="0.35">
      <c r="A1486" s="4">
        <v>26778</v>
      </c>
      <c r="B1486" s="9">
        <v>5</v>
      </c>
      <c r="C1486" t="str">
        <f>IF(acs2015_county_data[[#This Row],[Unemployment]]&gt;='Описательные характеристики'!$I$5,"да","нет")</f>
        <v>нет</v>
      </c>
    </row>
    <row r="1487" spans="1:3" x14ac:dyDescent="0.35">
      <c r="A1487" s="6">
        <v>26069</v>
      </c>
      <c r="B1487" s="10">
        <v>4.3</v>
      </c>
      <c r="C1487" t="str">
        <f>IF(acs2015_county_data[[#This Row],[Unemployment]]&gt;='Описательные характеристики'!$I$5,"да","нет")</f>
        <v>нет</v>
      </c>
    </row>
    <row r="1488" spans="1:3" x14ac:dyDescent="0.35">
      <c r="A1488" s="4">
        <v>18934</v>
      </c>
      <c r="B1488" s="9">
        <v>8.8000000000000007</v>
      </c>
      <c r="C1488" t="str">
        <f>IF(acs2015_county_data[[#This Row],[Unemployment]]&gt;='Описательные характеристики'!$I$5,"да","нет")</f>
        <v>да</v>
      </c>
    </row>
    <row r="1489" spans="1:3" x14ac:dyDescent="0.35">
      <c r="A1489" s="6">
        <v>19313</v>
      </c>
      <c r="B1489" s="10">
        <v>11.4</v>
      </c>
      <c r="C1489" t="str">
        <f>IF(acs2015_county_data[[#This Row],[Unemployment]]&gt;='Описательные характеристики'!$I$5,"да","нет")</f>
        <v>да</v>
      </c>
    </row>
    <row r="1490" spans="1:3" x14ac:dyDescent="0.35">
      <c r="A1490" s="4">
        <v>20780</v>
      </c>
      <c r="B1490" s="9">
        <v>6.5</v>
      </c>
      <c r="C1490" t="str">
        <f>IF(acs2015_county_data[[#This Row],[Unemployment]]&gt;='Описательные характеристики'!$I$5,"да","нет")</f>
        <v>нет</v>
      </c>
    </row>
    <row r="1491" spans="1:3" x14ac:dyDescent="0.35">
      <c r="A1491" s="6">
        <v>21715</v>
      </c>
      <c r="B1491" s="10">
        <v>6.6</v>
      </c>
      <c r="C1491" t="str">
        <f>IF(acs2015_county_data[[#This Row],[Unemployment]]&gt;='Описательные характеристики'!$I$5,"да","нет")</f>
        <v>нет</v>
      </c>
    </row>
    <row r="1492" spans="1:3" x14ac:dyDescent="0.35">
      <c r="A1492" s="4">
        <v>19122</v>
      </c>
      <c r="B1492" s="9">
        <v>10.199999999999999</v>
      </c>
      <c r="C1492" t="str">
        <f>IF(acs2015_county_data[[#This Row],[Unemployment]]&gt;='Описательные характеристики'!$I$5,"да","нет")</f>
        <v>да</v>
      </c>
    </row>
    <row r="1493" spans="1:3" x14ac:dyDescent="0.35">
      <c r="A1493" s="6">
        <v>19605</v>
      </c>
      <c r="B1493" s="10">
        <v>4</v>
      </c>
      <c r="C1493" t="str">
        <f>IF(acs2015_county_data[[#This Row],[Unemployment]]&gt;='Описательные характеристики'!$I$5,"да","нет")</f>
        <v>нет</v>
      </c>
    </row>
    <row r="1494" spans="1:3" x14ac:dyDescent="0.35">
      <c r="A1494" s="4">
        <v>27150</v>
      </c>
      <c r="B1494" s="9">
        <v>5</v>
      </c>
      <c r="C1494" t="str">
        <f>IF(acs2015_county_data[[#This Row],[Unemployment]]&gt;='Описательные характеристики'!$I$5,"да","нет")</f>
        <v>нет</v>
      </c>
    </row>
    <row r="1495" spans="1:3" x14ac:dyDescent="0.35">
      <c r="A1495" s="6">
        <v>22218</v>
      </c>
      <c r="B1495" s="10">
        <v>7.5</v>
      </c>
      <c r="C1495" t="str">
        <f>IF(acs2015_county_data[[#This Row],[Unemployment]]&gt;='Описательные характеристики'!$I$5,"да","нет")</f>
        <v>нет</v>
      </c>
    </row>
    <row r="1496" spans="1:3" x14ac:dyDescent="0.35">
      <c r="A1496" s="4">
        <v>19473</v>
      </c>
      <c r="B1496" s="9">
        <v>9.4</v>
      </c>
      <c r="C1496" t="str">
        <f>IF(acs2015_county_data[[#This Row],[Unemployment]]&gt;='Описательные характеристики'!$I$5,"да","нет")</f>
        <v>да</v>
      </c>
    </row>
    <row r="1497" spans="1:3" x14ac:dyDescent="0.35">
      <c r="A1497" s="6">
        <v>23082</v>
      </c>
      <c r="B1497" s="10">
        <v>5.2</v>
      </c>
      <c r="C1497" t="str">
        <f>IF(acs2015_county_data[[#This Row],[Unemployment]]&gt;='Описательные характеристики'!$I$5,"да","нет")</f>
        <v>нет</v>
      </c>
    </row>
    <row r="1498" spans="1:3" x14ac:dyDescent="0.35">
      <c r="A1498" s="4">
        <v>22520</v>
      </c>
      <c r="B1498" s="9">
        <v>5.0999999999999996</v>
      </c>
      <c r="C1498" t="str">
        <f>IF(acs2015_county_data[[#This Row],[Unemployment]]&gt;='Описательные характеристики'!$I$5,"да","нет")</f>
        <v>нет</v>
      </c>
    </row>
    <row r="1499" spans="1:3" x14ac:dyDescent="0.35">
      <c r="A1499" s="6">
        <v>23996</v>
      </c>
      <c r="B1499" s="10">
        <v>9.1</v>
      </c>
      <c r="C1499" t="str">
        <f>IF(acs2015_county_data[[#This Row],[Unemployment]]&gt;='Описательные характеристики'!$I$5,"да","нет")</f>
        <v>да</v>
      </c>
    </row>
    <row r="1500" spans="1:3" x14ac:dyDescent="0.35">
      <c r="A1500" s="4">
        <v>24479</v>
      </c>
      <c r="B1500" s="9">
        <v>6.3</v>
      </c>
      <c r="C1500" t="str">
        <f>IF(acs2015_county_data[[#This Row],[Unemployment]]&gt;='Описательные характеристики'!$I$5,"да","нет")</f>
        <v>нет</v>
      </c>
    </row>
    <row r="1501" spans="1:3" x14ac:dyDescent="0.35">
      <c r="A1501" s="6">
        <v>23403</v>
      </c>
      <c r="B1501" s="10">
        <v>8.9</v>
      </c>
      <c r="C1501" t="str">
        <f>IF(acs2015_county_data[[#This Row],[Unemployment]]&gt;='Описательные характеристики'!$I$5,"да","нет")</f>
        <v>да</v>
      </c>
    </row>
    <row r="1502" spans="1:3" x14ac:dyDescent="0.35">
      <c r="A1502" s="4">
        <v>20318</v>
      </c>
      <c r="B1502" s="9">
        <v>9.6999999999999993</v>
      </c>
      <c r="C1502" t="str">
        <f>IF(acs2015_county_data[[#This Row],[Unemployment]]&gt;='Описательные характеристики'!$I$5,"да","нет")</f>
        <v>да</v>
      </c>
    </row>
    <row r="1503" spans="1:3" x14ac:dyDescent="0.35">
      <c r="A1503" s="6">
        <v>28398</v>
      </c>
      <c r="B1503" s="10">
        <v>6.7</v>
      </c>
      <c r="C1503" t="str">
        <f>IF(acs2015_county_data[[#This Row],[Unemployment]]&gt;='Описательные характеристики'!$I$5,"да","нет")</f>
        <v>нет</v>
      </c>
    </row>
    <row r="1504" spans="1:3" x14ac:dyDescent="0.35">
      <c r="A1504" s="4">
        <v>18255</v>
      </c>
      <c r="B1504" s="9">
        <v>10.5</v>
      </c>
      <c r="C1504" t="str">
        <f>IF(acs2015_county_data[[#This Row],[Unemployment]]&gt;='Описательные характеристики'!$I$5,"да","нет")</f>
        <v>да</v>
      </c>
    </row>
    <row r="1505" spans="1:3" x14ac:dyDescent="0.35">
      <c r="A1505" s="6">
        <v>20953</v>
      </c>
      <c r="B1505" s="10">
        <v>3.8</v>
      </c>
      <c r="C1505" t="str">
        <f>IF(acs2015_county_data[[#This Row],[Unemployment]]&gt;='Описательные характеристики'!$I$5,"да","нет")</f>
        <v>нет</v>
      </c>
    </row>
    <row r="1506" spans="1:3" x14ac:dyDescent="0.35">
      <c r="A1506" s="4">
        <v>24730</v>
      </c>
      <c r="B1506" s="9">
        <v>6.4</v>
      </c>
      <c r="C1506" t="str">
        <f>IF(acs2015_county_data[[#This Row],[Unemployment]]&gt;='Описательные характеристики'!$I$5,"да","нет")</f>
        <v>нет</v>
      </c>
    </row>
    <row r="1507" spans="1:3" x14ac:dyDescent="0.35">
      <c r="A1507" s="6">
        <v>23463</v>
      </c>
      <c r="B1507" s="10">
        <v>4.5</v>
      </c>
      <c r="C1507" t="str">
        <f>IF(acs2015_county_data[[#This Row],[Unemployment]]&gt;='Описательные характеристики'!$I$5,"да","нет")</f>
        <v>нет</v>
      </c>
    </row>
    <row r="1508" spans="1:3" x14ac:dyDescent="0.35">
      <c r="A1508" s="4">
        <v>29793</v>
      </c>
      <c r="B1508" s="9">
        <v>6.1</v>
      </c>
      <c r="C1508" t="str">
        <f>IF(acs2015_county_data[[#This Row],[Unemployment]]&gt;='Описательные характеристики'!$I$5,"да","нет")</f>
        <v>нет</v>
      </c>
    </row>
    <row r="1509" spans="1:3" x14ac:dyDescent="0.35">
      <c r="A1509" s="6">
        <v>25500</v>
      </c>
      <c r="B1509" s="10">
        <v>5.8</v>
      </c>
      <c r="C1509" t="str">
        <f>IF(acs2015_county_data[[#This Row],[Unemployment]]&gt;='Описательные характеристики'!$I$5,"да","нет")</f>
        <v>нет</v>
      </c>
    </row>
    <row r="1510" spans="1:3" x14ac:dyDescent="0.35">
      <c r="A1510" s="4">
        <v>26014</v>
      </c>
      <c r="B1510" s="9">
        <v>4.9000000000000004</v>
      </c>
      <c r="C1510" t="str">
        <f>IF(acs2015_county_data[[#This Row],[Unemployment]]&gt;='Описательные характеристики'!$I$5,"да","нет")</f>
        <v>нет</v>
      </c>
    </row>
    <row r="1511" spans="1:3" x14ac:dyDescent="0.35">
      <c r="A1511" s="6">
        <v>23252</v>
      </c>
      <c r="B1511" s="10">
        <v>5.7</v>
      </c>
      <c r="C1511" t="str">
        <f>IF(acs2015_county_data[[#This Row],[Unemployment]]&gt;='Описательные характеристики'!$I$5,"да","нет")</f>
        <v>нет</v>
      </c>
    </row>
    <row r="1512" spans="1:3" x14ac:dyDescent="0.35">
      <c r="A1512" s="4">
        <v>19017</v>
      </c>
      <c r="B1512" s="9">
        <v>12.7</v>
      </c>
      <c r="C1512" t="str">
        <f>IF(acs2015_county_data[[#This Row],[Unemployment]]&gt;='Описательные характеристики'!$I$5,"да","нет")</f>
        <v>да</v>
      </c>
    </row>
    <row r="1513" spans="1:3" x14ac:dyDescent="0.35">
      <c r="A1513" s="6">
        <v>20828</v>
      </c>
      <c r="B1513" s="10">
        <v>7.9</v>
      </c>
      <c r="C1513" t="str">
        <f>IF(acs2015_county_data[[#This Row],[Unemployment]]&gt;='Описательные характеристики'!$I$5,"да","нет")</f>
        <v>да</v>
      </c>
    </row>
    <row r="1514" spans="1:3" x14ac:dyDescent="0.35">
      <c r="A1514" s="4">
        <v>17494</v>
      </c>
      <c r="B1514" s="9">
        <v>13.2</v>
      </c>
      <c r="C1514" t="str">
        <f>IF(acs2015_county_data[[#This Row],[Unemployment]]&gt;='Описательные характеристики'!$I$5,"да","нет")</f>
        <v>да</v>
      </c>
    </row>
    <row r="1515" spans="1:3" x14ac:dyDescent="0.35">
      <c r="A1515" s="6">
        <v>19208</v>
      </c>
      <c r="B1515" s="10">
        <v>5.7</v>
      </c>
      <c r="C1515" t="str">
        <f>IF(acs2015_county_data[[#This Row],[Unemployment]]&gt;='Описательные характеристики'!$I$5,"да","нет")</f>
        <v>нет</v>
      </c>
    </row>
    <row r="1516" spans="1:3" x14ac:dyDescent="0.35">
      <c r="A1516" s="4">
        <v>17125</v>
      </c>
      <c r="B1516" s="9">
        <v>6.8</v>
      </c>
      <c r="C1516" t="str">
        <f>IF(acs2015_county_data[[#This Row],[Unemployment]]&gt;='Описательные характеристики'!$I$5,"да","нет")</f>
        <v>нет</v>
      </c>
    </row>
    <row r="1517" spans="1:3" x14ac:dyDescent="0.35">
      <c r="A1517" s="6">
        <v>19747</v>
      </c>
      <c r="B1517" s="10">
        <v>9.1999999999999993</v>
      </c>
      <c r="C1517" t="str">
        <f>IF(acs2015_county_data[[#This Row],[Unemployment]]&gt;='Описательные характеристики'!$I$5,"да","нет")</f>
        <v>да</v>
      </c>
    </row>
    <row r="1518" spans="1:3" x14ac:dyDescent="0.35">
      <c r="A1518" s="4">
        <v>17343</v>
      </c>
      <c r="B1518" s="9">
        <v>9</v>
      </c>
      <c r="C1518" t="str">
        <f>IF(acs2015_county_data[[#This Row],[Unemployment]]&gt;='Описательные характеристики'!$I$5,"да","нет")</f>
        <v>да</v>
      </c>
    </row>
    <row r="1519" spans="1:3" x14ac:dyDescent="0.35">
      <c r="A1519" s="6">
        <v>18009</v>
      </c>
      <c r="B1519" s="10">
        <v>8.1</v>
      </c>
      <c r="C1519" t="str">
        <f>IF(acs2015_county_data[[#This Row],[Unemployment]]&gt;='Описательные характеристики'!$I$5,"да","нет")</f>
        <v>да</v>
      </c>
    </row>
    <row r="1520" spans="1:3" x14ac:dyDescent="0.35">
      <c r="A1520" s="4">
        <v>25241</v>
      </c>
      <c r="B1520" s="9">
        <v>7.2</v>
      </c>
      <c r="C1520" t="str">
        <f>IF(acs2015_county_data[[#This Row],[Unemployment]]&gt;='Описательные характеристики'!$I$5,"да","нет")</f>
        <v>нет</v>
      </c>
    </row>
    <row r="1521" spans="1:3" x14ac:dyDescent="0.35">
      <c r="A1521" s="6">
        <v>22845</v>
      </c>
      <c r="B1521" s="10">
        <v>6.1</v>
      </c>
      <c r="C1521" t="str">
        <f>IF(acs2015_county_data[[#This Row],[Unemployment]]&gt;='Описательные характеристики'!$I$5,"да","нет")</f>
        <v>нет</v>
      </c>
    </row>
    <row r="1522" spans="1:3" x14ac:dyDescent="0.35">
      <c r="A1522" s="4">
        <v>20687</v>
      </c>
      <c r="B1522" s="9">
        <v>6.3</v>
      </c>
      <c r="C1522" t="str">
        <f>IF(acs2015_county_data[[#This Row],[Unemployment]]&gt;='Описательные характеристики'!$I$5,"да","нет")</f>
        <v>нет</v>
      </c>
    </row>
    <row r="1523" spans="1:3" x14ac:dyDescent="0.35">
      <c r="A1523" s="6">
        <v>24097</v>
      </c>
      <c r="B1523" s="10">
        <v>6.8</v>
      </c>
      <c r="C1523" t="str">
        <f>IF(acs2015_county_data[[#This Row],[Unemployment]]&gt;='Описательные характеристики'!$I$5,"да","нет")</f>
        <v>нет</v>
      </c>
    </row>
    <row r="1524" spans="1:3" x14ac:dyDescent="0.35">
      <c r="A1524" s="4">
        <v>19365</v>
      </c>
      <c r="B1524" s="9">
        <v>4.5</v>
      </c>
      <c r="C1524" t="str">
        <f>IF(acs2015_county_data[[#This Row],[Unemployment]]&gt;='Описательные характеристики'!$I$5,"да","нет")</f>
        <v>нет</v>
      </c>
    </row>
    <row r="1525" spans="1:3" x14ac:dyDescent="0.35">
      <c r="A1525" s="6">
        <v>19906</v>
      </c>
      <c r="B1525" s="10">
        <v>5.8</v>
      </c>
      <c r="C1525" t="str">
        <f>IF(acs2015_county_data[[#This Row],[Unemployment]]&gt;='Описательные характеристики'!$I$5,"да","нет")</f>
        <v>нет</v>
      </c>
    </row>
    <row r="1526" spans="1:3" x14ac:dyDescent="0.35">
      <c r="A1526" s="4">
        <v>23961</v>
      </c>
      <c r="B1526" s="9">
        <v>7.4</v>
      </c>
      <c r="C1526" t="str">
        <f>IF(acs2015_county_data[[#This Row],[Unemployment]]&gt;='Описательные характеристики'!$I$5,"да","нет")</f>
        <v>нет</v>
      </c>
    </row>
    <row r="1527" spans="1:3" x14ac:dyDescent="0.35">
      <c r="A1527" s="6">
        <v>18153</v>
      </c>
      <c r="B1527" s="10">
        <v>12.6</v>
      </c>
      <c r="C1527" t="str">
        <f>IF(acs2015_county_data[[#This Row],[Unemployment]]&gt;='Описательные характеристики'!$I$5,"да","нет")</f>
        <v>да</v>
      </c>
    </row>
    <row r="1528" spans="1:3" x14ac:dyDescent="0.35">
      <c r="A1528" s="4">
        <v>25319</v>
      </c>
      <c r="B1528" s="9">
        <v>5.2</v>
      </c>
      <c r="C1528" t="str">
        <f>IF(acs2015_county_data[[#This Row],[Unemployment]]&gt;='Описательные характеристики'!$I$5,"да","нет")</f>
        <v>нет</v>
      </c>
    </row>
    <row r="1529" spans="1:3" x14ac:dyDescent="0.35">
      <c r="A1529" s="6">
        <v>22158</v>
      </c>
      <c r="B1529" s="10">
        <v>6.3</v>
      </c>
      <c r="C1529" t="str">
        <f>IF(acs2015_county_data[[#This Row],[Unemployment]]&gt;='Описательные характеристики'!$I$5,"да","нет")</f>
        <v>нет</v>
      </c>
    </row>
    <row r="1530" spans="1:3" x14ac:dyDescent="0.35">
      <c r="A1530" s="4">
        <v>18817</v>
      </c>
      <c r="B1530" s="9">
        <v>8.3000000000000007</v>
      </c>
      <c r="C1530" t="str">
        <f>IF(acs2015_county_data[[#This Row],[Unemployment]]&gt;='Описательные характеристики'!$I$5,"да","нет")</f>
        <v>да</v>
      </c>
    </row>
    <row r="1531" spans="1:3" x14ac:dyDescent="0.35">
      <c r="A1531" s="6">
        <v>19559</v>
      </c>
      <c r="B1531" s="10">
        <v>11.4</v>
      </c>
      <c r="C1531" t="str">
        <f>IF(acs2015_county_data[[#This Row],[Unemployment]]&gt;='Описательные характеристики'!$I$5,"да","нет")</f>
        <v>да</v>
      </c>
    </row>
    <row r="1532" spans="1:3" x14ac:dyDescent="0.35">
      <c r="A1532" s="4">
        <v>26629</v>
      </c>
      <c r="B1532" s="9">
        <v>7.6</v>
      </c>
      <c r="C1532" t="str">
        <f>IF(acs2015_county_data[[#This Row],[Unemployment]]&gt;='Описательные характеристики'!$I$5,"да","нет")</f>
        <v>да</v>
      </c>
    </row>
    <row r="1533" spans="1:3" x14ac:dyDescent="0.35">
      <c r="A1533" s="6">
        <v>22431</v>
      </c>
      <c r="B1533" s="10">
        <v>6</v>
      </c>
      <c r="C1533" t="str">
        <f>IF(acs2015_county_data[[#This Row],[Unemployment]]&gt;='Описательные характеристики'!$I$5,"да","нет")</f>
        <v>нет</v>
      </c>
    </row>
    <row r="1534" spans="1:3" x14ac:dyDescent="0.35">
      <c r="A1534" s="4">
        <v>25247</v>
      </c>
      <c r="B1534" s="9">
        <v>8.3000000000000007</v>
      </c>
      <c r="C1534" t="str">
        <f>IF(acs2015_county_data[[#This Row],[Unemployment]]&gt;='Описательные характеристики'!$I$5,"да","нет")</f>
        <v>да</v>
      </c>
    </row>
    <row r="1535" spans="1:3" x14ac:dyDescent="0.35">
      <c r="A1535" s="6">
        <v>22722</v>
      </c>
      <c r="B1535" s="10">
        <v>8</v>
      </c>
      <c r="C1535" t="str">
        <f>IF(acs2015_county_data[[#This Row],[Unemployment]]&gt;='Описательные характеристики'!$I$5,"да","нет")</f>
        <v>да</v>
      </c>
    </row>
    <row r="1536" spans="1:3" x14ac:dyDescent="0.35">
      <c r="A1536" s="4">
        <v>22397</v>
      </c>
      <c r="B1536" s="9">
        <v>7.4</v>
      </c>
      <c r="C1536" t="str">
        <f>IF(acs2015_county_data[[#This Row],[Unemployment]]&gt;='Описательные характеристики'!$I$5,"да","нет")</f>
        <v>нет</v>
      </c>
    </row>
    <row r="1537" spans="1:3" x14ac:dyDescent="0.35">
      <c r="A1537" s="6">
        <v>19567</v>
      </c>
      <c r="B1537" s="10">
        <v>8.8000000000000007</v>
      </c>
      <c r="C1537" t="str">
        <f>IF(acs2015_county_data[[#This Row],[Unemployment]]&gt;='Описательные характеристики'!$I$5,"да","нет")</f>
        <v>да</v>
      </c>
    </row>
    <row r="1538" spans="1:3" x14ac:dyDescent="0.35">
      <c r="A1538" s="4">
        <v>24266</v>
      </c>
      <c r="B1538" s="9">
        <v>6.9</v>
      </c>
      <c r="C1538" t="str">
        <f>IF(acs2015_county_data[[#This Row],[Unemployment]]&gt;='Описательные характеристики'!$I$5,"да","нет")</f>
        <v>нет</v>
      </c>
    </row>
    <row r="1539" spans="1:3" x14ac:dyDescent="0.35">
      <c r="A1539" s="6">
        <v>19508</v>
      </c>
      <c r="B1539" s="10">
        <v>7</v>
      </c>
      <c r="C1539" t="str">
        <f>IF(acs2015_county_data[[#This Row],[Unemployment]]&gt;='Описательные характеристики'!$I$5,"да","нет")</f>
        <v>нет</v>
      </c>
    </row>
    <row r="1540" spans="1:3" x14ac:dyDescent="0.35">
      <c r="A1540" s="4">
        <v>20042</v>
      </c>
      <c r="B1540" s="9">
        <v>5.6</v>
      </c>
      <c r="C1540" t="str">
        <f>IF(acs2015_county_data[[#This Row],[Unemployment]]&gt;='Описательные характеристики'!$I$5,"да","нет")</f>
        <v>нет</v>
      </c>
    </row>
    <row r="1541" spans="1:3" x14ac:dyDescent="0.35">
      <c r="A1541" s="6">
        <v>22232</v>
      </c>
      <c r="B1541" s="10">
        <v>9.5</v>
      </c>
      <c r="C1541" t="str">
        <f>IF(acs2015_county_data[[#This Row],[Unemployment]]&gt;='Описательные характеристики'!$I$5,"да","нет")</f>
        <v>да</v>
      </c>
    </row>
    <row r="1542" spans="1:3" x14ac:dyDescent="0.35">
      <c r="A1542" s="4">
        <v>19889</v>
      </c>
      <c r="B1542" s="9">
        <v>4.5</v>
      </c>
      <c r="C1542" t="str">
        <f>IF(acs2015_county_data[[#This Row],[Unemployment]]&gt;='Описательные характеристики'!$I$5,"да","нет")</f>
        <v>нет</v>
      </c>
    </row>
    <row r="1543" spans="1:3" x14ac:dyDescent="0.35">
      <c r="A1543" s="6">
        <v>22557</v>
      </c>
      <c r="B1543" s="10">
        <v>5.0999999999999996</v>
      </c>
      <c r="C1543" t="str">
        <f>IF(acs2015_county_data[[#This Row],[Unemployment]]&gt;='Описательные характеристики'!$I$5,"да","нет")</f>
        <v>нет</v>
      </c>
    </row>
    <row r="1544" spans="1:3" x14ac:dyDescent="0.35">
      <c r="A1544" s="4">
        <v>18498</v>
      </c>
      <c r="B1544" s="9">
        <v>8.6999999999999993</v>
      </c>
      <c r="C1544" t="str">
        <f>IF(acs2015_county_data[[#This Row],[Unemployment]]&gt;='Описательные характеристики'!$I$5,"да","нет")</f>
        <v>да</v>
      </c>
    </row>
    <row r="1545" spans="1:3" x14ac:dyDescent="0.35">
      <c r="A1545" s="6">
        <v>19738</v>
      </c>
      <c r="B1545" s="10">
        <v>8.6999999999999993</v>
      </c>
      <c r="C1545" t="str">
        <f>IF(acs2015_county_data[[#This Row],[Unemployment]]&gt;='Описательные характеристики'!$I$5,"да","нет")</f>
        <v>да</v>
      </c>
    </row>
    <row r="1546" spans="1:3" x14ac:dyDescent="0.35">
      <c r="A1546" s="4">
        <v>17179</v>
      </c>
      <c r="B1546" s="9">
        <v>10.199999999999999</v>
      </c>
      <c r="C1546" t="str">
        <f>IF(acs2015_county_data[[#This Row],[Unemployment]]&gt;='Описательные характеристики'!$I$5,"да","нет")</f>
        <v>да</v>
      </c>
    </row>
    <row r="1547" spans="1:3" x14ac:dyDescent="0.35">
      <c r="A1547" s="6">
        <v>20731</v>
      </c>
      <c r="B1547" s="10">
        <v>10</v>
      </c>
      <c r="C1547" t="str">
        <f>IF(acs2015_county_data[[#This Row],[Unemployment]]&gt;='Описательные характеристики'!$I$5,"да","нет")</f>
        <v>да</v>
      </c>
    </row>
    <row r="1548" spans="1:3" x14ac:dyDescent="0.35">
      <c r="A1548" s="4">
        <v>21614</v>
      </c>
      <c r="B1548" s="9">
        <v>7.2</v>
      </c>
      <c r="C1548" t="str">
        <f>IF(acs2015_county_data[[#This Row],[Unemployment]]&gt;='Описательные характеристики'!$I$5,"да","нет")</f>
        <v>нет</v>
      </c>
    </row>
    <row r="1549" spans="1:3" x14ac:dyDescent="0.35">
      <c r="A1549" s="6">
        <v>20404</v>
      </c>
      <c r="B1549" s="10">
        <v>4.5999999999999996</v>
      </c>
      <c r="C1549" t="str">
        <f>IF(acs2015_county_data[[#This Row],[Unemployment]]&gt;='Описательные характеристики'!$I$5,"да","нет")</f>
        <v>нет</v>
      </c>
    </row>
    <row r="1550" spans="1:3" x14ac:dyDescent="0.35">
      <c r="A1550" s="4">
        <v>21268</v>
      </c>
      <c r="B1550" s="9">
        <v>8.1</v>
      </c>
      <c r="C1550" t="str">
        <f>IF(acs2015_county_data[[#This Row],[Unemployment]]&gt;='Описательные характеристики'!$I$5,"да","нет")</f>
        <v>да</v>
      </c>
    </row>
    <row r="1551" spans="1:3" x14ac:dyDescent="0.35">
      <c r="A1551" s="6">
        <v>16515</v>
      </c>
      <c r="B1551" s="10">
        <v>12.2</v>
      </c>
      <c r="C1551" t="str">
        <f>IF(acs2015_county_data[[#This Row],[Unemployment]]&gt;='Описательные характеристики'!$I$5,"да","нет")</f>
        <v>да</v>
      </c>
    </row>
    <row r="1552" spans="1:3" x14ac:dyDescent="0.35">
      <c r="A1552" s="4">
        <v>20901</v>
      </c>
      <c r="B1552" s="9">
        <v>6.7</v>
      </c>
      <c r="C1552" t="str">
        <f>IF(acs2015_county_data[[#This Row],[Unemployment]]&gt;='Описательные характеристики'!$I$5,"да","нет")</f>
        <v>нет</v>
      </c>
    </row>
    <row r="1553" spans="1:3" x14ac:dyDescent="0.35">
      <c r="A1553" s="6">
        <v>20921</v>
      </c>
      <c r="B1553" s="10">
        <v>5.9</v>
      </c>
      <c r="C1553" t="str">
        <f>IF(acs2015_county_data[[#This Row],[Unemployment]]&gt;='Описательные характеристики'!$I$5,"да","нет")</f>
        <v>нет</v>
      </c>
    </row>
    <row r="1554" spans="1:3" x14ac:dyDescent="0.35">
      <c r="A1554" s="4">
        <v>20710</v>
      </c>
      <c r="B1554" s="9">
        <v>9.4</v>
      </c>
      <c r="C1554" t="str">
        <f>IF(acs2015_county_data[[#This Row],[Unemployment]]&gt;='Описательные характеристики'!$I$5,"да","нет")</f>
        <v>да</v>
      </c>
    </row>
    <row r="1555" spans="1:3" x14ac:dyDescent="0.35">
      <c r="A1555" s="6">
        <v>18431</v>
      </c>
      <c r="B1555" s="10">
        <v>11.7</v>
      </c>
      <c r="C1555" t="str">
        <f>IF(acs2015_county_data[[#This Row],[Unemployment]]&gt;='Описательные характеристики'!$I$5,"да","нет")</f>
        <v>да</v>
      </c>
    </row>
    <row r="1556" spans="1:3" x14ac:dyDescent="0.35">
      <c r="A1556" s="4">
        <v>19918</v>
      </c>
      <c r="B1556" s="9">
        <v>8.8000000000000007</v>
      </c>
      <c r="C1556" t="str">
        <f>IF(acs2015_county_data[[#This Row],[Unemployment]]&gt;='Описательные характеристики'!$I$5,"да","нет")</f>
        <v>да</v>
      </c>
    </row>
    <row r="1557" spans="1:3" x14ac:dyDescent="0.35">
      <c r="A1557" s="6">
        <v>22735</v>
      </c>
      <c r="B1557" s="10">
        <v>6.1</v>
      </c>
      <c r="C1557" t="str">
        <f>IF(acs2015_county_data[[#This Row],[Unemployment]]&gt;='Описательные характеристики'!$I$5,"да","нет")</f>
        <v>нет</v>
      </c>
    </row>
    <row r="1558" spans="1:3" x14ac:dyDescent="0.35">
      <c r="A1558" s="4">
        <v>18307</v>
      </c>
      <c r="B1558" s="9">
        <v>7.2</v>
      </c>
      <c r="C1558" t="str">
        <f>IF(acs2015_county_data[[#This Row],[Unemployment]]&gt;='Описательные характеристики'!$I$5,"да","нет")</f>
        <v>нет</v>
      </c>
    </row>
    <row r="1559" spans="1:3" x14ac:dyDescent="0.35">
      <c r="A1559" s="6">
        <v>17070</v>
      </c>
      <c r="B1559" s="10">
        <v>7.1</v>
      </c>
      <c r="C1559" t="str">
        <f>IF(acs2015_county_data[[#This Row],[Unemployment]]&gt;='Описательные характеристики'!$I$5,"да","нет")</f>
        <v>нет</v>
      </c>
    </row>
    <row r="1560" spans="1:3" x14ac:dyDescent="0.35">
      <c r="A1560" s="4">
        <v>23918</v>
      </c>
      <c r="B1560" s="9">
        <v>2.9</v>
      </c>
      <c r="C1560" t="str">
        <f>IF(acs2015_county_data[[#This Row],[Unemployment]]&gt;='Описательные характеристики'!$I$5,"да","нет")</f>
        <v>нет</v>
      </c>
    </row>
    <row r="1561" spans="1:3" x14ac:dyDescent="0.35">
      <c r="A1561" s="6">
        <v>16959</v>
      </c>
      <c r="B1561" s="10">
        <v>12.6</v>
      </c>
      <c r="C1561" t="str">
        <f>IF(acs2015_county_data[[#This Row],[Unemployment]]&gt;='Описательные характеристики'!$I$5,"да","нет")</f>
        <v>да</v>
      </c>
    </row>
    <row r="1562" spans="1:3" x14ac:dyDescent="0.35">
      <c r="A1562" s="4">
        <v>16902</v>
      </c>
      <c r="B1562" s="9">
        <v>11.2</v>
      </c>
      <c r="C1562" t="str">
        <f>IF(acs2015_county_data[[#This Row],[Unemployment]]&gt;='Описательные характеристики'!$I$5,"да","нет")</f>
        <v>да</v>
      </c>
    </row>
    <row r="1563" spans="1:3" x14ac:dyDescent="0.35">
      <c r="A1563" s="6">
        <v>23695</v>
      </c>
      <c r="B1563" s="10">
        <v>4.2</v>
      </c>
      <c r="C1563" t="str">
        <f>IF(acs2015_county_data[[#This Row],[Unemployment]]&gt;='Описательные характеристики'!$I$5,"да","нет")</f>
        <v>нет</v>
      </c>
    </row>
    <row r="1564" spans="1:3" x14ac:dyDescent="0.35">
      <c r="A1564" s="4">
        <v>20494</v>
      </c>
      <c r="B1564" s="9">
        <v>6.4</v>
      </c>
      <c r="C1564" t="str">
        <f>IF(acs2015_county_data[[#This Row],[Unemployment]]&gt;='Описательные характеристики'!$I$5,"да","нет")</f>
        <v>нет</v>
      </c>
    </row>
    <row r="1565" spans="1:3" x14ac:dyDescent="0.35">
      <c r="A1565" s="6">
        <v>21611</v>
      </c>
      <c r="B1565" s="10">
        <v>7</v>
      </c>
      <c r="C1565" t="str">
        <f>IF(acs2015_county_data[[#This Row],[Unemployment]]&gt;='Описательные характеристики'!$I$5,"да","нет")</f>
        <v>нет</v>
      </c>
    </row>
    <row r="1566" spans="1:3" x14ac:dyDescent="0.35">
      <c r="A1566" s="4">
        <v>19005</v>
      </c>
      <c r="B1566" s="9">
        <v>6.5</v>
      </c>
      <c r="C1566" t="str">
        <f>IF(acs2015_county_data[[#This Row],[Unemployment]]&gt;='Описательные характеристики'!$I$5,"да","нет")</f>
        <v>нет</v>
      </c>
    </row>
    <row r="1567" spans="1:3" x14ac:dyDescent="0.35">
      <c r="A1567" s="6">
        <v>35666</v>
      </c>
      <c r="B1567" s="10">
        <v>5.6</v>
      </c>
      <c r="C1567" t="str">
        <f>IF(acs2015_county_data[[#This Row],[Unemployment]]&gt;='Описательные характеристики'!$I$5,"да","нет")</f>
        <v>нет</v>
      </c>
    </row>
    <row r="1568" spans="1:3" x14ac:dyDescent="0.35">
      <c r="A1568" s="4">
        <v>19908</v>
      </c>
      <c r="B1568" s="9">
        <v>9.5</v>
      </c>
      <c r="C1568" t="str">
        <f>IF(acs2015_county_data[[#This Row],[Unemployment]]&gt;='Описательные характеристики'!$I$5,"да","нет")</f>
        <v>да</v>
      </c>
    </row>
    <row r="1569" spans="1:3" x14ac:dyDescent="0.35">
      <c r="A1569" s="6">
        <v>19568</v>
      </c>
      <c r="B1569" s="10">
        <v>12.7</v>
      </c>
      <c r="C1569" t="str">
        <f>IF(acs2015_county_data[[#This Row],[Unemployment]]&gt;='Описательные характеристики'!$I$5,"да","нет")</f>
        <v>да</v>
      </c>
    </row>
    <row r="1570" spans="1:3" x14ac:dyDescent="0.35">
      <c r="A1570" s="4">
        <v>20203</v>
      </c>
      <c r="B1570" s="9">
        <v>2.8</v>
      </c>
      <c r="C1570" t="str">
        <f>IF(acs2015_county_data[[#This Row],[Unemployment]]&gt;='Описательные характеристики'!$I$5,"да","нет")</f>
        <v>нет</v>
      </c>
    </row>
    <row r="1571" spans="1:3" x14ac:dyDescent="0.35">
      <c r="A1571" s="6">
        <v>23442</v>
      </c>
      <c r="B1571" s="10">
        <v>6.2</v>
      </c>
      <c r="C1571" t="str">
        <f>IF(acs2015_county_data[[#This Row],[Unemployment]]&gt;='Описательные характеристики'!$I$5,"да","нет")</f>
        <v>нет</v>
      </c>
    </row>
    <row r="1572" spans="1:3" x14ac:dyDescent="0.35">
      <c r="A1572" s="4">
        <v>18151</v>
      </c>
      <c r="B1572" s="9">
        <v>8.9</v>
      </c>
      <c r="C1572" t="str">
        <f>IF(acs2015_county_data[[#This Row],[Unemployment]]&gt;='Описательные характеристики'!$I$5,"да","нет")</f>
        <v>да</v>
      </c>
    </row>
    <row r="1573" spans="1:3" x14ac:dyDescent="0.35">
      <c r="A1573" s="6">
        <v>24101</v>
      </c>
      <c r="B1573" s="10">
        <v>8.1999999999999993</v>
      </c>
      <c r="C1573" t="str">
        <f>IF(acs2015_county_data[[#This Row],[Unemployment]]&gt;='Описательные характеристики'!$I$5,"да","нет")</f>
        <v>да</v>
      </c>
    </row>
    <row r="1574" spans="1:3" x14ac:dyDescent="0.35">
      <c r="A1574" s="4">
        <v>20082</v>
      </c>
      <c r="B1574" s="9">
        <v>11.1</v>
      </c>
      <c r="C1574" t="str">
        <f>IF(acs2015_county_data[[#This Row],[Unemployment]]&gt;='Описательные характеристики'!$I$5,"да","нет")</f>
        <v>да</v>
      </c>
    </row>
    <row r="1575" spans="1:3" x14ac:dyDescent="0.35">
      <c r="A1575" s="6">
        <v>17315</v>
      </c>
      <c r="B1575" s="10">
        <v>10.1</v>
      </c>
      <c r="C1575" t="str">
        <f>IF(acs2015_county_data[[#This Row],[Unemployment]]&gt;='Описательные характеристики'!$I$5,"да","нет")</f>
        <v>да</v>
      </c>
    </row>
    <row r="1576" spans="1:3" x14ac:dyDescent="0.35">
      <c r="A1576" s="4">
        <v>32946</v>
      </c>
      <c r="B1576" s="9">
        <v>5.0999999999999996</v>
      </c>
      <c r="C1576" t="str">
        <f>IF(acs2015_county_data[[#This Row],[Unemployment]]&gt;='Описательные характеристики'!$I$5,"да","нет")</f>
        <v>нет</v>
      </c>
    </row>
    <row r="1577" spans="1:3" x14ac:dyDescent="0.35">
      <c r="A1577" s="6">
        <v>18840</v>
      </c>
      <c r="B1577" s="10">
        <v>9.3000000000000007</v>
      </c>
      <c r="C1577" t="str">
        <f>IF(acs2015_county_data[[#This Row],[Unemployment]]&gt;='Описательные характеристики'!$I$5,"да","нет")</f>
        <v>да</v>
      </c>
    </row>
    <row r="1578" spans="1:3" x14ac:dyDescent="0.35">
      <c r="A1578" s="4">
        <v>23772</v>
      </c>
      <c r="B1578" s="9">
        <v>5.4</v>
      </c>
      <c r="C1578" t="str">
        <f>IF(acs2015_county_data[[#This Row],[Unemployment]]&gt;='Описательные характеристики'!$I$5,"да","нет")</f>
        <v>нет</v>
      </c>
    </row>
    <row r="1579" spans="1:3" x14ac:dyDescent="0.35">
      <c r="A1579" s="6">
        <v>19315</v>
      </c>
      <c r="B1579" s="10">
        <v>8.3000000000000007</v>
      </c>
      <c r="C1579" t="str">
        <f>IF(acs2015_county_data[[#This Row],[Unemployment]]&gt;='Описательные характеристики'!$I$5,"да","нет")</f>
        <v>да</v>
      </c>
    </row>
    <row r="1580" spans="1:3" x14ac:dyDescent="0.35">
      <c r="A1580" s="4">
        <v>35570</v>
      </c>
      <c r="B1580" s="9">
        <v>7.4</v>
      </c>
      <c r="C1580" t="str">
        <f>IF(acs2015_county_data[[#This Row],[Unemployment]]&gt;='Описательные характеристики'!$I$5,"да","нет")</f>
        <v>нет</v>
      </c>
    </row>
    <row r="1581" spans="1:3" x14ac:dyDescent="0.35">
      <c r="A1581" s="6">
        <v>20339</v>
      </c>
      <c r="B1581" s="10">
        <v>5.5</v>
      </c>
      <c r="C1581" t="str">
        <f>IF(acs2015_county_data[[#This Row],[Unemployment]]&gt;='Описательные характеристики'!$I$5,"да","нет")</f>
        <v>нет</v>
      </c>
    </row>
    <row r="1582" spans="1:3" x14ac:dyDescent="0.35">
      <c r="A1582" s="4">
        <v>19650</v>
      </c>
      <c r="B1582" s="9">
        <v>7.4</v>
      </c>
      <c r="C1582" t="str">
        <f>IF(acs2015_county_data[[#This Row],[Unemployment]]&gt;='Описательные характеристики'!$I$5,"да","нет")</f>
        <v>нет</v>
      </c>
    </row>
    <row r="1583" spans="1:3" x14ac:dyDescent="0.35">
      <c r="A1583" s="6">
        <v>20859</v>
      </c>
      <c r="B1583" s="10">
        <v>4</v>
      </c>
      <c r="C1583" t="str">
        <f>IF(acs2015_county_data[[#This Row],[Unemployment]]&gt;='Описательные характеристики'!$I$5,"да","нет")</f>
        <v>нет</v>
      </c>
    </row>
    <row r="1584" spans="1:3" x14ac:dyDescent="0.35">
      <c r="A1584" s="4">
        <v>20542</v>
      </c>
      <c r="B1584" s="9">
        <v>6.8</v>
      </c>
      <c r="C1584" t="str">
        <f>IF(acs2015_county_data[[#This Row],[Unemployment]]&gt;='Описательные характеристики'!$I$5,"да","нет")</f>
        <v>нет</v>
      </c>
    </row>
    <row r="1585" spans="1:3" x14ac:dyDescent="0.35">
      <c r="A1585" s="6">
        <v>19658</v>
      </c>
      <c r="B1585" s="10">
        <v>9.1999999999999993</v>
      </c>
      <c r="C1585" t="str">
        <f>IF(acs2015_county_data[[#This Row],[Unemployment]]&gt;='Описательные характеристики'!$I$5,"да","нет")</f>
        <v>да</v>
      </c>
    </row>
    <row r="1586" spans="1:3" x14ac:dyDescent="0.35">
      <c r="A1586" s="4">
        <v>20569</v>
      </c>
      <c r="B1586" s="9">
        <v>5.8</v>
      </c>
      <c r="C1586" t="str">
        <f>IF(acs2015_county_data[[#This Row],[Unemployment]]&gt;='Описательные характеристики'!$I$5,"да","нет")</f>
        <v>нет</v>
      </c>
    </row>
    <row r="1587" spans="1:3" x14ac:dyDescent="0.35">
      <c r="A1587" s="6">
        <v>21797</v>
      </c>
      <c r="B1587" s="10">
        <v>9.1</v>
      </c>
      <c r="C1587" t="str">
        <f>IF(acs2015_county_data[[#This Row],[Unemployment]]&gt;='Описательные характеристики'!$I$5,"да","нет")</f>
        <v>да</v>
      </c>
    </row>
    <row r="1588" spans="1:3" x14ac:dyDescent="0.35">
      <c r="A1588" s="4">
        <v>22473</v>
      </c>
      <c r="B1588" s="9">
        <v>10.8</v>
      </c>
      <c r="C1588" t="str">
        <f>IF(acs2015_county_data[[#This Row],[Unemployment]]&gt;='Описательные характеристики'!$I$5,"да","нет")</f>
        <v>да</v>
      </c>
    </row>
    <row r="1589" spans="1:3" x14ac:dyDescent="0.35">
      <c r="A1589" s="6">
        <v>19930</v>
      </c>
      <c r="B1589" s="10">
        <v>6</v>
      </c>
      <c r="C1589" t="str">
        <f>IF(acs2015_county_data[[#This Row],[Unemployment]]&gt;='Описательные характеристики'!$I$5,"да","нет")</f>
        <v>нет</v>
      </c>
    </row>
    <row r="1590" spans="1:3" x14ac:dyDescent="0.35">
      <c r="A1590" s="4">
        <v>20520</v>
      </c>
      <c r="B1590" s="9">
        <v>9</v>
      </c>
      <c r="C1590" t="str">
        <f>IF(acs2015_county_data[[#This Row],[Unemployment]]&gt;='Описательные характеристики'!$I$5,"да","нет")</f>
        <v>да</v>
      </c>
    </row>
    <row r="1591" spans="1:3" x14ac:dyDescent="0.35">
      <c r="A1591" s="6">
        <v>17741</v>
      </c>
      <c r="B1591" s="10">
        <v>8.1</v>
      </c>
      <c r="C1591" t="str">
        <f>IF(acs2015_county_data[[#This Row],[Unemployment]]&gt;='Описательные характеристики'!$I$5,"да","нет")</f>
        <v>да</v>
      </c>
    </row>
    <row r="1592" spans="1:3" x14ac:dyDescent="0.35">
      <c r="A1592" s="4">
        <v>20479</v>
      </c>
      <c r="B1592" s="9">
        <v>5.4</v>
      </c>
      <c r="C1592" t="str">
        <f>IF(acs2015_county_data[[#This Row],[Unemployment]]&gt;='Описательные характеристики'!$I$5,"да","нет")</f>
        <v>нет</v>
      </c>
    </row>
    <row r="1593" spans="1:3" x14ac:dyDescent="0.35">
      <c r="A1593" s="6">
        <v>24033</v>
      </c>
      <c r="B1593" s="10">
        <v>8.9</v>
      </c>
      <c r="C1593" t="str">
        <f>IF(acs2015_county_data[[#This Row],[Unemployment]]&gt;='Описательные характеристики'!$I$5,"да","нет")</f>
        <v>да</v>
      </c>
    </row>
    <row r="1594" spans="1:3" x14ac:dyDescent="0.35">
      <c r="A1594" s="4">
        <v>17762</v>
      </c>
      <c r="B1594" s="9">
        <v>12.2</v>
      </c>
      <c r="C1594" t="str">
        <f>IF(acs2015_county_data[[#This Row],[Unemployment]]&gt;='Описательные характеристики'!$I$5,"да","нет")</f>
        <v>да</v>
      </c>
    </row>
    <row r="1595" spans="1:3" x14ac:dyDescent="0.35">
      <c r="A1595" s="6">
        <v>18748</v>
      </c>
      <c r="B1595" s="10">
        <v>9.5</v>
      </c>
      <c r="C1595" t="str">
        <f>IF(acs2015_county_data[[#This Row],[Unemployment]]&gt;='Описательные характеристики'!$I$5,"да","нет")</f>
        <v>да</v>
      </c>
    </row>
    <row r="1596" spans="1:3" x14ac:dyDescent="0.35">
      <c r="A1596" s="4">
        <v>19956</v>
      </c>
      <c r="B1596" s="9">
        <v>6.3</v>
      </c>
      <c r="C1596" t="str">
        <f>IF(acs2015_county_data[[#This Row],[Unemployment]]&gt;='Описательные характеристики'!$I$5,"да","нет")</f>
        <v>нет</v>
      </c>
    </row>
    <row r="1597" spans="1:3" x14ac:dyDescent="0.35">
      <c r="A1597" s="6">
        <v>23815</v>
      </c>
      <c r="B1597" s="10">
        <v>4.3</v>
      </c>
      <c r="C1597" t="str">
        <f>IF(acs2015_county_data[[#This Row],[Unemployment]]&gt;='Описательные характеристики'!$I$5,"да","нет")</f>
        <v>нет</v>
      </c>
    </row>
    <row r="1598" spans="1:3" x14ac:dyDescent="0.35">
      <c r="A1598" s="4">
        <v>18481</v>
      </c>
      <c r="B1598" s="9">
        <v>9.4</v>
      </c>
      <c r="C1598" t="str">
        <f>IF(acs2015_county_data[[#This Row],[Unemployment]]&gt;='Описательные характеристики'!$I$5,"да","нет")</f>
        <v>да</v>
      </c>
    </row>
    <row r="1599" spans="1:3" x14ac:dyDescent="0.35">
      <c r="A1599" s="6">
        <v>23945</v>
      </c>
      <c r="B1599" s="10">
        <v>12.4</v>
      </c>
      <c r="C1599" t="str">
        <f>IF(acs2015_county_data[[#This Row],[Unemployment]]&gt;='Описательные характеристики'!$I$5,"да","нет")</f>
        <v>да</v>
      </c>
    </row>
    <row r="1600" spans="1:3" x14ac:dyDescent="0.35">
      <c r="A1600" s="4">
        <v>26763</v>
      </c>
      <c r="B1600" s="9">
        <v>6.5</v>
      </c>
      <c r="C1600" t="str">
        <f>IF(acs2015_county_data[[#This Row],[Unemployment]]&gt;='Описательные характеристики'!$I$5,"да","нет")</f>
        <v>нет</v>
      </c>
    </row>
    <row r="1601" spans="1:3" x14ac:dyDescent="0.35">
      <c r="A1601" s="6">
        <v>16244</v>
      </c>
      <c r="B1601" s="10">
        <v>19.899999999999999</v>
      </c>
      <c r="C1601" t="str">
        <f>IF(acs2015_county_data[[#This Row],[Unemployment]]&gt;='Описательные характеристики'!$I$5,"да","нет")</f>
        <v>да</v>
      </c>
    </row>
    <row r="1602" spans="1:3" x14ac:dyDescent="0.35">
      <c r="A1602" s="4">
        <v>17442</v>
      </c>
      <c r="B1602" s="9">
        <v>13.4</v>
      </c>
      <c r="C1602" t="str">
        <f>IF(acs2015_county_data[[#This Row],[Unemployment]]&gt;='Описательные характеристики'!$I$5,"да","нет")</f>
        <v>да</v>
      </c>
    </row>
    <row r="1603" spans="1:3" x14ac:dyDescent="0.35">
      <c r="A1603" s="6">
        <v>29188</v>
      </c>
      <c r="B1603" s="10">
        <v>4.5</v>
      </c>
      <c r="C1603" t="str">
        <f>IF(acs2015_county_data[[#This Row],[Unemployment]]&gt;='Описательные характеристики'!$I$5,"да","нет")</f>
        <v>нет</v>
      </c>
    </row>
    <row r="1604" spans="1:3" x14ac:dyDescent="0.35">
      <c r="A1604" s="4">
        <v>28153</v>
      </c>
      <c r="B1604" s="9">
        <v>3.9</v>
      </c>
      <c r="C1604" t="str">
        <f>IF(acs2015_county_data[[#This Row],[Unemployment]]&gt;='Описательные характеристики'!$I$5,"да","нет")</f>
        <v>нет</v>
      </c>
    </row>
    <row r="1605" spans="1:3" x14ac:dyDescent="0.35">
      <c r="A1605" s="6">
        <v>29391</v>
      </c>
      <c r="B1605" s="10">
        <v>2.2999999999999998</v>
      </c>
      <c r="C1605" t="str">
        <f>IF(acs2015_county_data[[#This Row],[Unemployment]]&gt;='Описательные характеристики'!$I$5,"да","нет")</f>
        <v>нет</v>
      </c>
    </row>
    <row r="1606" spans="1:3" x14ac:dyDescent="0.35">
      <c r="A1606" s="4">
        <v>25870</v>
      </c>
      <c r="B1606" s="9">
        <v>5.0999999999999996</v>
      </c>
      <c r="C1606" t="str">
        <f>IF(acs2015_county_data[[#This Row],[Unemployment]]&gt;='Описательные характеристики'!$I$5,"да","нет")</f>
        <v>нет</v>
      </c>
    </row>
    <row r="1607" spans="1:3" x14ac:dyDescent="0.35">
      <c r="A1607" s="6">
        <v>22032</v>
      </c>
      <c r="B1607" s="10">
        <v>4.3</v>
      </c>
      <c r="C1607" t="str">
        <f>IF(acs2015_county_data[[#This Row],[Unemployment]]&gt;='Описательные характеристики'!$I$5,"да","нет")</f>
        <v>нет</v>
      </c>
    </row>
    <row r="1608" spans="1:3" x14ac:dyDescent="0.35">
      <c r="A1608" s="4">
        <v>25506</v>
      </c>
      <c r="B1608" s="9">
        <v>3.8</v>
      </c>
      <c r="C1608" t="str">
        <f>IF(acs2015_county_data[[#This Row],[Unemployment]]&gt;='Описательные характеристики'!$I$5,"да","нет")</f>
        <v>нет</v>
      </c>
    </row>
    <row r="1609" spans="1:3" x14ac:dyDescent="0.35">
      <c r="A1609" s="6">
        <v>33140</v>
      </c>
      <c r="B1609" s="10">
        <v>2.6</v>
      </c>
      <c r="C1609" t="str">
        <f>IF(acs2015_county_data[[#This Row],[Unemployment]]&gt;='Описательные характеристики'!$I$5,"да","нет")</f>
        <v>нет</v>
      </c>
    </row>
    <row r="1610" spans="1:3" x14ac:dyDescent="0.35">
      <c r="A1610" s="4">
        <v>27878</v>
      </c>
      <c r="B1610" s="9">
        <v>2</v>
      </c>
      <c r="C1610" t="str">
        <f>IF(acs2015_county_data[[#This Row],[Unemployment]]&gt;='Описательные характеристики'!$I$5,"да","нет")</f>
        <v>нет</v>
      </c>
    </row>
    <row r="1611" spans="1:3" x14ac:dyDescent="0.35">
      <c r="A1611" s="6">
        <v>23156</v>
      </c>
      <c r="B1611" s="10">
        <v>3.9</v>
      </c>
      <c r="C1611" t="str">
        <f>IF(acs2015_county_data[[#This Row],[Unemployment]]&gt;='Описательные характеристики'!$I$5,"да","нет")</f>
        <v>нет</v>
      </c>
    </row>
    <row r="1612" spans="1:3" x14ac:dyDescent="0.35">
      <c r="A1612" s="4">
        <v>32755</v>
      </c>
      <c r="B1612" s="9">
        <v>3.3</v>
      </c>
      <c r="C1612" t="str">
        <f>IF(acs2015_county_data[[#This Row],[Unemployment]]&gt;='Описательные характеристики'!$I$5,"да","нет")</f>
        <v>нет</v>
      </c>
    </row>
    <row r="1613" spans="1:3" x14ac:dyDescent="0.35">
      <c r="A1613" s="6">
        <v>26111</v>
      </c>
      <c r="B1613" s="10">
        <v>3.1</v>
      </c>
      <c r="C1613" t="str">
        <f>IF(acs2015_county_data[[#This Row],[Unemployment]]&gt;='Описательные характеристики'!$I$5,"да","нет")</f>
        <v>нет</v>
      </c>
    </row>
    <row r="1614" spans="1:3" x14ac:dyDescent="0.35">
      <c r="A1614" s="4">
        <v>26388</v>
      </c>
      <c r="B1614" s="9">
        <v>7</v>
      </c>
      <c r="C1614" t="str">
        <f>IF(acs2015_county_data[[#This Row],[Unemployment]]&gt;='Описательные характеристики'!$I$5,"да","нет")</f>
        <v>нет</v>
      </c>
    </row>
    <row r="1615" spans="1:3" x14ac:dyDescent="0.35">
      <c r="A1615" s="6">
        <v>30293</v>
      </c>
      <c r="B1615" s="10">
        <v>6.3</v>
      </c>
      <c r="C1615" t="str">
        <f>IF(acs2015_county_data[[#This Row],[Unemployment]]&gt;='Описательные характеристики'!$I$5,"да","нет")</f>
        <v>нет</v>
      </c>
    </row>
    <row r="1616" spans="1:3" x14ac:dyDescent="0.35">
      <c r="A1616" s="4">
        <v>26142</v>
      </c>
      <c r="B1616" s="9">
        <v>0.2</v>
      </c>
      <c r="C1616" t="str">
        <f>IF(acs2015_county_data[[#This Row],[Unemployment]]&gt;='Описательные характеристики'!$I$5,"да","нет")</f>
        <v>нет</v>
      </c>
    </row>
    <row r="1617" spans="1:3" x14ac:dyDescent="0.35">
      <c r="A1617" s="6">
        <v>16892</v>
      </c>
      <c r="B1617" s="10">
        <v>14.4</v>
      </c>
      <c r="C1617" t="str">
        <f>IF(acs2015_county_data[[#This Row],[Unemployment]]&gt;='Описательные характеристики'!$I$5,"да","нет")</f>
        <v>да</v>
      </c>
    </row>
    <row r="1618" spans="1:3" x14ac:dyDescent="0.35">
      <c r="A1618" s="4">
        <v>21562</v>
      </c>
      <c r="B1618" s="9">
        <v>3.5</v>
      </c>
      <c r="C1618" t="str">
        <f>IF(acs2015_county_data[[#This Row],[Unemployment]]&gt;='Описательные характеристики'!$I$5,"да","нет")</f>
        <v>нет</v>
      </c>
    </row>
    <row r="1619" spans="1:3" x14ac:dyDescent="0.35">
      <c r="A1619" s="6">
        <v>27136</v>
      </c>
      <c r="B1619" s="10">
        <v>7.2</v>
      </c>
      <c r="C1619" t="str">
        <f>IF(acs2015_county_data[[#This Row],[Unemployment]]&gt;='Описательные характеристики'!$I$5,"да","нет")</f>
        <v>нет</v>
      </c>
    </row>
    <row r="1620" spans="1:3" x14ac:dyDescent="0.35">
      <c r="A1620" s="4">
        <v>20869</v>
      </c>
      <c r="B1620" s="9">
        <v>4</v>
      </c>
      <c r="C1620" t="str">
        <f>IF(acs2015_county_data[[#This Row],[Unemployment]]&gt;='Описательные характеристики'!$I$5,"да","нет")</f>
        <v>нет</v>
      </c>
    </row>
    <row r="1621" spans="1:3" x14ac:dyDescent="0.35">
      <c r="A1621" s="6">
        <v>30886</v>
      </c>
      <c r="B1621" s="10">
        <v>6.6</v>
      </c>
      <c r="C1621" t="str">
        <f>IF(acs2015_county_data[[#This Row],[Unemployment]]&gt;='Описательные характеристики'!$I$5,"да","нет")</f>
        <v>нет</v>
      </c>
    </row>
    <row r="1622" spans="1:3" x14ac:dyDescent="0.35">
      <c r="A1622" s="4">
        <v>26595</v>
      </c>
      <c r="B1622" s="9">
        <v>3.9</v>
      </c>
      <c r="C1622" t="str">
        <f>IF(acs2015_county_data[[#This Row],[Unemployment]]&gt;='Описательные характеристики'!$I$5,"да","нет")</f>
        <v>нет</v>
      </c>
    </row>
    <row r="1623" spans="1:3" x14ac:dyDescent="0.35">
      <c r="A1623" s="6">
        <v>22278</v>
      </c>
      <c r="B1623" s="10">
        <v>9.9</v>
      </c>
      <c r="C1623" t="str">
        <f>IF(acs2015_county_data[[#This Row],[Unemployment]]&gt;='Описательные характеристики'!$I$5,"да","нет")</f>
        <v>да</v>
      </c>
    </row>
    <row r="1624" spans="1:3" x14ac:dyDescent="0.35">
      <c r="A1624" s="4">
        <v>28476</v>
      </c>
      <c r="B1624" s="9">
        <v>4.9000000000000004</v>
      </c>
      <c r="C1624" t="str">
        <f>IF(acs2015_county_data[[#This Row],[Unemployment]]&gt;='Описательные характеристики'!$I$5,"да","нет")</f>
        <v>нет</v>
      </c>
    </row>
    <row r="1625" spans="1:3" x14ac:dyDescent="0.35">
      <c r="A1625" s="6">
        <v>23587</v>
      </c>
      <c r="B1625" s="10">
        <v>4.5</v>
      </c>
      <c r="C1625" t="str">
        <f>IF(acs2015_county_data[[#This Row],[Unemployment]]&gt;='Описательные характеристики'!$I$5,"да","нет")</f>
        <v>нет</v>
      </c>
    </row>
    <row r="1626" spans="1:3" x14ac:dyDescent="0.35">
      <c r="A1626" s="4">
        <v>22856</v>
      </c>
      <c r="B1626" s="9">
        <v>13.1</v>
      </c>
      <c r="C1626" t="str">
        <f>IF(acs2015_county_data[[#This Row],[Unemployment]]&gt;='Описательные характеристики'!$I$5,"да","нет")</f>
        <v>да</v>
      </c>
    </row>
    <row r="1627" spans="1:3" x14ac:dyDescent="0.35">
      <c r="A1627" s="6">
        <v>28654</v>
      </c>
      <c r="B1627" s="10">
        <v>0.8</v>
      </c>
      <c r="C1627" t="str">
        <f>IF(acs2015_county_data[[#This Row],[Unemployment]]&gt;='Описательные характеристики'!$I$5,"да","нет")</f>
        <v>нет</v>
      </c>
    </row>
    <row r="1628" spans="1:3" x14ac:dyDescent="0.35">
      <c r="A1628" s="4">
        <v>29700</v>
      </c>
      <c r="B1628" s="9">
        <v>4.8</v>
      </c>
      <c r="C1628" t="str">
        <f>IF(acs2015_county_data[[#This Row],[Unemployment]]&gt;='Описательные характеристики'!$I$5,"да","нет")</f>
        <v>нет</v>
      </c>
    </row>
    <row r="1629" spans="1:3" x14ac:dyDescent="0.35">
      <c r="A1629" s="6">
        <v>20736</v>
      </c>
      <c r="B1629" s="10">
        <v>3.9</v>
      </c>
      <c r="C1629" t="str">
        <f>IF(acs2015_county_data[[#This Row],[Unemployment]]&gt;='Описательные характеристики'!$I$5,"да","нет")</f>
        <v>нет</v>
      </c>
    </row>
    <row r="1630" spans="1:3" x14ac:dyDescent="0.35">
      <c r="A1630" s="4">
        <v>20691</v>
      </c>
      <c r="B1630" s="9">
        <v>11.8</v>
      </c>
      <c r="C1630" t="str">
        <f>IF(acs2015_county_data[[#This Row],[Unemployment]]&gt;='Описательные характеристики'!$I$5,"да","нет")</f>
        <v>да</v>
      </c>
    </row>
    <row r="1631" spans="1:3" x14ac:dyDescent="0.35">
      <c r="A1631" s="6">
        <v>26779</v>
      </c>
      <c r="B1631" s="10">
        <v>8.1999999999999993</v>
      </c>
      <c r="C1631" t="str">
        <f>IF(acs2015_county_data[[#This Row],[Unemployment]]&gt;='Описательные характеристики'!$I$5,"да","нет")</f>
        <v>да</v>
      </c>
    </row>
    <row r="1632" spans="1:3" x14ac:dyDescent="0.35">
      <c r="A1632" s="4">
        <v>23545</v>
      </c>
      <c r="B1632" s="9">
        <v>4.5999999999999996</v>
      </c>
      <c r="C1632" t="str">
        <f>IF(acs2015_county_data[[#This Row],[Unemployment]]&gt;='Описательные характеристики'!$I$5,"да","нет")</f>
        <v>нет</v>
      </c>
    </row>
    <row r="1633" spans="1:3" x14ac:dyDescent="0.35">
      <c r="A1633" s="6">
        <v>27045</v>
      </c>
      <c r="B1633" s="10">
        <v>5.4</v>
      </c>
      <c r="C1633" t="str">
        <f>IF(acs2015_county_data[[#This Row],[Unemployment]]&gt;='Описательные характеристики'!$I$5,"да","нет")</f>
        <v>нет</v>
      </c>
    </row>
    <row r="1634" spans="1:3" x14ac:dyDescent="0.35">
      <c r="A1634" s="4">
        <v>25378</v>
      </c>
      <c r="B1634" s="9">
        <v>6.6</v>
      </c>
      <c r="C1634" t="str">
        <f>IF(acs2015_county_data[[#This Row],[Unemployment]]&gt;='Описательные характеристики'!$I$5,"да","нет")</f>
        <v>нет</v>
      </c>
    </row>
    <row r="1635" spans="1:3" x14ac:dyDescent="0.35">
      <c r="A1635" s="6">
        <v>22139</v>
      </c>
      <c r="B1635" s="10">
        <v>6.3</v>
      </c>
      <c r="C1635" t="str">
        <f>IF(acs2015_county_data[[#This Row],[Unemployment]]&gt;='Описательные характеристики'!$I$5,"да","нет")</f>
        <v>нет</v>
      </c>
    </row>
    <row r="1636" spans="1:3" x14ac:dyDescent="0.35">
      <c r="A1636" s="4">
        <v>22797</v>
      </c>
      <c r="B1636" s="9">
        <v>6</v>
      </c>
      <c r="C1636" t="str">
        <f>IF(acs2015_county_data[[#This Row],[Unemployment]]&gt;='Описательные характеристики'!$I$5,"да","нет")</f>
        <v>нет</v>
      </c>
    </row>
    <row r="1637" spans="1:3" x14ac:dyDescent="0.35">
      <c r="A1637" s="6">
        <v>29902</v>
      </c>
      <c r="B1637" s="10">
        <v>4.5</v>
      </c>
      <c r="C1637" t="str">
        <f>IF(acs2015_county_data[[#This Row],[Unemployment]]&gt;='Описательные характеристики'!$I$5,"да","нет")</f>
        <v>нет</v>
      </c>
    </row>
    <row r="1638" spans="1:3" x14ac:dyDescent="0.35">
      <c r="A1638" s="4">
        <v>21536</v>
      </c>
      <c r="B1638" s="9">
        <v>2.2000000000000002</v>
      </c>
      <c r="C1638" t="str">
        <f>IF(acs2015_county_data[[#This Row],[Unemployment]]&gt;='Описательные характеристики'!$I$5,"да","нет")</f>
        <v>нет</v>
      </c>
    </row>
    <row r="1639" spans="1:3" x14ac:dyDescent="0.35">
      <c r="A1639" s="6">
        <v>23285</v>
      </c>
      <c r="B1639" s="10">
        <v>8.1</v>
      </c>
      <c r="C1639" t="str">
        <f>IF(acs2015_county_data[[#This Row],[Unemployment]]&gt;='Описательные характеристики'!$I$5,"да","нет")</f>
        <v>да</v>
      </c>
    </row>
    <row r="1640" spans="1:3" x14ac:dyDescent="0.35">
      <c r="A1640" s="4">
        <v>22482</v>
      </c>
      <c r="B1640" s="9">
        <v>8.1999999999999993</v>
      </c>
      <c r="C1640" t="str">
        <f>IF(acs2015_county_data[[#This Row],[Unemployment]]&gt;='Описательные характеристики'!$I$5,"да","нет")</f>
        <v>да</v>
      </c>
    </row>
    <row r="1641" spans="1:3" x14ac:dyDescent="0.35">
      <c r="A1641" s="6">
        <v>32900</v>
      </c>
      <c r="B1641" s="10">
        <v>2.5</v>
      </c>
      <c r="C1641" t="str">
        <f>IF(acs2015_county_data[[#This Row],[Unemployment]]&gt;='Описательные характеристики'!$I$5,"да","нет")</f>
        <v>нет</v>
      </c>
    </row>
    <row r="1642" spans="1:3" x14ac:dyDescent="0.35">
      <c r="A1642" s="4">
        <v>16182</v>
      </c>
      <c r="B1642" s="9">
        <v>6.8</v>
      </c>
      <c r="C1642" t="str">
        <f>IF(acs2015_county_data[[#This Row],[Unemployment]]&gt;='Описательные характеристики'!$I$5,"да","нет")</f>
        <v>нет</v>
      </c>
    </row>
    <row r="1643" spans="1:3" x14ac:dyDescent="0.35">
      <c r="A1643" s="6">
        <v>23238</v>
      </c>
      <c r="B1643" s="10">
        <v>10.6</v>
      </c>
      <c r="C1643" t="str">
        <f>IF(acs2015_county_data[[#This Row],[Unemployment]]&gt;='Описательные характеристики'!$I$5,"да","нет")</f>
        <v>да</v>
      </c>
    </row>
    <row r="1644" spans="1:3" x14ac:dyDescent="0.35">
      <c r="A1644" s="4">
        <v>20169</v>
      </c>
      <c r="B1644" s="9">
        <v>9.3000000000000007</v>
      </c>
      <c r="C1644" t="str">
        <f>IF(acs2015_county_data[[#This Row],[Unemployment]]&gt;='Описательные характеристики'!$I$5,"да","нет")</f>
        <v>да</v>
      </c>
    </row>
    <row r="1645" spans="1:3" x14ac:dyDescent="0.35">
      <c r="A1645" s="6">
        <v>30814</v>
      </c>
      <c r="B1645" s="10">
        <v>2.7</v>
      </c>
      <c r="C1645" t="str">
        <f>IF(acs2015_county_data[[#This Row],[Unemployment]]&gt;='Описательные характеристики'!$I$5,"да","нет")</f>
        <v>нет</v>
      </c>
    </row>
    <row r="1646" spans="1:3" x14ac:dyDescent="0.35">
      <c r="A1646" s="4">
        <v>24383</v>
      </c>
      <c r="B1646" s="9">
        <v>7</v>
      </c>
      <c r="C1646" t="str">
        <f>IF(acs2015_county_data[[#This Row],[Unemployment]]&gt;='Описательные характеристики'!$I$5,"да","нет")</f>
        <v>нет</v>
      </c>
    </row>
    <row r="1647" spans="1:3" x14ac:dyDescent="0.35">
      <c r="A1647" s="6">
        <v>29217</v>
      </c>
      <c r="B1647" s="10">
        <v>3.6</v>
      </c>
      <c r="C1647" t="str">
        <f>IF(acs2015_county_data[[#This Row],[Unemployment]]&gt;='Описательные характеристики'!$I$5,"да","нет")</f>
        <v>нет</v>
      </c>
    </row>
    <row r="1648" spans="1:3" x14ac:dyDescent="0.35">
      <c r="A1648" s="4">
        <v>25522</v>
      </c>
      <c r="B1648" s="9">
        <v>0.9</v>
      </c>
      <c r="C1648" t="str">
        <f>IF(acs2015_county_data[[#This Row],[Unemployment]]&gt;='Описательные характеристики'!$I$5,"да","нет")</f>
        <v>нет</v>
      </c>
    </row>
    <row r="1649" spans="1:3" x14ac:dyDescent="0.35">
      <c r="A1649" s="6">
        <v>24443</v>
      </c>
      <c r="B1649" s="10">
        <v>5.0999999999999996</v>
      </c>
      <c r="C1649" t="str">
        <f>IF(acs2015_county_data[[#This Row],[Unemployment]]&gt;='Описательные характеристики'!$I$5,"да","нет")</f>
        <v>нет</v>
      </c>
    </row>
    <row r="1650" spans="1:3" x14ac:dyDescent="0.35">
      <c r="A1650" s="4">
        <v>22101</v>
      </c>
      <c r="B1650" s="9">
        <v>3.1</v>
      </c>
      <c r="C1650" t="str">
        <f>IF(acs2015_county_data[[#This Row],[Unemployment]]&gt;='Описательные характеристики'!$I$5,"да","нет")</f>
        <v>нет</v>
      </c>
    </row>
    <row r="1651" spans="1:3" x14ac:dyDescent="0.35">
      <c r="A1651" s="6">
        <v>20758</v>
      </c>
      <c r="B1651" s="10">
        <v>0.8</v>
      </c>
      <c r="C1651" t="str">
        <f>IF(acs2015_county_data[[#This Row],[Unemployment]]&gt;='Описательные характеристики'!$I$5,"да","нет")</f>
        <v>нет</v>
      </c>
    </row>
    <row r="1652" spans="1:3" x14ac:dyDescent="0.35">
      <c r="A1652" s="4">
        <v>26337</v>
      </c>
      <c r="B1652" s="9">
        <v>2.6</v>
      </c>
      <c r="C1652" t="str">
        <f>IF(acs2015_county_data[[#This Row],[Unemployment]]&gt;='Описательные характеристики'!$I$5,"да","нет")</f>
        <v>нет</v>
      </c>
    </row>
    <row r="1653" spans="1:3" x14ac:dyDescent="0.35">
      <c r="A1653" s="6">
        <v>19385</v>
      </c>
      <c r="B1653" s="10">
        <v>3.4</v>
      </c>
      <c r="C1653" t="str">
        <f>IF(acs2015_county_data[[#This Row],[Unemployment]]&gt;='Описательные характеристики'!$I$5,"да","нет")</f>
        <v>нет</v>
      </c>
    </row>
    <row r="1654" spans="1:3" x14ac:dyDescent="0.35">
      <c r="A1654" s="4">
        <v>23875</v>
      </c>
      <c r="B1654" s="9">
        <v>3</v>
      </c>
      <c r="C1654" t="str">
        <f>IF(acs2015_county_data[[#This Row],[Unemployment]]&gt;='Описательные характеристики'!$I$5,"да","нет")</f>
        <v>нет</v>
      </c>
    </row>
    <row r="1655" spans="1:3" x14ac:dyDescent="0.35">
      <c r="A1655" s="6">
        <v>29576</v>
      </c>
      <c r="B1655" s="10">
        <v>4.0999999999999996</v>
      </c>
      <c r="C1655" t="str">
        <f>IF(acs2015_county_data[[#This Row],[Unemployment]]&gt;='Описательные характеристики'!$I$5,"да","нет")</f>
        <v>нет</v>
      </c>
    </row>
    <row r="1656" spans="1:3" x14ac:dyDescent="0.35">
      <c r="A1656" s="4">
        <v>27690</v>
      </c>
      <c r="B1656" s="9">
        <v>5.5</v>
      </c>
      <c r="C1656" t="str">
        <f>IF(acs2015_county_data[[#This Row],[Unemployment]]&gt;='Описательные характеристики'!$I$5,"да","нет")</f>
        <v>нет</v>
      </c>
    </row>
    <row r="1657" spans="1:3" x14ac:dyDescent="0.35">
      <c r="A1657" s="6">
        <v>26763</v>
      </c>
      <c r="B1657" s="10">
        <v>1.6</v>
      </c>
      <c r="C1657" t="str">
        <f>IF(acs2015_county_data[[#This Row],[Unemployment]]&gt;='Описательные характеристики'!$I$5,"да","нет")</f>
        <v>нет</v>
      </c>
    </row>
    <row r="1658" spans="1:3" x14ac:dyDescent="0.35">
      <c r="A1658" s="4">
        <v>22035</v>
      </c>
      <c r="B1658" s="9">
        <v>4</v>
      </c>
      <c r="C1658" t="str">
        <f>IF(acs2015_county_data[[#This Row],[Unemployment]]&gt;='Описательные характеристики'!$I$5,"да","нет")</f>
        <v>нет</v>
      </c>
    </row>
    <row r="1659" spans="1:3" x14ac:dyDescent="0.35">
      <c r="A1659" s="6">
        <v>31735</v>
      </c>
      <c r="B1659" s="10">
        <v>5.4</v>
      </c>
      <c r="C1659" t="str">
        <f>IF(acs2015_county_data[[#This Row],[Unemployment]]&gt;='Описательные характеристики'!$I$5,"да","нет")</f>
        <v>нет</v>
      </c>
    </row>
    <row r="1660" spans="1:3" x14ac:dyDescent="0.35">
      <c r="A1660" s="4">
        <v>21854</v>
      </c>
      <c r="B1660" s="9">
        <v>0.7</v>
      </c>
      <c r="C1660" t="str">
        <f>IF(acs2015_county_data[[#This Row],[Unemployment]]&gt;='Описательные характеристики'!$I$5,"да","нет")</f>
        <v>нет</v>
      </c>
    </row>
    <row r="1661" spans="1:3" x14ac:dyDescent="0.35">
      <c r="A1661" s="6">
        <v>27799</v>
      </c>
      <c r="B1661" s="10">
        <v>1.2</v>
      </c>
      <c r="C1661" t="str">
        <f>IF(acs2015_county_data[[#This Row],[Unemployment]]&gt;='Описательные характеристики'!$I$5,"да","нет")</f>
        <v>нет</v>
      </c>
    </row>
    <row r="1662" spans="1:3" x14ac:dyDescent="0.35">
      <c r="A1662" s="4">
        <v>25897</v>
      </c>
      <c r="B1662" s="9">
        <v>3.9</v>
      </c>
      <c r="C1662" t="str">
        <f>IF(acs2015_county_data[[#This Row],[Unemployment]]&gt;='Описательные характеристики'!$I$5,"да","нет")</f>
        <v>нет</v>
      </c>
    </row>
    <row r="1663" spans="1:3" x14ac:dyDescent="0.35">
      <c r="A1663" s="6">
        <v>24085</v>
      </c>
      <c r="B1663" s="10">
        <v>1.1000000000000001</v>
      </c>
      <c r="C1663" t="str">
        <f>IF(acs2015_county_data[[#This Row],[Unemployment]]&gt;='Описательные характеристики'!$I$5,"да","нет")</f>
        <v>нет</v>
      </c>
    </row>
    <row r="1664" spans="1:3" x14ac:dyDescent="0.35">
      <c r="A1664" s="4">
        <v>26390</v>
      </c>
      <c r="B1664" s="9">
        <v>0.7</v>
      </c>
      <c r="C1664" t="str">
        <f>IF(acs2015_county_data[[#This Row],[Unemployment]]&gt;='Описательные характеристики'!$I$5,"да","нет")</f>
        <v>нет</v>
      </c>
    </row>
    <row r="1665" spans="1:3" x14ac:dyDescent="0.35">
      <c r="A1665" s="6">
        <v>26846</v>
      </c>
      <c r="B1665" s="10">
        <v>3.5</v>
      </c>
      <c r="C1665" t="str">
        <f>IF(acs2015_county_data[[#This Row],[Unemployment]]&gt;='Описательные характеристики'!$I$5,"да","нет")</f>
        <v>нет</v>
      </c>
    </row>
    <row r="1666" spans="1:3" x14ac:dyDescent="0.35">
      <c r="A1666" s="4">
        <v>24332</v>
      </c>
      <c r="B1666" s="9">
        <v>3.3</v>
      </c>
      <c r="C1666" t="str">
        <f>IF(acs2015_county_data[[#This Row],[Unemployment]]&gt;='Описательные характеристики'!$I$5,"да","нет")</f>
        <v>нет</v>
      </c>
    </row>
    <row r="1667" spans="1:3" x14ac:dyDescent="0.35">
      <c r="A1667" s="6">
        <v>29457</v>
      </c>
      <c r="B1667" s="10">
        <v>4.2</v>
      </c>
      <c r="C1667" t="str">
        <f>IF(acs2015_county_data[[#This Row],[Unemployment]]&gt;='Описательные характеристики'!$I$5,"да","нет")</f>
        <v>нет</v>
      </c>
    </row>
    <row r="1668" spans="1:3" x14ac:dyDescent="0.35">
      <c r="A1668" s="4">
        <v>30694</v>
      </c>
      <c r="B1668" s="9">
        <v>3.8</v>
      </c>
      <c r="C1668" t="str">
        <f>IF(acs2015_county_data[[#This Row],[Unemployment]]&gt;='Описательные характеристики'!$I$5,"да","нет")</f>
        <v>нет</v>
      </c>
    </row>
    <row r="1669" spans="1:3" x14ac:dyDescent="0.35">
      <c r="A1669" s="6">
        <v>27774</v>
      </c>
      <c r="B1669" s="10">
        <v>2.2000000000000002</v>
      </c>
      <c r="C1669" t="str">
        <f>IF(acs2015_county_data[[#This Row],[Unemployment]]&gt;='Описательные характеристики'!$I$5,"да","нет")</f>
        <v>нет</v>
      </c>
    </row>
    <row r="1670" spans="1:3" x14ac:dyDescent="0.35">
      <c r="A1670" s="4">
        <v>29905</v>
      </c>
      <c r="B1670" s="9">
        <v>0.7</v>
      </c>
      <c r="C1670" t="str">
        <f>IF(acs2015_county_data[[#This Row],[Unemployment]]&gt;='Описательные характеристики'!$I$5,"да","нет")</f>
        <v>нет</v>
      </c>
    </row>
    <row r="1671" spans="1:3" x14ac:dyDescent="0.35">
      <c r="A1671" s="6">
        <v>26229</v>
      </c>
      <c r="B1671" s="10">
        <v>2.6</v>
      </c>
      <c r="C1671" t="str">
        <f>IF(acs2015_county_data[[#This Row],[Unemployment]]&gt;='Описательные характеристики'!$I$5,"да","нет")</f>
        <v>нет</v>
      </c>
    </row>
    <row r="1672" spans="1:3" x14ac:dyDescent="0.35">
      <c r="A1672" s="4">
        <v>30339</v>
      </c>
      <c r="B1672" s="9">
        <v>1.6</v>
      </c>
      <c r="C1672" t="str">
        <f>IF(acs2015_county_data[[#This Row],[Unemployment]]&gt;='Описательные характеристики'!$I$5,"да","нет")</f>
        <v>нет</v>
      </c>
    </row>
    <row r="1673" spans="1:3" x14ac:dyDescent="0.35">
      <c r="A1673" s="6">
        <v>26324</v>
      </c>
      <c r="B1673" s="10">
        <v>2.8</v>
      </c>
      <c r="C1673" t="str">
        <f>IF(acs2015_county_data[[#This Row],[Unemployment]]&gt;='Описательные характеристики'!$I$5,"да","нет")</f>
        <v>нет</v>
      </c>
    </row>
    <row r="1674" spans="1:3" x14ac:dyDescent="0.35">
      <c r="A1674" s="4">
        <v>22857</v>
      </c>
      <c r="B1674" s="9">
        <v>6.4</v>
      </c>
      <c r="C1674" t="str">
        <f>IF(acs2015_county_data[[#This Row],[Unemployment]]&gt;='Описательные характеристики'!$I$5,"да","нет")</f>
        <v>нет</v>
      </c>
    </row>
    <row r="1675" spans="1:3" x14ac:dyDescent="0.35">
      <c r="A1675" s="6">
        <v>25318</v>
      </c>
      <c r="B1675" s="10">
        <v>3.3</v>
      </c>
      <c r="C1675" t="str">
        <f>IF(acs2015_county_data[[#This Row],[Unemployment]]&gt;='Описательные характеристики'!$I$5,"да","нет")</f>
        <v>нет</v>
      </c>
    </row>
    <row r="1676" spans="1:3" x14ac:dyDescent="0.35">
      <c r="A1676" s="4">
        <v>29406</v>
      </c>
      <c r="B1676" s="9">
        <v>2.2999999999999998</v>
      </c>
      <c r="C1676" t="str">
        <f>IF(acs2015_county_data[[#This Row],[Unemployment]]&gt;='Описательные характеристики'!$I$5,"да","нет")</f>
        <v>нет</v>
      </c>
    </row>
    <row r="1677" spans="1:3" x14ac:dyDescent="0.35">
      <c r="A1677" s="6">
        <v>20543</v>
      </c>
      <c r="B1677" s="10">
        <v>7.4</v>
      </c>
      <c r="C1677" t="str">
        <f>IF(acs2015_county_data[[#This Row],[Unemployment]]&gt;='Описательные характеристики'!$I$5,"да","нет")</f>
        <v>нет</v>
      </c>
    </row>
    <row r="1678" spans="1:3" x14ac:dyDescent="0.35">
      <c r="A1678" s="4">
        <v>22176</v>
      </c>
      <c r="B1678" s="9">
        <v>2.6</v>
      </c>
      <c r="C1678" t="str">
        <f>IF(acs2015_county_data[[#This Row],[Unemployment]]&gt;='Описательные характеристики'!$I$5,"да","нет")</f>
        <v>нет</v>
      </c>
    </row>
    <row r="1679" spans="1:3" x14ac:dyDescent="0.35">
      <c r="A1679" s="6">
        <v>22098</v>
      </c>
      <c r="B1679" s="10">
        <v>4.8</v>
      </c>
      <c r="C1679" t="str">
        <f>IF(acs2015_county_data[[#This Row],[Unemployment]]&gt;='Описательные характеристики'!$I$5,"да","нет")</f>
        <v>нет</v>
      </c>
    </row>
    <row r="1680" spans="1:3" x14ac:dyDescent="0.35">
      <c r="A1680" s="4">
        <v>27439</v>
      </c>
      <c r="B1680" s="9">
        <v>4.3</v>
      </c>
      <c r="C1680" t="str">
        <f>IF(acs2015_county_data[[#This Row],[Unemployment]]&gt;='Описательные характеристики'!$I$5,"да","нет")</f>
        <v>нет</v>
      </c>
    </row>
    <row r="1681" spans="1:3" x14ac:dyDescent="0.35">
      <c r="A1681" s="6">
        <v>24286</v>
      </c>
      <c r="B1681" s="10">
        <v>4.5</v>
      </c>
      <c r="C1681" t="str">
        <f>IF(acs2015_county_data[[#This Row],[Unemployment]]&gt;='Описательные характеристики'!$I$5,"да","нет")</f>
        <v>нет</v>
      </c>
    </row>
    <row r="1682" spans="1:3" x14ac:dyDescent="0.35">
      <c r="A1682" s="4">
        <v>25112</v>
      </c>
      <c r="B1682" s="9">
        <v>5.0999999999999996</v>
      </c>
      <c r="C1682" t="str">
        <f>IF(acs2015_county_data[[#This Row],[Unemployment]]&gt;='Описательные характеристики'!$I$5,"да","нет")</f>
        <v>нет</v>
      </c>
    </row>
    <row r="1683" spans="1:3" x14ac:dyDescent="0.35">
      <c r="A1683" s="6">
        <v>29842</v>
      </c>
      <c r="B1683" s="10">
        <v>5.7</v>
      </c>
      <c r="C1683" t="str">
        <f>IF(acs2015_county_data[[#This Row],[Unemployment]]&gt;='Описательные характеристики'!$I$5,"да","нет")</f>
        <v>нет</v>
      </c>
    </row>
    <row r="1684" spans="1:3" x14ac:dyDescent="0.35">
      <c r="A1684" s="4">
        <v>28870</v>
      </c>
      <c r="B1684" s="9">
        <v>4</v>
      </c>
      <c r="C1684" t="str">
        <f>IF(acs2015_county_data[[#This Row],[Unemployment]]&gt;='Описательные характеристики'!$I$5,"да","нет")</f>
        <v>нет</v>
      </c>
    </row>
    <row r="1685" spans="1:3" x14ac:dyDescent="0.35">
      <c r="A1685" s="6">
        <v>27875</v>
      </c>
      <c r="B1685" s="10">
        <v>3.4</v>
      </c>
      <c r="C1685" t="str">
        <f>IF(acs2015_county_data[[#This Row],[Unemployment]]&gt;='Описательные характеристики'!$I$5,"да","нет")</f>
        <v>нет</v>
      </c>
    </row>
    <row r="1686" spans="1:3" x14ac:dyDescent="0.35">
      <c r="A1686" s="4">
        <v>28426</v>
      </c>
      <c r="B1686" s="9">
        <v>3.5</v>
      </c>
      <c r="C1686" t="str">
        <f>IF(acs2015_county_data[[#This Row],[Unemployment]]&gt;='Описательные характеристики'!$I$5,"да","нет")</f>
        <v>нет</v>
      </c>
    </row>
    <row r="1687" spans="1:3" x14ac:dyDescent="0.35">
      <c r="A1687" s="6">
        <v>25837</v>
      </c>
      <c r="B1687" s="10">
        <v>2.4</v>
      </c>
      <c r="C1687" t="str">
        <f>IF(acs2015_county_data[[#This Row],[Unemployment]]&gt;='Описательные характеристики'!$I$5,"да","нет")</f>
        <v>нет</v>
      </c>
    </row>
    <row r="1688" spans="1:3" x14ac:dyDescent="0.35">
      <c r="A1688" s="4">
        <v>22769</v>
      </c>
      <c r="B1688" s="9">
        <v>3.4</v>
      </c>
      <c r="C1688" t="str">
        <f>IF(acs2015_county_data[[#This Row],[Unemployment]]&gt;='Описательные характеристики'!$I$5,"да","нет")</f>
        <v>нет</v>
      </c>
    </row>
    <row r="1689" spans="1:3" x14ac:dyDescent="0.35">
      <c r="A1689" s="6">
        <v>26207</v>
      </c>
      <c r="B1689" s="10">
        <v>4.3</v>
      </c>
      <c r="C1689" t="str">
        <f>IF(acs2015_county_data[[#This Row],[Unemployment]]&gt;='Описательные характеристики'!$I$5,"да","нет")</f>
        <v>нет</v>
      </c>
    </row>
    <row r="1690" spans="1:3" x14ac:dyDescent="0.35">
      <c r="A1690" s="4">
        <v>30790</v>
      </c>
      <c r="B1690" s="9">
        <v>3.1</v>
      </c>
      <c r="C1690" t="str">
        <f>IF(acs2015_county_data[[#This Row],[Unemployment]]&gt;='Описательные характеристики'!$I$5,"да","нет")</f>
        <v>нет</v>
      </c>
    </row>
    <row r="1691" spans="1:3" x14ac:dyDescent="0.35">
      <c r="A1691" s="6">
        <v>23612</v>
      </c>
      <c r="B1691" s="10">
        <v>3.5</v>
      </c>
      <c r="C1691" t="str">
        <f>IF(acs2015_county_data[[#This Row],[Unemployment]]&gt;='Описательные характеристики'!$I$5,"да","нет")</f>
        <v>нет</v>
      </c>
    </row>
    <row r="1692" spans="1:3" x14ac:dyDescent="0.35">
      <c r="A1692" s="4">
        <v>27402</v>
      </c>
      <c r="B1692" s="9">
        <v>5.0999999999999996</v>
      </c>
      <c r="C1692" t="str">
        <f>IF(acs2015_county_data[[#This Row],[Unemployment]]&gt;='Описательные характеристики'!$I$5,"да","нет")</f>
        <v>нет</v>
      </c>
    </row>
    <row r="1693" spans="1:3" x14ac:dyDescent="0.35">
      <c r="A1693" s="6">
        <v>21782</v>
      </c>
      <c r="B1693" s="10">
        <v>3.5</v>
      </c>
      <c r="C1693" t="str">
        <f>IF(acs2015_county_data[[#This Row],[Unemployment]]&gt;='Описательные характеристики'!$I$5,"да","нет")</f>
        <v>нет</v>
      </c>
    </row>
    <row r="1694" spans="1:3" x14ac:dyDescent="0.35">
      <c r="A1694" s="4">
        <v>23333</v>
      </c>
      <c r="B1694" s="9">
        <v>1.9</v>
      </c>
      <c r="C1694" t="str">
        <f>IF(acs2015_county_data[[#This Row],[Unemployment]]&gt;='Описательные характеристики'!$I$5,"да","нет")</f>
        <v>нет</v>
      </c>
    </row>
    <row r="1695" spans="1:3" x14ac:dyDescent="0.35">
      <c r="A1695" s="6">
        <v>23995</v>
      </c>
      <c r="B1695" s="10">
        <v>6</v>
      </c>
      <c r="C1695" t="str">
        <f>IF(acs2015_county_data[[#This Row],[Unemployment]]&gt;='Описательные характеристики'!$I$5,"да","нет")</f>
        <v>нет</v>
      </c>
    </row>
    <row r="1696" spans="1:3" x14ac:dyDescent="0.35">
      <c r="A1696" s="4">
        <v>30424</v>
      </c>
      <c r="B1696" s="9">
        <v>2.5</v>
      </c>
      <c r="C1696" t="str">
        <f>IF(acs2015_county_data[[#This Row],[Unemployment]]&gt;='Описательные характеристики'!$I$5,"да","нет")</f>
        <v>нет</v>
      </c>
    </row>
    <row r="1697" spans="1:3" x14ac:dyDescent="0.35">
      <c r="A1697" s="6">
        <v>26139</v>
      </c>
      <c r="B1697" s="10">
        <v>1.7</v>
      </c>
      <c r="C1697" t="str">
        <f>IF(acs2015_county_data[[#This Row],[Unemployment]]&gt;='Описательные характеристики'!$I$5,"да","нет")</f>
        <v>нет</v>
      </c>
    </row>
    <row r="1698" spans="1:3" x14ac:dyDescent="0.35">
      <c r="A1698" s="4">
        <v>26221</v>
      </c>
      <c r="B1698" s="9">
        <v>1.8</v>
      </c>
      <c r="C1698" t="str">
        <f>IF(acs2015_county_data[[#This Row],[Unemployment]]&gt;='Описательные характеристики'!$I$5,"да","нет")</f>
        <v>нет</v>
      </c>
    </row>
    <row r="1699" spans="1:3" x14ac:dyDescent="0.35">
      <c r="A1699" s="6">
        <v>23152</v>
      </c>
      <c r="B1699" s="10">
        <v>3</v>
      </c>
      <c r="C1699" t="str">
        <f>IF(acs2015_county_data[[#This Row],[Unemployment]]&gt;='Описательные характеристики'!$I$5,"да","нет")</f>
        <v>нет</v>
      </c>
    </row>
    <row r="1700" spans="1:3" x14ac:dyDescent="0.35">
      <c r="A1700" s="4">
        <v>25672</v>
      </c>
      <c r="B1700" s="9">
        <v>0.9</v>
      </c>
      <c r="C1700" t="str">
        <f>IF(acs2015_county_data[[#This Row],[Unemployment]]&gt;='Описательные характеристики'!$I$5,"да","нет")</f>
        <v>нет</v>
      </c>
    </row>
    <row r="1701" spans="1:3" x14ac:dyDescent="0.35">
      <c r="A1701" s="6">
        <v>22949</v>
      </c>
      <c r="B1701" s="10">
        <v>2.9</v>
      </c>
      <c r="C1701" t="str">
        <f>IF(acs2015_county_data[[#This Row],[Unemployment]]&gt;='Описательные характеристики'!$I$5,"да","нет")</f>
        <v>нет</v>
      </c>
    </row>
    <row r="1702" spans="1:3" x14ac:dyDescent="0.35">
      <c r="A1702" s="4">
        <v>26658</v>
      </c>
      <c r="B1702" s="9">
        <v>4</v>
      </c>
      <c r="C1702" t="str">
        <f>IF(acs2015_county_data[[#This Row],[Unemployment]]&gt;='Описательные характеристики'!$I$5,"да","нет")</f>
        <v>нет</v>
      </c>
    </row>
    <row r="1703" spans="1:3" x14ac:dyDescent="0.35">
      <c r="A1703" s="6">
        <v>25469</v>
      </c>
      <c r="B1703" s="10">
        <v>4</v>
      </c>
      <c r="C1703" t="str">
        <f>IF(acs2015_county_data[[#This Row],[Unemployment]]&gt;='Описательные характеристики'!$I$5,"да","нет")</f>
        <v>нет</v>
      </c>
    </row>
    <row r="1704" spans="1:3" x14ac:dyDescent="0.35">
      <c r="A1704" s="4">
        <v>21488</v>
      </c>
      <c r="B1704" s="9">
        <v>3.6</v>
      </c>
      <c r="C1704" t="str">
        <f>IF(acs2015_county_data[[#This Row],[Unemployment]]&gt;='Описательные характеристики'!$I$5,"да","нет")</f>
        <v>нет</v>
      </c>
    </row>
    <row r="1705" spans="1:3" x14ac:dyDescent="0.35">
      <c r="A1705" s="6">
        <v>27360</v>
      </c>
      <c r="B1705" s="10">
        <v>3.8</v>
      </c>
      <c r="C1705" t="str">
        <f>IF(acs2015_county_data[[#This Row],[Unemployment]]&gt;='Описательные характеристики'!$I$5,"да","нет")</f>
        <v>нет</v>
      </c>
    </row>
    <row r="1706" spans="1:3" x14ac:dyDescent="0.35">
      <c r="A1706" s="4">
        <v>26422</v>
      </c>
      <c r="B1706" s="9">
        <v>2.8</v>
      </c>
      <c r="C1706" t="str">
        <f>IF(acs2015_county_data[[#This Row],[Unemployment]]&gt;='Описательные характеристики'!$I$5,"да","нет")</f>
        <v>нет</v>
      </c>
    </row>
    <row r="1707" spans="1:3" x14ac:dyDescent="0.35">
      <c r="A1707" s="6">
        <v>26666</v>
      </c>
      <c r="B1707" s="10">
        <v>1.1000000000000001</v>
      </c>
      <c r="C1707" t="str">
        <f>IF(acs2015_county_data[[#This Row],[Unemployment]]&gt;='Описательные характеристики'!$I$5,"да","нет")</f>
        <v>нет</v>
      </c>
    </row>
    <row r="1708" spans="1:3" x14ac:dyDescent="0.35">
      <c r="A1708" s="4">
        <v>24255</v>
      </c>
      <c r="B1708" s="9">
        <v>5.0999999999999996</v>
      </c>
      <c r="C1708" t="str">
        <f>IF(acs2015_county_data[[#This Row],[Unemployment]]&gt;='Описательные характеристики'!$I$5,"да","нет")</f>
        <v>нет</v>
      </c>
    </row>
    <row r="1709" spans="1:3" x14ac:dyDescent="0.35">
      <c r="A1709" s="6">
        <v>26560</v>
      </c>
      <c r="B1709" s="10">
        <v>3.3</v>
      </c>
      <c r="C1709" t="str">
        <f>IF(acs2015_county_data[[#This Row],[Unemployment]]&gt;='Описательные характеристики'!$I$5,"да","нет")</f>
        <v>нет</v>
      </c>
    </row>
    <row r="1710" spans="1:3" x14ac:dyDescent="0.35">
      <c r="A1710" s="4">
        <v>27764</v>
      </c>
      <c r="B1710" s="9">
        <v>5.0999999999999996</v>
      </c>
      <c r="C1710" t="str">
        <f>IF(acs2015_county_data[[#This Row],[Unemployment]]&gt;='Описательные характеристики'!$I$5,"да","нет")</f>
        <v>нет</v>
      </c>
    </row>
    <row r="1711" spans="1:3" x14ac:dyDescent="0.35">
      <c r="A1711" s="6">
        <v>27056</v>
      </c>
      <c r="B1711" s="10">
        <v>4.2</v>
      </c>
      <c r="C1711" t="str">
        <f>IF(acs2015_county_data[[#This Row],[Unemployment]]&gt;='Описательные характеристики'!$I$5,"да","нет")</f>
        <v>нет</v>
      </c>
    </row>
    <row r="1712" spans="1:3" x14ac:dyDescent="0.35">
      <c r="A1712" s="4">
        <v>25920</v>
      </c>
      <c r="B1712" s="9">
        <v>0.9</v>
      </c>
      <c r="C1712" t="str">
        <f>IF(acs2015_county_data[[#This Row],[Unemployment]]&gt;='Описательные характеристики'!$I$5,"да","нет")</f>
        <v>нет</v>
      </c>
    </row>
    <row r="1713" spans="1:3" x14ac:dyDescent="0.35">
      <c r="A1713" s="6">
        <v>27794</v>
      </c>
      <c r="B1713" s="10">
        <v>0.7</v>
      </c>
      <c r="C1713" t="str">
        <f>IF(acs2015_county_data[[#This Row],[Unemployment]]&gt;='Описательные характеристики'!$I$5,"да","нет")</f>
        <v>нет</v>
      </c>
    </row>
    <row r="1714" spans="1:3" x14ac:dyDescent="0.35">
      <c r="A1714" s="4">
        <v>27364</v>
      </c>
      <c r="B1714" s="9">
        <v>0.9</v>
      </c>
      <c r="C1714" t="str">
        <f>IF(acs2015_county_data[[#This Row],[Unemployment]]&gt;='Описательные характеристики'!$I$5,"да","нет")</f>
        <v>нет</v>
      </c>
    </row>
    <row r="1715" spans="1:3" x14ac:dyDescent="0.35">
      <c r="A1715" s="6">
        <v>26083</v>
      </c>
      <c r="B1715" s="10">
        <v>3.1</v>
      </c>
      <c r="C1715" t="str">
        <f>IF(acs2015_county_data[[#This Row],[Unemployment]]&gt;='Описательные характеристики'!$I$5,"да","нет")</f>
        <v>нет</v>
      </c>
    </row>
    <row r="1716" spans="1:3" x14ac:dyDescent="0.35">
      <c r="A1716" s="4">
        <v>26136</v>
      </c>
      <c r="B1716" s="9">
        <v>5.2</v>
      </c>
      <c r="C1716" t="str">
        <f>IF(acs2015_county_data[[#This Row],[Unemployment]]&gt;='Описательные характеристики'!$I$5,"да","нет")</f>
        <v>нет</v>
      </c>
    </row>
    <row r="1717" spans="1:3" x14ac:dyDescent="0.35">
      <c r="A1717" s="6">
        <v>24869</v>
      </c>
      <c r="B1717" s="10">
        <v>4</v>
      </c>
      <c r="C1717" t="str">
        <f>IF(acs2015_county_data[[#This Row],[Unemployment]]&gt;='Описательные характеристики'!$I$5,"да","нет")</f>
        <v>нет</v>
      </c>
    </row>
    <row r="1718" spans="1:3" x14ac:dyDescent="0.35">
      <c r="A1718" s="4">
        <v>25479</v>
      </c>
      <c r="B1718" s="9">
        <v>3.2</v>
      </c>
      <c r="C1718" t="str">
        <f>IF(acs2015_county_data[[#This Row],[Unemployment]]&gt;='Описательные характеристики'!$I$5,"да","нет")</f>
        <v>нет</v>
      </c>
    </row>
    <row r="1719" spans="1:3" x14ac:dyDescent="0.35">
      <c r="A1719" s="6">
        <v>27087</v>
      </c>
      <c r="B1719" s="10">
        <v>8</v>
      </c>
      <c r="C1719" t="str">
        <f>IF(acs2015_county_data[[#This Row],[Unemployment]]&gt;='Описательные характеристики'!$I$5,"да","нет")</f>
        <v>да</v>
      </c>
    </row>
    <row r="1720" spans="1:3" x14ac:dyDescent="0.35">
      <c r="A1720" s="4">
        <v>24447</v>
      </c>
      <c r="B1720" s="9">
        <v>2.9</v>
      </c>
      <c r="C1720" t="str">
        <f>IF(acs2015_county_data[[#This Row],[Unemployment]]&gt;='Описательные характеристики'!$I$5,"да","нет")</f>
        <v>нет</v>
      </c>
    </row>
    <row r="1721" spans="1:3" x14ac:dyDescent="0.35">
      <c r="A1721" s="6">
        <v>26032</v>
      </c>
      <c r="B1721" s="10">
        <v>4.5999999999999996</v>
      </c>
      <c r="C1721" t="str">
        <f>IF(acs2015_county_data[[#This Row],[Unemployment]]&gt;='Описательные характеристики'!$I$5,"да","нет")</f>
        <v>нет</v>
      </c>
    </row>
    <row r="1722" spans="1:3" x14ac:dyDescent="0.35">
      <c r="A1722" s="4">
        <v>29030</v>
      </c>
      <c r="B1722" s="9">
        <v>4.5999999999999996</v>
      </c>
      <c r="C1722" t="str">
        <f>IF(acs2015_county_data[[#This Row],[Unemployment]]&gt;='Описательные характеристики'!$I$5,"да","нет")</f>
        <v>нет</v>
      </c>
    </row>
    <row r="1723" spans="1:3" x14ac:dyDescent="0.35">
      <c r="A1723" s="6">
        <v>29171</v>
      </c>
      <c r="B1723" s="10">
        <v>1.7</v>
      </c>
      <c r="C1723" t="str">
        <f>IF(acs2015_county_data[[#This Row],[Unemployment]]&gt;='Описательные характеристики'!$I$5,"да","нет")</f>
        <v>нет</v>
      </c>
    </row>
    <row r="1724" spans="1:3" x14ac:dyDescent="0.35">
      <c r="A1724" s="4">
        <v>26697</v>
      </c>
      <c r="B1724" s="9">
        <v>1.7</v>
      </c>
      <c r="C1724" t="str">
        <f>IF(acs2015_county_data[[#This Row],[Unemployment]]&gt;='Описательные характеристики'!$I$5,"да","нет")</f>
        <v>нет</v>
      </c>
    </row>
    <row r="1725" spans="1:3" x14ac:dyDescent="0.35">
      <c r="A1725" s="6">
        <v>26668</v>
      </c>
      <c r="B1725" s="10">
        <v>4.7</v>
      </c>
      <c r="C1725" t="str">
        <f>IF(acs2015_county_data[[#This Row],[Unemployment]]&gt;='Описательные характеристики'!$I$5,"да","нет")</f>
        <v>нет</v>
      </c>
    </row>
    <row r="1726" spans="1:3" x14ac:dyDescent="0.35">
      <c r="A1726" s="4">
        <v>25869</v>
      </c>
      <c r="B1726" s="9">
        <v>4.5</v>
      </c>
      <c r="C1726" t="str">
        <f>IF(acs2015_county_data[[#This Row],[Unemployment]]&gt;='Описательные характеристики'!$I$5,"да","нет")</f>
        <v>нет</v>
      </c>
    </row>
    <row r="1727" spans="1:3" x14ac:dyDescent="0.35">
      <c r="A1727" s="6">
        <v>30428</v>
      </c>
      <c r="B1727" s="10">
        <v>1.9</v>
      </c>
      <c r="C1727" t="str">
        <f>IF(acs2015_county_data[[#This Row],[Unemployment]]&gt;='Описательные характеристики'!$I$5,"да","нет")</f>
        <v>нет</v>
      </c>
    </row>
    <row r="1728" spans="1:3" x14ac:dyDescent="0.35">
      <c r="A1728" s="4">
        <v>23387</v>
      </c>
      <c r="B1728" s="9">
        <v>4.0999999999999996</v>
      </c>
      <c r="C1728" t="str">
        <f>IF(acs2015_county_data[[#This Row],[Unemployment]]&gt;='Описательные характеристики'!$I$5,"да","нет")</f>
        <v>нет</v>
      </c>
    </row>
    <row r="1729" spans="1:3" x14ac:dyDescent="0.35">
      <c r="A1729" s="6">
        <v>25358</v>
      </c>
      <c r="B1729" s="10">
        <v>3.4</v>
      </c>
      <c r="C1729" t="str">
        <f>IF(acs2015_county_data[[#This Row],[Unemployment]]&gt;='Описательные характеристики'!$I$5,"да","нет")</f>
        <v>нет</v>
      </c>
    </row>
    <row r="1730" spans="1:3" x14ac:dyDescent="0.35">
      <c r="A1730" s="4">
        <v>29205</v>
      </c>
      <c r="B1730" s="9">
        <v>1.7</v>
      </c>
      <c r="C1730" t="str">
        <f>IF(acs2015_county_data[[#This Row],[Unemployment]]&gt;='Описательные характеристики'!$I$5,"да","нет")</f>
        <v>нет</v>
      </c>
    </row>
    <row r="1731" spans="1:3" x14ac:dyDescent="0.35">
      <c r="A1731" s="6">
        <v>21955</v>
      </c>
      <c r="B1731" s="10">
        <v>3.4</v>
      </c>
      <c r="C1731" t="str">
        <f>IF(acs2015_county_data[[#This Row],[Unemployment]]&gt;='Описательные характеристики'!$I$5,"да","нет")</f>
        <v>нет</v>
      </c>
    </row>
    <row r="1732" spans="1:3" x14ac:dyDescent="0.35">
      <c r="A1732" s="4">
        <v>30902</v>
      </c>
      <c r="B1732" s="9">
        <v>4.4000000000000004</v>
      </c>
      <c r="C1732" t="str">
        <f>IF(acs2015_county_data[[#This Row],[Unemployment]]&gt;='Описательные характеристики'!$I$5,"да","нет")</f>
        <v>нет</v>
      </c>
    </row>
    <row r="1733" spans="1:3" x14ac:dyDescent="0.35">
      <c r="A1733" s="6">
        <v>29637</v>
      </c>
      <c r="B1733" s="10">
        <v>3.5</v>
      </c>
      <c r="C1733" t="str">
        <f>IF(acs2015_county_data[[#This Row],[Unemployment]]&gt;='Описательные характеристики'!$I$5,"да","нет")</f>
        <v>нет</v>
      </c>
    </row>
    <row r="1734" spans="1:3" x14ac:dyDescent="0.35">
      <c r="A1734" s="4">
        <v>25064</v>
      </c>
      <c r="B1734" s="9">
        <v>5.5</v>
      </c>
      <c r="C1734" t="str">
        <f>IF(acs2015_county_data[[#This Row],[Unemployment]]&gt;='Описательные характеристики'!$I$5,"да","нет")</f>
        <v>нет</v>
      </c>
    </row>
    <row r="1735" spans="1:3" x14ac:dyDescent="0.35">
      <c r="A1735" s="6">
        <v>28124</v>
      </c>
      <c r="B1735" s="10">
        <v>3.5</v>
      </c>
      <c r="C1735" t="str">
        <f>IF(acs2015_county_data[[#This Row],[Unemployment]]&gt;='Описательные характеристики'!$I$5,"да","нет")</f>
        <v>нет</v>
      </c>
    </row>
    <row r="1736" spans="1:3" x14ac:dyDescent="0.35">
      <c r="A1736" s="4">
        <v>23734</v>
      </c>
      <c r="B1736" s="9">
        <v>1.4</v>
      </c>
      <c r="C1736" t="str">
        <f>IF(acs2015_county_data[[#This Row],[Unemployment]]&gt;='Описательные характеристики'!$I$5,"да","нет")</f>
        <v>нет</v>
      </c>
    </row>
    <row r="1737" spans="1:3" x14ac:dyDescent="0.35">
      <c r="A1737" s="6">
        <v>26416</v>
      </c>
      <c r="B1737" s="10">
        <v>3.1</v>
      </c>
      <c r="C1737" t="str">
        <f>IF(acs2015_county_data[[#This Row],[Unemployment]]&gt;='Описательные характеристики'!$I$5,"да","нет")</f>
        <v>нет</v>
      </c>
    </row>
    <row r="1738" spans="1:3" x14ac:dyDescent="0.35">
      <c r="A1738" s="4">
        <v>27216</v>
      </c>
      <c r="B1738" s="9">
        <v>1.3</v>
      </c>
      <c r="C1738" t="str">
        <f>IF(acs2015_county_data[[#This Row],[Unemployment]]&gt;='Описательные характеристики'!$I$5,"да","нет")</f>
        <v>нет</v>
      </c>
    </row>
    <row r="1739" spans="1:3" x14ac:dyDescent="0.35">
      <c r="A1739" s="6">
        <v>27463</v>
      </c>
      <c r="B1739" s="10">
        <v>2.6</v>
      </c>
      <c r="C1739" t="str">
        <f>IF(acs2015_county_data[[#This Row],[Unemployment]]&gt;='Описательные характеристики'!$I$5,"да","нет")</f>
        <v>нет</v>
      </c>
    </row>
    <row r="1740" spans="1:3" x14ac:dyDescent="0.35">
      <c r="A1740" s="4">
        <v>29120</v>
      </c>
      <c r="B1740" s="9">
        <v>1.7</v>
      </c>
      <c r="C1740" t="str">
        <f>IF(acs2015_county_data[[#This Row],[Unemployment]]&gt;='Описательные характеристики'!$I$5,"да","нет")</f>
        <v>нет</v>
      </c>
    </row>
    <row r="1741" spans="1:3" x14ac:dyDescent="0.35">
      <c r="A1741" s="6">
        <v>30475</v>
      </c>
      <c r="B1741" s="10">
        <v>0</v>
      </c>
      <c r="C1741" t="str">
        <f>IF(acs2015_county_data[[#This Row],[Unemployment]]&gt;='Описательные характеристики'!$I$5,"да","нет")</f>
        <v>нет</v>
      </c>
    </row>
    <row r="1742" spans="1:3" x14ac:dyDescent="0.35">
      <c r="A1742" s="4">
        <v>18529</v>
      </c>
      <c r="B1742" s="9">
        <v>14.4</v>
      </c>
      <c r="C1742" t="str">
        <f>IF(acs2015_county_data[[#This Row],[Unemployment]]&gt;='Описательные характеристики'!$I$5,"да","нет")</f>
        <v>да</v>
      </c>
    </row>
    <row r="1743" spans="1:3" x14ac:dyDescent="0.35">
      <c r="A1743" s="6">
        <v>25951</v>
      </c>
      <c r="B1743" s="10">
        <v>1.4</v>
      </c>
      <c r="C1743" t="str">
        <f>IF(acs2015_county_data[[#This Row],[Unemployment]]&gt;='Описательные характеристики'!$I$5,"да","нет")</f>
        <v>нет</v>
      </c>
    </row>
    <row r="1744" spans="1:3" x14ac:dyDescent="0.35">
      <c r="A1744" s="4">
        <v>31151</v>
      </c>
      <c r="B1744" s="9">
        <v>1.4</v>
      </c>
      <c r="C1744" t="str">
        <f>IF(acs2015_county_data[[#This Row],[Unemployment]]&gt;='Описательные характеристики'!$I$5,"да","нет")</f>
        <v>нет</v>
      </c>
    </row>
    <row r="1745" spans="1:3" x14ac:dyDescent="0.35">
      <c r="A1745" s="6">
        <v>26031</v>
      </c>
      <c r="B1745" s="10">
        <v>3</v>
      </c>
      <c r="C1745" t="str">
        <f>IF(acs2015_county_data[[#This Row],[Unemployment]]&gt;='Описательные характеристики'!$I$5,"да","нет")</f>
        <v>нет</v>
      </c>
    </row>
    <row r="1746" spans="1:3" x14ac:dyDescent="0.35">
      <c r="A1746" s="4">
        <v>22385</v>
      </c>
      <c r="B1746" s="9">
        <v>4.7</v>
      </c>
      <c r="C1746" t="str">
        <f>IF(acs2015_county_data[[#This Row],[Unemployment]]&gt;='Описательные характеристики'!$I$5,"да","нет")</f>
        <v>нет</v>
      </c>
    </row>
    <row r="1747" spans="1:3" x14ac:dyDescent="0.35">
      <c r="A1747" s="6">
        <v>30126</v>
      </c>
      <c r="B1747" s="10">
        <v>2.9</v>
      </c>
      <c r="C1747" t="str">
        <f>IF(acs2015_county_data[[#This Row],[Unemployment]]&gt;='Описательные характеристики'!$I$5,"да","нет")</f>
        <v>нет</v>
      </c>
    </row>
    <row r="1748" spans="1:3" x14ac:dyDescent="0.35">
      <c r="A1748" s="4">
        <v>27646</v>
      </c>
      <c r="B1748" s="9">
        <v>2</v>
      </c>
      <c r="C1748" t="str">
        <f>IF(acs2015_county_data[[#This Row],[Unemployment]]&gt;='Описательные характеристики'!$I$5,"да","нет")</f>
        <v>нет</v>
      </c>
    </row>
    <row r="1749" spans="1:3" x14ac:dyDescent="0.35">
      <c r="A1749" s="6">
        <v>24202</v>
      </c>
      <c r="B1749" s="10">
        <v>11.9</v>
      </c>
      <c r="C1749" t="str">
        <f>IF(acs2015_county_data[[#This Row],[Unemployment]]&gt;='Описательные характеристики'!$I$5,"да","нет")</f>
        <v>да</v>
      </c>
    </row>
    <row r="1750" spans="1:3" x14ac:dyDescent="0.35">
      <c r="A1750" s="4">
        <v>26048</v>
      </c>
      <c r="B1750" s="9">
        <v>10.8</v>
      </c>
      <c r="C1750" t="str">
        <f>IF(acs2015_county_data[[#This Row],[Unemployment]]&gt;='Описательные характеристики'!$I$5,"да","нет")</f>
        <v>да</v>
      </c>
    </row>
    <row r="1751" spans="1:3" x14ac:dyDescent="0.35">
      <c r="A1751" s="6">
        <v>33057</v>
      </c>
      <c r="B1751" s="10">
        <v>8.5</v>
      </c>
      <c r="C1751" t="str">
        <f>IF(acs2015_county_data[[#This Row],[Unemployment]]&gt;='Описательные характеристики'!$I$5,"да","нет")</f>
        <v>да</v>
      </c>
    </row>
    <row r="1752" spans="1:3" x14ac:dyDescent="0.35">
      <c r="A1752" s="4">
        <v>29988</v>
      </c>
      <c r="B1752" s="9">
        <v>5.5</v>
      </c>
      <c r="C1752" t="str">
        <f>IF(acs2015_county_data[[#This Row],[Unemployment]]&gt;='Описательные характеристики'!$I$5,"да","нет")</f>
        <v>нет</v>
      </c>
    </row>
    <row r="1753" spans="1:3" x14ac:dyDescent="0.35">
      <c r="A1753" s="6">
        <v>20984</v>
      </c>
      <c r="B1753" s="10">
        <v>11.9</v>
      </c>
      <c r="C1753" t="str">
        <f>IF(acs2015_county_data[[#This Row],[Unemployment]]&gt;='Описательные характеристики'!$I$5,"да","нет")</f>
        <v>да</v>
      </c>
    </row>
    <row r="1754" spans="1:3" x14ac:dyDescent="0.35">
      <c r="A1754" s="4">
        <v>30459</v>
      </c>
      <c r="B1754" s="9">
        <v>4.7</v>
      </c>
      <c r="C1754" t="str">
        <f>IF(acs2015_county_data[[#This Row],[Unemployment]]&gt;='Описательные характеристики'!$I$5,"да","нет")</f>
        <v>нет</v>
      </c>
    </row>
    <row r="1755" spans="1:3" x14ac:dyDescent="0.35">
      <c r="A1755" s="6">
        <v>27255</v>
      </c>
      <c r="B1755" s="10">
        <v>7.8</v>
      </c>
      <c r="C1755" t="str">
        <f>IF(acs2015_county_data[[#This Row],[Unemployment]]&gt;='Описательные характеристики'!$I$5,"да","нет")</f>
        <v>да</v>
      </c>
    </row>
    <row r="1756" spans="1:3" x14ac:dyDescent="0.35">
      <c r="A1756" s="4">
        <v>29390</v>
      </c>
      <c r="B1756" s="9">
        <v>12</v>
      </c>
      <c r="C1756" t="str">
        <f>IF(acs2015_county_data[[#This Row],[Unemployment]]&gt;='Описательные характеристики'!$I$5,"да","нет")</f>
        <v>да</v>
      </c>
    </row>
    <row r="1757" spans="1:3" x14ac:dyDescent="0.35">
      <c r="A1757" s="6">
        <v>23924</v>
      </c>
      <c r="B1757" s="10">
        <v>11.8</v>
      </c>
      <c r="C1757" t="str">
        <f>IF(acs2015_county_data[[#This Row],[Unemployment]]&gt;='Описательные характеристики'!$I$5,"да","нет")</f>
        <v>да</v>
      </c>
    </row>
    <row r="1758" spans="1:3" x14ac:dyDescent="0.35">
      <c r="A1758" s="4">
        <v>23173</v>
      </c>
      <c r="B1758" s="9">
        <v>13.6</v>
      </c>
      <c r="C1758" t="str">
        <f>IF(acs2015_county_data[[#This Row],[Unemployment]]&gt;='Описательные характеристики'!$I$5,"да","нет")</f>
        <v>да</v>
      </c>
    </row>
    <row r="1759" spans="1:3" x14ac:dyDescent="0.35">
      <c r="A1759" s="6">
        <v>24146</v>
      </c>
      <c r="B1759" s="10">
        <v>15.4</v>
      </c>
      <c r="C1759" t="str">
        <f>IF(acs2015_county_data[[#This Row],[Unemployment]]&gt;='Описательные характеристики'!$I$5,"да","нет")</f>
        <v>да</v>
      </c>
    </row>
    <row r="1760" spans="1:3" x14ac:dyDescent="0.35">
      <c r="A1760" s="4">
        <v>23085</v>
      </c>
      <c r="B1760" s="9">
        <v>13.4</v>
      </c>
      <c r="C1760" t="str">
        <f>IF(acs2015_county_data[[#This Row],[Unemployment]]&gt;='Описательные характеристики'!$I$5,"да","нет")</f>
        <v>да</v>
      </c>
    </row>
    <row r="1761" spans="1:3" x14ac:dyDescent="0.35">
      <c r="A1761" s="6">
        <v>17332</v>
      </c>
      <c r="B1761" s="10">
        <v>9.5</v>
      </c>
      <c r="C1761" t="str">
        <f>IF(acs2015_county_data[[#This Row],[Unemployment]]&gt;='Описательные характеристики'!$I$5,"да","нет")</f>
        <v>да</v>
      </c>
    </row>
    <row r="1762" spans="1:3" x14ac:dyDescent="0.35">
      <c r="A1762" s="4">
        <v>35115</v>
      </c>
      <c r="B1762" s="9">
        <v>10.3</v>
      </c>
      <c r="C1762" t="str">
        <f>IF(acs2015_county_data[[#This Row],[Unemployment]]&gt;='Описательные характеристики'!$I$5,"да","нет")</f>
        <v>да</v>
      </c>
    </row>
    <row r="1763" spans="1:3" x14ac:dyDescent="0.35">
      <c r="A1763" s="6">
        <v>28757</v>
      </c>
      <c r="B1763" s="10">
        <v>9.1</v>
      </c>
      <c r="C1763" t="str">
        <f>IF(acs2015_county_data[[#This Row],[Unemployment]]&gt;='Описательные характеристики'!$I$5,"да","нет")</f>
        <v>да</v>
      </c>
    </row>
    <row r="1764" spans="1:3" x14ac:dyDescent="0.35">
      <c r="A1764" s="4">
        <v>24359</v>
      </c>
      <c r="B1764" s="9">
        <v>10.6</v>
      </c>
      <c r="C1764" t="str">
        <f>IF(acs2015_county_data[[#This Row],[Unemployment]]&gt;='Описательные характеристики'!$I$5,"да","нет")</f>
        <v>да</v>
      </c>
    </row>
    <row r="1765" spans="1:3" x14ac:dyDescent="0.35">
      <c r="A1765" s="6">
        <v>26127</v>
      </c>
      <c r="B1765" s="10">
        <v>11.3</v>
      </c>
      <c r="C1765" t="str">
        <f>IF(acs2015_county_data[[#This Row],[Unemployment]]&gt;='Описательные характеристики'!$I$5,"да","нет")</f>
        <v>да</v>
      </c>
    </row>
    <row r="1766" spans="1:3" x14ac:dyDescent="0.35">
      <c r="A1766" s="4">
        <v>31644</v>
      </c>
      <c r="B1766" s="9">
        <v>5.3</v>
      </c>
      <c r="C1766" t="str">
        <f>IF(acs2015_county_data[[#This Row],[Unemployment]]&gt;='Описательные характеристики'!$I$5,"да","нет")</f>
        <v>нет</v>
      </c>
    </row>
    <row r="1767" spans="1:3" x14ac:dyDescent="0.35">
      <c r="A1767" s="6">
        <v>32612</v>
      </c>
      <c r="B1767" s="10">
        <v>5.8</v>
      </c>
      <c r="C1767" t="str">
        <f>IF(acs2015_county_data[[#This Row],[Unemployment]]&gt;='Описательные характеристики'!$I$5,"да","нет")</f>
        <v>нет</v>
      </c>
    </row>
    <row r="1768" spans="1:3" x14ac:dyDescent="0.35">
      <c r="A1768" s="4">
        <v>30181</v>
      </c>
      <c r="B1768" s="9">
        <v>6.1</v>
      </c>
      <c r="C1768" t="str">
        <f>IF(acs2015_county_data[[#This Row],[Unemployment]]&gt;='Описательные характеристики'!$I$5,"да","нет")</f>
        <v>нет</v>
      </c>
    </row>
    <row r="1769" spans="1:3" x14ac:dyDescent="0.35">
      <c r="A1769" s="6">
        <v>24546</v>
      </c>
      <c r="B1769" s="10">
        <v>6.9</v>
      </c>
      <c r="C1769" t="str">
        <f>IF(acs2015_county_data[[#This Row],[Unemployment]]&gt;='Описательные характеристики'!$I$5,"да","нет")</f>
        <v>нет</v>
      </c>
    </row>
    <row r="1770" spans="1:3" x14ac:dyDescent="0.35">
      <c r="A1770" s="4">
        <v>32469</v>
      </c>
      <c r="B1770" s="9">
        <v>5</v>
      </c>
      <c r="C1770" t="str">
        <f>IF(acs2015_county_data[[#This Row],[Unemployment]]&gt;='Описательные характеристики'!$I$5,"да","нет")</f>
        <v>нет</v>
      </c>
    </row>
    <row r="1771" spans="1:3" x14ac:dyDescent="0.35">
      <c r="A1771" s="6">
        <v>35242</v>
      </c>
      <c r="B1771" s="10">
        <v>5.9</v>
      </c>
      <c r="C1771" t="str">
        <f>IF(acs2015_county_data[[#This Row],[Unemployment]]&gt;='Описательные характеристики'!$I$5,"да","нет")</f>
        <v>нет</v>
      </c>
    </row>
    <row r="1772" spans="1:3" x14ac:dyDescent="0.35">
      <c r="A1772" s="4">
        <v>32020</v>
      </c>
      <c r="B1772" s="9">
        <v>5.2</v>
      </c>
      <c r="C1772" t="str">
        <f>IF(acs2015_county_data[[#This Row],[Unemployment]]&gt;='Описательные характеристики'!$I$5,"да","нет")</f>
        <v>нет</v>
      </c>
    </row>
    <row r="1773" spans="1:3" x14ac:dyDescent="0.35">
      <c r="A1773" s="6">
        <v>40469</v>
      </c>
      <c r="B1773" s="10">
        <v>5.6</v>
      </c>
      <c r="C1773" t="str">
        <f>IF(acs2015_county_data[[#This Row],[Unemployment]]&gt;='Описательные характеристики'!$I$5,"да","нет")</f>
        <v>нет</v>
      </c>
    </row>
    <row r="1774" spans="1:3" x14ac:dyDescent="0.35">
      <c r="A1774" s="4">
        <v>29917</v>
      </c>
      <c r="B1774" s="9">
        <v>6.5</v>
      </c>
      <c r="C1774" t="str">
        <f>IF(acs2015_county_data[[#This Row],[Unemployment]]&gt;='Описательные характеристики'!$I$5,"да","нет")</f>
        <v>нет</v>
      </c>
    </row>
    <row r="1775" spans="1:3" x14ac:dyDescent="0.35">
      <c r="A1775" s="6">
        <v>29004</v>
      </c>
      <c r="B1775" s="10">
        <v>5.8</v>
      </c>
      <c r="C1775" t="str">
        <f>IF(acs2015_county_data[[#This Row],[Unemployment]]&gt;='Описательные характеристики'!$I$5,"да","нет")</f>
        <v>нет</v>
      </c>
    </row>
    <row r="1776" spans="1:3" x14ac:dyDescent="0.35">
      <c r="A1776" s="4">
        <v>28005</v>
      </c>
      <c r="B1776" s="9">
        <v>12.5</v>
      </c>
      <c r="C1776" t="str">
        <f>IF(acs2015_county_data[[#This Row],[Unemployment]]&gt;='Описательные характеристики'!$I$5,"да","нет")</f>
        <v>да</v>
      </c>
    </row>
    <row r="1777" spans="1:3" x14ac:dyDescent="0.35">
      <c r="A1777" s="6">
        <v>44002</v>
      </c>
      <c r="B1777" s="10">
        <v>6.5</v>
      </c>
      <c r="C1777" t="str">
        <f>IF(acs2015_county_data[[#This Row],[Unemployment]]&gt;='Описательные характеристики'!$I$5,"да","нет")</f>
        <v>нет</v>
      </c>
    </row>
    <row r="1778" spans="1:3" x14ac:dyDescent="0.35">
      <c r="A1778" s="4">
        <v>37255</v>
      </c>
      <c r="B1778" s="9">
        <v>8.5</v>
      </c>
      <c r="C1778" t="str">
        <f>IF(acs2015_county_data[[#This Row],[Unemployment]]&gt;='Описательные характеристики'!$I$5,"да","нет")</f>
        <v>да</v>
      </c>
    </row>
    <row r="1779" spans="1:3" x14ac:dyDescent="0.35">
      <c r="A1779" s="6">
        <v>30822</v>
      </c>
      <c r="B1779" s="10">
        <v>10.199999999999999</v>
      </c>
      <c r="C1779" t="str">
        <f>IF(acs2015_county_data[[#This Row],[Unemployment]]&gt;='Описательные характеристики'!$I$5,"да","нет")</f>
        <v>да</v>
      </c>
    </row>
    <row r="1780" spans="1:3" x14ac:dyDescent="0.35">
      <c r="A1780" s="4">
        <v>33028</v>
      </c>
      <c r="B1780" s="9">
        <v>10</v>
      </c>
      <c r="C1780" t="str">
        <f>IF(acs2015_county_data[[#This Row],[Unemployment]]&gt;='Описательные характеристики'!$I$5,"да","нет")</f>
        <v>да</v>
      </c>
    </row>
    <row r="1781" spans="1:3" x14ac:dyDescent="0.35">
      <c r="A1781" s="6">
        <v>22417</v>
      </c>
      <c r="B1781" s="10">
        <v>11.1</v>
      </c>
      <c r="C1781" t="str">
        <f>IF(acs2015_county_data[[#This Row],[Unemployment]]&gt;='Описательные характеристики'!$I$5,"да","нет")</f>
        <v>да</v>
      </c>
    </row>
    <row r="1782" spans="1:3" x14ac:dyDescent="0.35">
      <c r="A1782" s="4">
        <v>32708</v>
      </c>
      <c r="B1782" s="9">
        <v>13</v>
      </c>
      <c r="C1782" t="str">
        <f>IF(acs2015_county_data[[#This Row],[Unemployment]]&gt;='Описательные характеристики'!$I$5,"да","нет")</f>
        <v>да</v>
      </c>
    </row>
    <row r="1783" spans="1:3" x14ac:dyDescent="0.35">
      <c r="A1783" s="6">
        <v>34025</v>
      </c>
      <c r="B1783" s="10">
        <v>9.1999999999999993</v>
      </c>
      <c r="C1783" t="str">
        <f>IF(acs2015_county_data[[#This Row],[Unemployment]]&gt;='Описательные характеристики'!$I$5,"да","нет")</f>
        <v>да</v>
      </c>
    </row>
    <row r="1784" spans="1:3" x14ac:dyDescent="0.35">
      <c r="A1784" s="4">
        <v>33185</v>
      </c>
      <c r="B1784" s="9">
        <v>9.3000000000000007</v>
      </c>
      <c r="C1784" t="str">
        <f>IF(acs2015_county_data[[#This Row],[Unemployment]]&gt;='Описательные характеристики'!$I$5,"да","нет")</f>
        <v>да</v>
      </c>
    </row>
    <row r="1785" spans="1:3" x14ac:dyDescent="0.35">
      <c r="A1785" s="6">
        <v>51353</v>
      </c>
      <c r="B1785" s="10">
        <v>5.9</v>
      </c>
      <c r="C1785" t="str">
        <f>IF(acs2015_county_data[[#This Row],[Unemployment]]&gt;='Описательные характеристики'!$I$5,"да","нет")</f>
        <v>нет</v>
      </c>
    </row>
    <row r="1786" spans="1:3" x14ac:dyDescent="0.35">
      <c r="A1786" s="4">
        <v>37680</v>
      </c>
      <c r="B1786" s="9">
        <v>9.4</v>
      </c>
      <c r="C1786" t="str">
        <f>IF(acs2015_county_data[[#This Row],[Unemployment]]&gt;='Описательные характеристики'!$I$5,"да","нет")</f>
        <v>да</v>
      </c>
    </row>
    <row r="1787" spans="1:3" x14ac:dyDescent="0.35">
      <c r="A1787" s="6">
        <v>34674</v>
      </c>
      <c r="B1787" s="10">
        <v>7.5</v>
      </c>
      <c r="C1787" t="str">
        <f>IF(acs2015_county_data[[#This Row],[Unemployment]]&gt;='Описательные характеристики'!$I$5,"да","нет")</f>
        <v>нет</v>
      </c>
    </row>
    <row r="1788" spans="1:3" x14ac:dyDescent="0.35">
      <c r="A1788" s="4">
        <v>43469</v>
      </c>
      <c r="B1788" s="9">
        <v>7.9</v>
      </c>
      <c r="C1788" t="str">
        <f>IF(acs2015_county_data[[#This Row],[Unemployment]]&gt;='Описательные характеристики'!$I$5,"да","нет")</f>
        <v>да</v>
      </c>
    </row>
    <row r="1789" spans="1:3" x14ac:dyDescent="0.35">
      <c r="A1789" s="6">
        <v>49552</v>
      </c>
      <c r="B1789" s="10">
        <v>6.3</v>
      </c>
      <c r="C1789" t="str">
        <f>IF(acs2015_county_data[[#This Row],[Unemployment]]&gt;='Описательные характеристики'!$I$5,"да","нет")</f>
        <v>нет</v>
      </c>
    </row>
    <row r="1790" spans="1:3" x14ac:dyDescent="0.35">
      <c r="A1790" s="4">
        <v>31200</v>
      </c>
      <c r="B1790" s="9">
        <v>8.8000000000000007</v>
      </c>
      <c r="C1790" t="str">
        <f>IF(acs2015_county_data[[#This Row],[Unemployment]]&gt;='Описательные характеристики'!$I$5,"да","нет")</f>
        <v>да</v>
      </c>
    </row>
    <row r="1791" spans="1:3" x14ac:dyDescent="0.35">
      <c r="A1791" s="6">
        <v>27643</v>
      </c>
      <c r="B1791" s="10">
        <v>8.6</v>
      </c>
      <c r="C1791" t="str">
        <f>IF(acs2015_county_data[[#This Row],[Unemployment]]&gt;='Описательные характеристики'!$I$5,"да","нет")</f>
        <v>да</v>
      </c>
    </row>
    <row r="1792" spans="1:3" x14ac:dyDescent="0.35">
      <c r="A1792" s="4">
        <v>29712</v>
      </c>
      <c r="B1792" s="9">
        <v>10.6</v>
      </c>
      <c r="C1792" t="str">
        <f>IF(acs2015_county_data[[#This Row],[Unemployment]]&gt;='Описательные характеристики'!$I$5,"да","нет")</f>
        <v>да</v>
      </c>
    </row>
    <row r="1793" spans="1:3" x14ac:dyDescent="0.35">
      <c r="A1793" s="6">
        <v>48791</v>
      </c>
      <c r="B1793" s="10">
        <v>6</v>
      </c>
      <c r="C1793" t="str">
        <f>IF(acs2015_county_data[[#This Row],[Unemployment]]&gt;='Описательные характеристики'!$I$5,"да","нет")</f>
        <v>нет</v>
      </c>
    </row>
    <row r="1794" spans="1:3" x14ac:dyDescent="0.35">
      <c r="A1794" s="4">
        <v>38810</v>
      </c>
      <c r="B1794" s="9">
        <v>8.1999999999999993</v>
      </c>
      <c r="C1794" t="str">
        <f>IF(acs2015_county_data[[#This Row],[Unemployment]]&gt;='Описательные характеристики'!$I$5,"да","нет")</f>
        <v>да</v>
      </c>
    </row>
    <row r="1795" spans="1:3" x14ac:dyDescent="0.35">
      <c r="A1795" s="6">
        <v>35308</v>
      </c>
      <c r="B1795" s="10">
        <v>9.8000000000000007</v>
      </c>
      <c r="C1795" t="str">
        <f>IF(acs2015_county_data[[#This Row],[Unemployment]]&gt;='Описательные характеристики'!$I$5,"да","нет")</f>
        <v>да</v>
      </c>
    </row>
    <row r="1796" spans="1:3" x14ac:dyDescent="0.35">
      <c r="A1796" s="4">
        <v>34136</v>
      </c>
      <c r="B1796" s="9">
        <v>9</v>
      </c>
      <c r="C1796" t="str">
        <f>IF(acs2015_county_data[[#This Row],[Unemployment]]&gt;='Описательные характеристики'!$I$5,"да","нет")</f>
        <v>да</v>
      </c>
    </row>
    <row r="1797" spans="1:3" x14ac:dyDescent="0.35">
      <c r="A1797" s="6">
        <v>26765</v>
      </c>
      <c r="B1797" s="10">
        <v>8.4</v>
      </c>
      <c r="C1797" t="str">
        <f>IF(acs2015_county_data[[#This Row],[Unemployment]]&gt;='Описательные характеристики'!$I$5,"да","нет")</f>
        <v>да</v>
      </c>
    </row>
    <row r="1798" spans="1:3" x14ac:dyDescent="0.35">
      <c r="A1798" s="4">
        <v>20685</v>
      </c>
      <c r="B1798" s="9">
        <v>4.5999999999999996</v>
      </c>
      <c r="C1798" t="str">
        <f>IF(acs2015_county_data[[#This Row],[Unemployment]]&gt;='Описательные характеристики'!$I$5,"да","нет")</f>
        <v>нет</v>
      </c>
    </row>
    <row r="1799" spans="1:3" x14ac:dyDescent="0.35">
      <c r="A1799" s="6">
        <v>20559</v>
      </c>
      <c r="B1799" s="10">
        <v>7.6</v>
      </c>
      <c r="C1799" t="str">
        <f>IF(acs2015_county_data[[#This Row],[Unemployment]]&gt;='Описательные характеристики'!$I$5,"да","нет")</f>
        <v>да</v>
      </c>
    </row>
    <row r="1800" spans="1:3" x14ac:dyDescent="0.35">
      <c r="A1800" s="4">
        <v>16072</v>
      </c>
      <c r="B1800" s="9">
        <v>15.3</v>
      </c>
      <c r="C1800" t="str">
        <f>IF(acs2015_county_data[[#This Row],[Unemployment]]&gt;='Описательные характеристики'!$I$5,"да","нет")</f>
        <v>да</v>
      </c>
    </row>
    <row r="1801" spans="1:3" x14ac:dyDescent="0.35">
      <c r="A1801" s="6">
        <v>20534</v>
      </c>
      <c r="B1801" s="10">
        <v>9.5</v>
      </c>
      <c r="C1801" t="str">
        <f>IF(acs2015_county_data[[#This Row],[Unemployment]]&gt;='Описательные характеристики'!$I$5,"да","нет")</f>
        <v>да</v>
      </c>
    </row>
    <row r="1802" spans="1:3" x14ac:dyDescent="0.35">
      <c r="A1802" s="4">
        <v>21929</v>
      </c>
      <c r="B1802" s="9">
        <v>9.1</v>
      </c>
      <c r="C1802" t="str">
        <f>IF(acs2015_county_data[[#This Row],[Unemployment]]&gt;='Описательные характеристики'!$I$5,"да","нет")</f>
        <v>да</v>
      </c>
    </row>
    <row r="1803" spans="1:3" x14ac:dyDescent="0.35">
      <c r="A1803" s="6">
        <v>24370</v>
      </c>
      <c r="B1803" s="10">
        <v>5.2</v>
      </c>
      <c r="C1803" t="str">
        <f>IF(acs2015_county_data[[#This Row],[Unemployment]]&gt;='Описательные характеристики'!$I$5,"да","нет")</f>
        <v>нет</v>
      </c>
    </row>
    <row r="1804" spans="1:3" x14ac:dyDescent="0.35">
      <c r="A1804" s="4">
        <v>20129</v>
      </c>
      <c r="B1804" s="9">
        <v>11.5</v>
      </c>
      <c r="C1804" t="str">
        <f>IF(acs2015_county_data[[#This Row],[Unemployment]]&gt;='Описательные характеристики'!$I$5,"да","нет")</f>
        <v>да</v>
      </c>
    </row>
    <row r="1805" spans="1:3" x14ac:dyDescent="0.35">
      <c r="A1805" s="6">
        <v>28308</v>
      </c>
      <c r="B1805" s="10">
        <v>5.8</v>
      </c>
      <c r="C1805" t="str">
        <f>IF(acs2015_county_data[[#This Row],[Unemployment]]&gt;='Описательные характеристики'!$I$5,"да","нет")</f>
        <v>нет</v>
      </c>
    </row>
    <row r="1806" spans="1:3" x14ac:dyDescent="0.35">
      <c r="A1806" s="4">
        <v>23011</v>
      </c>
      <c r="B1806" s="9">
        <v>9.6999999999999993</v>
      </c>
      <c r="C1806" t="str">
        <f>IF(acs2015_county_data[[#This Row],[Unemployment]]&gt;='Описательные характеристики'!$I$5,"да","нет")</f>
        <v>да</v>
      </c>
    </row>
    <row r="1807" spans="1:3" x14ac:dyDescent="0.35">
      <c r="A1807" s="6">
        <v>16820</v>
      </c>
      <c r="B1807" s="10">
        <v>1.2</v>
      </c>
      <c r="C1807" t="str">
        <f>IF(acs2015_county_data[[#This Row],[Unemployment]]&gt;='Описательные характеристики'!$I$5,"да","нет")</f>
        <v>нет</v>
      </c>
    </row>
    <row r="1808" spans="1:3" x14ac:dyDescent="0.35">
      <c r="A1808" s="4">
        <v>22946</v>
      </c>
      <c r="B1808" s="9">
        <v>6</v>
      </c>
      <c r="C1808" t="str">
        <f>IF(acs2015_county_data[[#This Row],[Unemployment]]&gt;='Описательные характеристики'!$I$5,"да","нет")</f>
        <v>нет</v>
      </c>
    </row>
    <row r="1809" spans="1:3" x14ac:dyDescent="0.35">
      <c r="A1809" s="6">
        <v>18871</v>
      </c>
      <c r="B1809" s="10">
        <v>12.2</v>
      </c>
      <c r="C1809" t="str">
        <f>IF(acs2015_county_data[[#This Row],[Unemployment]]&gt;='Описательные характеристики'!$I$5,"да","нет")</f>
        <v>да</v>
      </c>
    </row>
    <row r="1810" spans="1:3" x14ac:dyDescent="0.35">
      <c r="A1810" s="4">
        <v>23804</v>
      </c>
      <c r="B1810" s="9">
        <v>5.9</v>
      </c>
      <c r="C1810" t="str">
        <f>IF(acs2015_county_data[[#This Row],[Unemployment]]&gt;='Описательные характеристики'!$I$5,"да","нет")</f>
        <v>нет</v>
      </c>
    </row>
    <row r="1811" spans="1:3" x14ac:dyDescent="0.35">
      <c r="A1811" s="6">
        <v>25756</v>
      </c>
      <c r="B1811" s="10">
        <v>7.3</v>
      </c>
      <c r="C1811" t="str">
        <f>IF(acs2015_county_data[[#This Row],[Unemployment]]&gt;='Описательные характеристики'!$I$5,"да","нет")</f>
        <v>нет</v>
      </c>
    </row>
    <row r="1812" spans="1:3" x14ac:dyDescent="0.35">
      <c r="A1812" s="4">
        <v>51148</v>
      </c>
      <c r="B1812" s="9">
        <v>3.5</v>
      </c>
      <c r="C1812" t="str">
        <f>IF(acs2015_county_data[[#This Row],[Unemployment]]&gt;='Описательные характеристики'!$I$5,"да","нет")</f>
        <v>нет</v>
      </c>
    </row>
    <row r="1813" spans="1:3" x14ac:dyDescent="0.35">
      <c r="A1813" s="6">
        <v>15078</v>
      </c>
      <c r="B1813" s="10">
        <v>13.8</v>
      </c>
      <c r="C1813" t="str">
        <f>IF(acs2015_county_data[[#This Row],[Unemployment]]&gt;='Описательные характеристики'!$I$5,"да","нет")</f>
        <v>да</v>
      </c>
    </row>
    <row r="1814" spans="1:3" x14ac:dyDescent="0.35">
      <c r="A1814" s="4">
        <v>12614</v>
      </c>
      <c r="B1814" s="9">
        <v>15.5</v>
      </c>
      <c r="C1814" t="str">
        <f>IF(acs2015_county_data[[#This Row],[Unemployment]]&gt;='Описательные характеристики'!$I$5,"да","нет")</f>
        <v>да</v>
      </c>
    </row>
    <row r="1815" spans="1:3" x14ac:dyDescent="0.35">
      <c r="A1815" s="6">
        <v>15591</v>
      </c>
      <c r="B1815" s="10">
        <v>5.4</v>
      </c>
      <c r="C1815" t="str">
        <f>IF(acs2015_county_data[[#This Row],[Unemployment]]&gt;='Описательные характеристики'!$I$5,"да","нет")</f>
        <v>нет</v>
      </c>
    </row>
    <row r="1816" spans="1:3" x14ac:dyDescent="0.35">
      <c r="A1816" s="4">
        <v>19457</v>
      </c>
      <c r="B1816" s="9">
        <v>12.7</v>
      </c>
      <c r="C1816" t="str">
        <f>IF(acs2015_county_data[[#This Row],[Unemployment]]&gt;='Описательные характеристики'!$I$5,"да","нет")</f>
        <v>да</v>
      </c>
    </row>
    <row r="1817" spans="1:3" x14ac:dyDescent="0.35">
      <c r="A1817" s="6">
        <v>17335</v>
      </c>
      <c r="B1817" s="10">
        <v>5</v>
      </c>
      <c r="C1817" t="str">
        <f>IF(acs2015_county_data[[#This Row],[Unemployment]]&gt;='Описательные характеристики'!$I$5,"да","нет")</f>
        <v>нет</v>
      </c>
    </row>
    <row r="1818" spans="1:3" x14ac:dyDescent="0.35">
      <c r="A1818" s="4">
        <v>19678</v>
      </c>
      <c r="B1818" s="9">
        <v>11.4</v>
      </c>
      <c r="C1818" t="str">
        <f>IF(acs2015_county_data[[#This Row],[Unemployment]]&gt;='Описательные характеристики'!$I$5,"да","нет")</f>
        <v>да</v>
      </c>
    </row>
    <row r="1819" spans="1:3" x14ac:dyDescent="0.35">
      <c r="A1819" s="6">
        <v>18187</v>
      </c>
      <c r="B1819" s="10">
        <v>9.6999999999999993</v>
      </c>
      <c r="C1819" t="str">
        <f>IF(acs2015_county_data[[#This Row],[Unemployment]]&gt;='Описательные характеристики'!$I$5,"да","нет")</f>
        <v>да</v>
      </c>
    </row>
    <row r="1820" spans="1:3" x14ac:dyDescent="0.35">
      <c r="A1820" s="4">
        <v>26742</v>
      </c>
      <c r="B1820" s="9">
        <v>9.1999999999999993</v>
      </c>
      <c r="C1820" t="str">
        <f>IF(acs2015_county_data[[#This Row],[Unemployment]]&gt;='Описательные характеристики'!$I$5,"да","нет")</f>
        <v>да</v>
      </c>
    </row>
    <row r="1821" spans="1:3" x14ac:dyDescent="0.35">
      <c r="A1821" s="6">
        <v>22460</v>
      </c>
      <c r="B1821" s="10">
        <v>9.1999999999999993</v>
      </c>
      <c r="C1821" t="str">
        <f>IF(acs2015_county_data[[#This Row],[Unemployment]]&gt;='Описательные характеристики'!$I$5,"да","нет")</f>
        <v>да</v>
      </c>
    </row>
    <row r="1822" spans="1:3" x14ac:dyDescent="0.35">
      <c r="A1822" s="4">
        <v>17849</v>
      </c>
      <c r="B1822" s="9">
        <v>6.4</v>
      </c>
      <c r="C1822" t="str">
        <f>IF(acs2015_county_data[[#This Row],[Unemployment]]&gt;='Описательные характеристики'!$I$5,"да","нет")</f>
        <v>нет</v>
      </c>
    </row>
    <row r="1823" spans="1:3" x14ac:dyDescent="0.35">
      <c r="A1823" s="6">
        <v>33044</v>
      </c>
      <c r="B1823" s="10">
        <v>7.9</v>
      </c>
      <c r="C1823" t="str">
        <f>IF(acs2015_county_data[[#This Row],[Unemployment]]&gt;='Описательные характеристики'!$I$5,"да","нет")</f>
        <v>да</v>
      </c>
    </row>
    <row r="1824" spans="1:3" x14ac:dyDescent="0.35">
      <c r="A1824" s="4">
        <v>18982</v>
      </c>
      <c r="B1824" s="9">
        <v>6.8</v>
      </c>
      <c r="C1824" t="str">
        <f>IF(acs2015_county_data[[#This Row],[Unemployment]]&gt;='Описательные характеристики'!$I$5,"да","нет")</f>
        <v>нет</v>
      </c>
    </row>
    <row r="1825" spans="1:3" x14ac:dyDescent="0.35">
      <c r="A1825" s="6">
        <v>18553</v>
      </c>
      <c r="B1825" s="10">
        <v>7.3</v>
      </c>
      <c r="C1825" t="str">
        <f>IF(acs2015_county_data[[#This Row],[Unemployment]]&gt;='Описательные характеристики'!$I$5,"да","нет")</f>
        <v>нет</v>
      </c>
    </row>
    <row r="1826" spans="1:3" x14ac:dyDescent="0.35">
      <c r="A1826" s="4">
        <v>22358</v>
      </c>
      <c r="B1826" s="9">
        <v>10.7</v>
      </c>
      <c r="C1826" t="str">
        <f>IF(acs2015_county_data[[#This Row],[Unemployment]]&gt;='Описательные характеристики'!$I$5,"да","нет")</f>
        <v>да</v>
      </c>
    </row>
    <row r="1827" spans="1:3" x14ac:dyDescent="0.35">
      <c r="A1827" s="6">
        <v>18300</v>
      </c>
      <c r="B1827" s="10">
        <v>11.2</v>
      </c>
      <c r="C1827" t="str">
        <f>IF(acs2015_county_data[[#This Row],[Unemployment]]&gt;='Описательные характеристики'!$I$5,"да","нет")</f>
        <v>да</v>
      </c>
    </row>
    <row r="1828" spans="1:3" x14ac:dyDescent="0.35">
      <c r="A1828" s="4">
        <v>21705</v>
      </c>
      <c r="B1828" s="9">
        <v>2.1</v>
      </c>
      <c r="C1828" t="str">
        <f>IF(acs2015_county_data[[#This Row],[Unemployment]]&gt;='Описательные характеристики'!$I$5,"да","нет")</f>
        <v>нет</v>
      </c>
    </row>
    <row r="1829" spans="1:3" x14ac:dyDescent="0.35">
      <c r="A1829" s="6">
        <v>19412</v>
      </c>
      <c r="B1829" s="10">
        <v>12.4</v>
      </c>
      <c r="C1829" t="str">
        <f>IF(acs2015_county_data[[#This Row],[Unemployment]]&gt;='Описательные характеристики'!$I$5,"да","нет")</f>
        <v>да</v>
      </c>
    </row>
    <row r="1830" spans="1:3" x14ac:dyDescent="0.35">
      <c r="A1830" s="4">
        <v>32779</v>
      </c>
      <c r="B1830" s="9">
        <v>6.4</v>
      </c>
      <c r="C1830" t="str">
        <f>IF(acs2015_county_data[[#This Row],[Unemployment]]&gt;='Описательные характеристики'!$I$5,"да","нет")</f>
        <v>нет</v>
      </c>
    </row>
    <row r="1831" spans="1:3" x14ac:dyDescent="0.35">
      <c r="A1831" s="6">
        <v>20940</v>
      </c>
      <c r="B1831" s="10">
        <v>9.1999999999999993</v>
      </c>
      <c r="C1831" t="str">
        <f>IF(acs2015_county_data[[#This Row],[Unemployment]]&gt;='Описательные характеристики'!$I$5,"да","нет")</f>
        <v>да</v>
      </c>
    </row>
    <row r="1832" spans="1:3" x14ac:dyDescent="0.35">
      <c r="A1832" s="4">
        <v>18456</v>
      </c>
      <c r="B1832" s="9">
        <v>14</v>
      </c>
      <c r="C1832" t="str">
        <f>IF(acs2015_county_data[[#This Row],[Unemployment]]&gt;='Описательные характеристики'!$I$5,"да","нет")</f>
        <v>да</v>
      </c>
    </row>
    <row r="1833" spans="1:3" x14ac:dyDescent="0.35">
      <c r="A1833" s="6">
        <v>25105</v>
      </c>
      <c r="B1833" s="10">
        <v>7.8</v>
      </c>
      <c r="C1833" t="str">
        <f>IF(acs2015_county_data[[#This Row],[Unemployment]]&gt;='Описательные характеристики'!$I$5,"да","нет")</f>
        <v>да</v>
      </c>
    </row>
    <row r="1834" spans="1:3" x14ac:dyDescent="0.35">
      <c r="A1834" s="4">
        <v>22336</v>
      </c>
      <c r="B1834" s="9">
        <v>8.1999999999999993</v>
      </c>
      <c r="C1834" t="str">
        <f>IF(acs2015_county_data[[#This Row],[Unemployment]]&gt;='Описательные характеристики'!$I$5,"да","нет")</f>
        <v>да</v>
      </c>
    </row>
    <row r="1835" spans="1:3" x14ac:dyDescent="0.35">
      <c r="A1835" s="6">
        <v>25786</v>
      </c>
      <c r="B1835" s="10">
        <v>7.3</v>
      </c>
      <c r="C1835" t="str">
        <f>IF(acs2015_county_data[[#This Row],[Unemployment]]&gt;='Описательные характеристики'!$I$5,"да","нет")</f>
        <v>нет</v>
      </c>
    </row>
    <row r="1836" spans="1:3" x14ac:dyDescent="0.35">
      <c r="A1836" s="4">
        <v>22903</v>
      </c>
      <c r="B1836" s="9">
        <v>7.8</v>
      </c>
      <c r="C1836" t="str">
        <f>IF(acs2015_county_data[[#This Row],[Unemployment]]&gt;='Описательные характеристики'!$I$5,"да","нет")</f>
        <v>да</v>
      </c>
    </row>
    <row r="1837" spans="1:3" x14ac:dyDescent="0.35">
      <c r="A1837" s="6">
        <v>26262</v>
      </c>
      <c r="B1837" s="10">
        <v>5.4</v>
      </c>
      <c r="C1837" t="str">
        <f>IF(acs2015_county_data[[#This Row],[Unemployment]]&gt;='Описательные характеристики'!$I$5,"да","нет")</f>
        <v>нет</v>
      </c>
    </row>
    <row r="1838" spans="1:3" x14ac:dyDescent="0.35">
      <c r="A1838" s="4">
        <v>23036</v>
      </c>
      <c r="B1838" s="9">
        <v>7.1</v>
      </c>
      <c r="C1838" t="str">
        <f>IF(acs2015_county_data[[#This Row],[Unemployment]]&gt;='Описательные характеристики'!$I$5,"да","нет")</f>
        <v>нет</v>
      </c>
    </row>
    <row r="1839" spans="1:3" x14ac:dyDescent="0.35">
      <c r="A1839" s="6">
        <v>24941</v>
      </c>
      <c r="B1839" s="10">
        <v>6.9</v>
      </c>
      <c r="C1839" t="str">
        <f>IF(acs2015_county_data[[#This Row],[Unemployment]]&gt;='Описательные характеристики'!$I$5,"да","нет")</f>
        <v>нет</v>
      </c>
    </row>
    <row r="1840" spans="1:3" x14ac:dyDescent="0.35">
      <c r="A1840" s="4">
        <v>32851</v>
      </c>
      <c r="B1840" s="9">
        <v>6.7</v>
      </c>
      <c r="C1840" t="str">
        <f>IF(acs2015_county_data[[#This Row],[Unemployment]]&gt;='Описательные характеристики'!$I$5,"да","нет")</f>
        <v>нет</v>
      </c>
    </row>
    <row r="1841" spans="1:3" x14ac:dyDescent="0.35">
      <c r="A1841" s="6">
        <v>24228</v>
      </c>
      <c r="B1841" s="10">
        <v>6.1</v>
      </c>
      <c r="C1841" t="str">
        <f>IF(acs2015_county_data[[#This Row],[Unemployment]]&gt;='Описательные характеристики'!$I$5,"да","нет")</f>
        <v>нет</v>
      </c>
    </row>
    <row r="1842" spans="1:3" x14ac:dyDescent="0.35">
      <c r="A1842" s="4">
        <v>23835</v>
      </c>
      <c r="B1842" s="9">
        <v>9.5</v>
      </c>
      <c r="C1842" t="str">
        <f>IF(acs2015_county_data[[#This Row],[Unemployment]]&gt;='Описательные характеристики'!$I$5,"да","нет")</f>
        <v>да</v>
      </c>
    </row>
    <row r="1843" spans="1:3" x14ac:dyDescent="0.35">
      <c r="A1843" s="6">
        <v>33923</v>
      </c>
      <c r="B1843" s="10">
        <v>8.6999999999999993</v>
      </c>
      <c r="C1843" t="str">
        <f>IF(acs2015_county_data[[#This Row],[Unemployment]]&gt;='Описательные характеристики'!$I$5,"да","нет")</f>
        <v>да</v>
      </c>
    </row>
    <row r="1844" spans="1:3" x14ac:dyDescent="0.35">
      <c r="A1844" s="4">
        <v>28879</v>
      </c>
      <c r="B1844" s="9">
        <v>7</v>
      </c>
      <c r="C1844" t="str">
        <f>IF(acs2015_county_data[[#This Row],[Unemployment]]&gt;='Описательные характеристики'!$I$5,"да","нет")</f>
        <v>нет</v>
      </c>
    </row>
    <row r="1845" spans="1:3" x14ac:dyDescent="0.35">
      <c r="A1845" s="6">
        <v>26805</v>
      </c>
      <c r="B1845" s="10">
        <v>7.9</v>
      </c>
      <c r="C1845" t="str">
        <f>IF(acs2015_county_data[[#This Row],[Unemployment]]&gt;='Описательные характеристики'!$I$5,"да","нет")</f>
        <v>да</v>
      </c>
    </row>
    <row r="1846" spans="1:3" x14ac:dyDescent="0.35">
      <c r="A1846" s="4">
        <v>22488</v>
      </c>
      <c r="B1846" s="9">
        <v>8.8000000000000007</v>
      </c>
      <c r="C1846" t="str">
        <f>IF(acs2015_county_data[[#This Row],[Unemployment]]&gt;='Описательные характеристики'!$I$5,"да","нет")</f>
        <v>да</v>
      </c>
    </row>
    <row r="1847" spans="1:3" x14ac:dyDescent="0.35">
      <c r="A1847" s="6">
        <v>24339</v>
      </c>
      <c r="B1847" s="10">
        <v>9.3000000000000007</v>
      </c>
      <c r="C1847" t="str">
        <f>IF(acs2015_county_data[[#This Row],[Unemployment]]&gt;='Описательные характеристики'!$I$5,"да","нет")</f>
        <v>да</v>
      </c>
    </row>
    <row r="1848" spans="1:3" x14ac:dyDescent="0.35">
      <c r="A1848" s="4">
        <v>25240</v>
      </c>
      <c r="B1848" s="9">
        <v>6.7</v>
      </c>
      <c r="C1848" t="str">
        <f>IF(acs2015_county_data[[#This Row],[Unemployment]]&gt;='Описательные характеристики'!$I$5,"да","нет")</f>
        <v>нет</v>
      </c>
    </row>
    <row r="1849" spans="1:3" x14ac:dyDescent="0.35">
      <c r="A1849" s="6">
        <v>26261</v>
      </c>
      <c r="B1849" s="10">
        <v>9.1</v>
      </c>
      <c r="C1849" t="str">
        <f>IF(acs2015_county_data[[#This Row],[Unemployment]]&gt;='Описательные характеристики'!$I$5,"да","нет")</f>
        <v>да</v>
      </c>
    </row>
    <row r="1850" spans="1:3" x14ac:dyDescent="0.35">
      <c r="A1850" s="4">
        <v>26968</v>
      </c>
      <c r="B1850" s="9">
        <v>9.6999999999999993</v>
      </c>
      <c r="C1850" t="str">
        <f>IF(acs2015_county_data[[#This Row],[Unemployment]]&gt;='Описательные характеристики'!$I$5,"да","нет")</f>
        <v>да</v>
      </c>
    </row>
    <row r="1851" spans="1:3" x14ac:dyDescent="0.35">
      <c r="A1851" s="6">
        <v>23753</v>
      </c>
      <c r="B1851" s="10">
        <v>8.6999999999999993</v>
      </c>
      <c r="C1851" t="str">
        <f>IF(acs2015_county_data[[#This Row],[Unemployment]]&gt;='Описательные характеристики'!$I$5,"да","нет")</f>
        <v>да</v>
      </c>
    </row>
    <row r="1852" spans="1:3" x14ac:dyDescent="0.35">
      <c r="A1852" s="4">
        <v>23659</v>
      </c>
      <c r="B1852" s="9">
        <v>10.6</v>
      </c>
      <c r="C1852" t="str">
        <f>IF(acs2015_county_data[[#This Row],[Unemployment]]&gt;='Описательные характеристики'!$I$5,"да","нет")</f>
        <v>да</v>
      </c>
    </row>
    <row r="1853" spans="1:3" x14ac:dyDescent="0.35">
      <c r="A1853" s="6">
        <v>26774</v>
      </c>
      <c r="B1853" s="10">
        <v>10</v>
      </c>
      <c r="C1853" t="str">
        <f>IF(acs2015_county_data[[#This Row],[Unemployment]]&gt;='Описательные характеристики'!$I$5,"да","нет")</f>
        <v>да</v>
      </c>
    </row>
    <row r="1854" spans="1:3" x14ac:dyDescent="0.35">
      <c r="A1854" s="4">
        <v>24772</v>
      </c>
      <c r="B1854" s="9">
        <v>8.3000000000000007</v>
      </c>
      <c r="C1854" t="str">
        <f>IF(acs2015_county_data[[#This Row],[Unemployment]]&gt;='Описательные характеристики'!$I$5,"да","нет")</f>
        <v>да</v>
      </c>
    </row>
    <row r="1855" spans="1:3" x14ac:dyDescent="0.35">
      <c r="A1855" s="6">
        <v>24142</v>
      </c>
      <c r="B1855" s="10">
        <v>5.4</v>
      </c>
      <c r="C1855" t="str">
        <f>IF(acs2015_county_data[[#This Row],[Unemployment]]&gt;='Описательные характеристики'!$I$5,"да","нет")</f>
        <v>нет</v>
      </c>
    </row>
    <row r="1856" spans="1:3" x14ac:dyDescent="0.35">
      <c r="A1856" s="4">
        <v>25984</v>
      </c>
      <c r="B1856" s="9">
        <v>5.0999999999999996</v>
      </c>
      <c r="C1856" t="str">
        <f>IF(acs2015_county_data[[#This Row],[Unemployment]]&gt;='Описательные характеристики'!$I$5,"да","нет")</f>
        <v>нет</v>
      </c>
    </row>
    <row r="1857" spans="1:3" x14ac:dyDescent="0.35">
      <c r="A1857" s="6">
        <v>29424</v>
      </c>
      <c r="B1857" s="10">
        <v>7.7</v>
      </c>
      <c r="C1857" t="str">
        <f>IF(acs2015_county_data[[#This Row],[Unemployment]]&gt;='Описательные характеристики'!$I$5,"да","нет")</f>
        <v>да</v>
      </c>
    </row>
    <row r="1858" spans="1:3" x14ac:dyDescent="0.35">
      <c r="A1858" s="4">
        <v>23554</v>
      </c>
      <c r="B1858" s="9">
        <v>8.9</v>
      </c>
      <c r="C1858" t="str">
        <f>IF(acs2015_county_data[[#This Row],[Unemployment]]&gt;='Описательные характеристики'!$I$5,"да","нет")</f>
        <v>да</v>
      </c>
    </row>
    <row r="1859" spans="1:3" x14ac:dyDescent="0.35">
      <c r="A1859" s="6">
        <v>43206</v>
      </c>
      <c r="B1859" s="10">
        <v>6.4</v>
      </c>
      <c r="C1859" t="str">
        <f>IF(acs2015_county_data[[#This Row],[Unemployment]]&gt;='Описательные характеристики'!$I$5,"да","нет")</f>
        <v>нет</v>
      </c>
    </row>
    <row r="1860" spans="1:3" x14ac:dyDescent="0.35">
      <c r="A1860" s="4">
        <v>64993</v>
      </c>
      <c r="B1860" s="9">
        <v>7.5</v>
      </c>
      <c r="C1860" t="str">
        <f>IF(acs2015_county_data[[#This Row],[Unemployment]]&gt;='Описательные характеристики'!$I$5,"да","нет")</f>
        <v>нет</v>
      </c>
    </row>
    <row r="1861" spans="1:3" x14ac:dyDescent="0.35">
      <c r="A1861" s="6">
        <v>26891</v>
      </c>
      <c r="B1861" s="10">
        <v>7.6</v>
      </c>
      <c r="C1861" t="str">
        <f>IF(acs2015_county_data[[#This Row],[Unemployment]]&gt;='Описательные характеристики'!$I$5,"да","нет")</f>
        <v>да</v>
      </c>
    </row>
    <row r="1862" spans="1:3" x14ac:dyDescent="0.35">
      <c r="A1862" s="4">
        <v>25982</v>
      </c>
      <c r="B1862" s="9">
        <v>7.4</v>
      </c>
      <c r="C1862" t="str">
        <f>IF(acs2015_county_data[[#This Row],[Unemployment]]&gt;='Описательные характеристики'!$I$5,"да","нет")</f>
        <v>нет</v>
      </c>
    </row>
    <row r="1863" spans="1:3" x14ac:dyDescent="0.35">
      <c r="A1863" s="6">
        <v>29444</v>
      </c>
      <c r="B1863" s="10">
        <v>7.2</v>
      </c>
      <c r="C1863" t="str">
        <f>IF(acs2015_county_data[[#This Row],[Unemployment]]&gt;='Описательные характеристики'!$I$5,"да","нет")</f>
        <v>нет</v>
      </c>
    </row>
    <row r="1864" spans="1:3" x14ac:dyDescent="0.35">
      <c r="A1864" s="4">
        <v>30934</v>
      </c>
      <c r="B1864" s="9">
        <v>6.4</v>
      </c>
      <c r="C1864" t="str">
        <f>IF(acs2015_county_data[[#This Row],[Unemployment]]&gt;='Описательные характеристики'!$I$5,"да","нет")</f>
        <v>нет</v>
      </c>
    </row>
    <row r="1865" spans="1:3" x14ac:dyDescent="0.35">
      <c r="A1865" s="6">
        <v>31023</v>
      </c>
      <c r="B1865" s="10">
        <v>7.3</v>
      </c>
      <c r="C1865" t="str">
        <f>IF(acs2015_county_data[[#This Row],[Unemployment]]&gt;='Описательные характеристики'!$I$5,"да","нет")</f>
        <v>нет</v>
      </c>
    </row>
    <row r="1866" spans="1:3" x14ac:dyDescent="0.35">
      <c r="A1866" s="4">
        <v>22070</v>
      </c>
      <c r="B1866" s="9">
        <v>9</v>
      </c>
      <c r="C1866" t="str">
        <f>IF(acs2015_county_data[[#This Row],[Unemployment]]&gt;='Описательные характеристики'!$I$5,"да","нет")</f>
        <v>да</v>
      </c>
    </row>
    <row r="1867" spans="1:3" x14ac:dyDescent="0.35">
      <c r="A1867" s="6">
        <v>23466</v>
      </c>
      <c r="B1867" s="10">
        <v>9.6999999999999993</v>
      </c>
      <c r="C1867" t="str">
        <f>IF(acs2015_county_data[[#This Row],[Unemployment]]&gt;='Описательные характеристики'!$I$5,"да","нет")</f>
        <v>да</v>
      </c>
    </row>
    <row r="1868" spans="1:3" x14ac:dyDescent="0.35">
      <c r="A1868" s="4">
        <v>24625</v>
      </c>
      <c r="B1868" s="9">
        <v>7.1</v>
      </c>
      <c r="C1868" t="str">
        <f>IF(acs2015_county_data[[#This Row],[Unemployment]]&gt;='Описательные характеристики'!$I$5,"да","нет")</f>
        <v>нет</v>
      </c>
    </row>
    <row r="1869" spans="1:3" x14ac:dyDescent="0.35">
      <c r="A1869" s="6">
        <v>41173</v>
      </c>
      <c r="B1869" s="10">
        <v>6.8</v>
      </c>
      <c r="C1869" t="str">
        <f>IF(acs2015_county_data[[#This Row],[Unemployment]]&gt;='Описательные характеристики'!$I$5,"да","нет")</f>
        <v>нет</v>
      </c>
    </row>
    <row r="1870" spans="1:3" x14ac:dyDescent="0.35">
      <c r="A1870" s="4">
        <v>26876</v>
      </c>
      <c r="B1870" s="9">
        <v>8.6</v>
      </c>
      <c r="C1870" t="str">
        <f>IF(acs2015_county_data[[#This Row],[Unemployment]]&gt;='Описательные характеристики'!$I$5,"да","нет")</f>
        <v>да</v>
      </c>
    </row>
    <row r="1871" spans="1:3" x14ac:dyDescent="0.35">
      <c r="A1871" s="6">
        <v>30803</v>
      </c>
      <c r="B1871" s="10">
        <v>7.6</v>
      </c>
      <c r="C1871" t="str">
        <f>IF(acs2015_county_data[[#This Row],[Unemployment]]&gt;='Описательные характеристики'!$I$5,"да","нет")</f>
        <v>да</v>
      </c>
    </row>
    <row r="1872" spans="1:3" x14ac:dyDescent="0.35">
      <c r="A1872" s="4">
        <v>32041</v>
      </c>
      <c r="B1872" s="9">
        <v>6.9</v>
      </c>
      <c r="C1872" t="str">
        <f>IF(acs2015_county_data[[#This Row],[Unemployment]]&gt;='Описательные характеристики'!$I$5,"да","нет")</f>
        <v>нет</v>
      </c>
    </row>
    <row r="1873" spans="1:3" x14ac:dyDescent="0.35">
      <c r="A1873" s="6">
        <v>34647</v>
      </c>
      <c r="B1873" s="10">
        <v>7.9</v>
      </c>
      <c r="C1873" t="str">
        <f>IF(acs2015_county_data[[#This Row],[Unemployment]]&gt;='Описательные характеристики'!$I$5,"да","нет")</f>
        <v>да</v>
      </c>
    </row>
    <row r="1874" spans="1:3" x14ac:dyDescent="0.35">
      <c r="A1874" s="4">
        <v>22562</v>
      </c>
      <c r="B1874" s="9">
        <v>10</v>
      </c>
      <c r="C1874" t="str">
        <f>IF(acs2015_county_data[[#This Row],[Unemployment]]&gt;='Описательные характеристики'!$I$5,"да","нет")</f>
        <v>да</v>
      </c>
    </row>
    <row r="1875" spans="1:3" x14ac:dyDescent="0.35">
      <c r="A1875" s="6">
        <v>35922</v>
      </c>
      <c r="B1875" s="10">
        <v>6</v>
      </c>
      <c r="C1875" t="str">
        <f>IF(acs2015_county_data[[#This Row],[Unemployment]]&gt;='Описательные характеристики'!$I$5,"да","нет")</f>
        <v>нет</v>
      </c>
    </row>
    <row r="1876" spans="1:3" x14ac:dyDescent="0.35">
      <c r="A1876" s="4">
        <v>28902</v>
      </c>
      <c r="B1876" s="9">
        <v>7.4</v>
      </c>
      <c r="C1876" t="str">
        <f>IF(acs2015_county_data[[#This Row],[Unemployment]]&gt;='Описательные характеристики'!$I$5,"да","нет")</f>
        <v>нет</v>
      </c>
    </row>
    <row r="1877" spans="1:3" x14ac:dyDescent="0.35">
      <c r="A1877" s="6">
        <v>25498</v>
      </c>
      <c r="B1877" s="10">
        <v>10.5</v>
      </c>
      <c r="C1877" t="str">
        <f>IF(acs2015_county_data[[#This Row],[Unemployment]]&gt;='Описательные характеристики'!$I$5,"да","нет")</f>
        <v>да</v>
      </c>
    </row>
    <row r="1878" spans="1:3" x14ac:dyDescent="0.35">
      <c r="A1878" s="4">
        <v>25189</v>
      </c>
      <c r="B1878" s="9">
        <v>6.4</v>
      </c>
      <c r="C1878" t="str">
        <f>IF(acs2015_county_data[[#This Row],[Unemployment]]&gt;='Описательные характеристики'!$I$5,"да","нет")</f>
        <v>нет</v>
      </c>
    </row>
    <row r="1879" spans="1:3" x14ac:dyDescent="0.35">
      <c r="A1879" s="6">
        <v>24666</v>
      </c>
      <c r="B1879" s="10">
        <v>5.5</v>
      </c>
      <c r="C1879" t="str">
        <f>IF(acs2015_county_data[[#This Row],[Unemployment]]&gt;='Описательные характеристики'!$I$5,"да","нет")</f>
        <v>нет</v>
      </c>
    </row>
    <row r="1880" spans="1:3" x14ac:dyDescent="0.35">
      <c r="A1880" s="4">
        <v>25800</v>
      </c>
      <c r="B1880" s="9">
        <v>8.1999999999999993</v>
      </c>
      <c r="C1880" t="str">
        <f>IF(acs2015_county_data[[#This Row],[Unemployment]]&gt;='Описательные характеристики'!$I$5,"да","нет")</f>
        <v>да</v>
      </c>
    </row>
    <row r="1881" spans="1:3" x14ac:dyDescent="0.35">
      <c r="A1881" s="6">
        <v>37634</v>
      </c>
      <c r="B1881" s="10">
        <v>6.4</v>
      </c>
      <c r="C1881" t="str">
        <f>IF(acs2015_county_data[[#This Row],[Unemployment]]&gt;='Описательные характеристики'!$I$5,"да","нет")</f>
        <v>нет</v>
      </c>
    </row>
    <row r="1882" spans="1:3" x14ac:dyDescent="0.35">
      <c r="A1882" s="4">
        <v>25742</v>
      </c>
      <c r="B1882" s="9">
        <v>11.5</v>
      </c>
      <c r="C1882" t="str">
        <f>IF(acs2015_county_data[[#This Row],[Unemployment]]&gt;='Описательные характеристики'!$I$5,"да","нет")</f>
        <v>да</v>
      </c>
    </row>
    <row r="1883" spans="1:3" x14ac:dyDescent="0.35">
      <c r="A1883" s="6">
        <v>29427</v>
      </c>
      <c r="B1883" s="10">
        <v>6.9</v>
      </c>
      <c r="C1883" t="str">
        <f>IF(acs2015_county_data[[#This Row],[Unemployment]]&gt;='Описательные характеристики'!$I$5,"да","нет")</f>
        <v>нет</v>
      </c>
    </row>
    <row r="1884" spans="1:3" x14ac:dyDescent="0.35">
      <c r="A1884" s="4">
        <v>28460</v>
      </c>
      <c r="B1884" s="9">
        <v>5.9</v>
      </c>
      <c r="C1884" t="str">
        <f>IF(acs2015_county_data[[#This Row],[Unemployment]]&gt;='Описательные характеристики'!$I$5,"да","нет")</f>
        <v>нет</v>
      </c>
    </row>
    <row r="1885" spans="1:3" x14ac:dyDescent="0.35">
      <c r="A1885" s="6">
        <v>30732</v>
      </c>
      <c r="B1885" s="10">
        <v>9.3000000000000007</v>
      </c>
      <c r="C1885" t="str">
        <f>IF(acs2015_county_data[[#This Row],[Unemployment]]&gt;='Описательные характеристики'!$I$5,"да","нет")</f>
        <v>да</v>
      </c>
    </row>
    <row r="1886" spans="1:3" x14ac:dyDescent="0.35">
      <c r="A1886" s="4">
        <v>30611</v>
      </c>
      <c r="B1886" s="9">
        <v>6.6</v>
      </c>
      <c r="C1886" t="str">
        <f>IF(acs2015_county_data[[#This Row],[Unemployment]]&gt;='Описательные характеристики'!$I$5,"да","нет")</f>
        <v>нет</v>
      </c>
    </row>
    <row r="1887" spans="1:3" x14ac:dyDescent="0.35">
      <c r="A1887" s="6">
        <v>24345</v>
      </c>
      <c r="B1887" s="10">
        <v>9.5</v>
      </c>
      <c r="C1887" t="str">
        <f>IF(acs2015_county_data[[#This Row],[Unemployment]]&gt;='Описательные характеристики'!$I$5,"да","нет")</f>
        <v>да</v>
      </c>
    </row>
    <row r="1888" spans="1:3" x14ac:dyDescent="0.35">
      <c r="A1888" s="4">
        <v>25609</v>
      </c>
      <c r="B1888" s="9">
        <v>7.5</v>
      </c>
      <c r="C1888" t="str">
        <f>IF(acs2015_county_data[[#This Row],[Unemployment]]&gt;='Описательные характеристики'!$I$5,"да","нет")</f>
        <v>нет</v>
      </c>
    </row>
    <row r="1889" spans="1:3" x14ac:dyDescent="0.35">
      <c r="A1889" s="6">
        <v>48885</v>
      </c>
      <c r="B1889" s="10">
        <v>7.6</v>
      </c>
      <c r="C1889" t="str">
        <f>IF(acs2015_county_data[[#This Row],[Unemployment]]&gt;='Описательные характеристики'!$I$5,"да","нет")</f>
        <v>да</v>
      </c>
    </row>
    <row r="1890" spans="1:3" x14ac:dyDescent="0.35">
      <c r="A1890" s="4">
        <v>23960</v>
      </c>
      <c r="B1890" s="9">
        <v>7.4</v>
      </c>
      <c r="C1890" t="str">
        <f>IF(acs2015_county_data[[#This Row],[Unemployment]]&gt;='Описательные характеристики'!$I$5,"да","нет")</f>
        <v>нет</v>
      </c>
    </row>
    <row r="1891" spans="1:3" x14ac:dyDescent="0.35">
      <c r="A1891" s="6">
        <v>25224</v>
      </c>
      <c r="B1891" s="10">
        <v>6.9</v>
      </c>
      <c r="C1891" t="str">
        <f>IF(acs2015_county_data[[#This Row],[Unemployment]]&gt;='Описательные характеристики'!$I$5,"да","нет")</f>
        <v>нет</v>
      </c>
    </row>
    <row r="1892" spans="1:3" x14ac:dyDescent="0.35">
      <c r="A1892" s="4">
        <v>23434</v>
      </c>
      <c r="B1892" s="9">
        <v>7.9</v>
      </c>
      <c r="C1892" t="str">
        <f>IF(acs2015_county_data[[#This Row],[Unemployment]]&gt;='Описательные характеристики'!$I$5,"да","нет")</f>
        <v>да</v>
      </c>
    </row>
    <row r="1893" spans="1:3" x14ac:dyDescent="0.35">
      <c r="A1893" s="6">
        <v>20043</v>
      </c>
      <c r="B1893" s="10">
        <v>9</v>
      </c>
      <c r="C1893" t="str">
        <f>IF(acs2015_county_data[[#This Row],[Unemployment]]&gt;='Описательные характеристики'!$I$5,"да","нет")</f>
        <v>да</v>
      </c>
    </row>
    <row r="1894" spans="1:3" x14ac:dyDescent="0.35">
      <c r="A1894" s="4">
        <v>20366</v>
      </c>
      <c r="B1894" s="9">
        <v>10.5</v>
      </c>
      <c r="C1894" t="str">
        <f>IF(acs2015_county_data[[#This Row],[Unemployment]]&gt;='Описательные характеристики'!$I$5,"да","нет")</f>
        <v>да</v>
      </c>
    </row>
    <row r="1895" spans="1:3" x14ac:dyDescent="0.35">
      <c r="A1895" s="6">
        <v>17025</v>
      </c>
      <c r="B1895" s="10">
        <v>17.600000000000001</v>
      </c>
      <c r="C1895" t="str">
        <f>IF(acs2015_county_data[[#This Row],[Unemployment]]&gt;='Описательные характеристики'!$I$5,"да","нет")</f>
        <v>да</v>
      </c>
    </row>
    <row r="1896" spans="1:3" x14ac:dyDescent="0.35">
      <c r="A1896" s="4">
        <v>21269</v>
      </c>
      <c r="B1896" s="9">
        <v>8.5</v>
      </c>
      <c r="C1896" t="str">
        <f>IF(acs2015_county_data[[#This Row],[Unemployment]]&gt;='Описательные характеристики'!$I$5,"да","нет")</f>
        <v>да</v>
      </c>
    </row>
    <row r="1897" spans="1:3" x14ac:dyDescent="0.35">
      <c r="A1897" s="6">
        <v>21298</v>
      </c>
      <c r="B1897" s="10">
        <v>6.9</v>
      </c>
      <c r="C1897" t="str">
        <f>IF(acs2015_county_data[[#This Row],[Unemployment]]&gt;='Описательные характеристики'!$I$5,"да","нет")</f>
        <v>нет</v>
      </c>
    </row>
    <row r="1898" spans="1:3" x14ac:dyDescent="0.35">
      <c r="A1898" s="4">
        <v>22356</v>
      </c>
      <c r="B1898" s="9">
        <v>11.5</v>
      </c>
      <c r="C1898" t="str">
        <f>IF(acs2015_county_data[[#This Row],[Unemployment]]&gt;='Описательные характеристики'!$I$5,"да","нет")</f>
        <v>да</v>
      </c>
    </row>
    <row r="1899" spans="1:3" x14ac:dyDescent="0.35">
      <c r="A1899" s="6">
        <v>16629</v>
      </c>
      <c r="B1899" s="10">
        <v>13.5</v>
      </c>
      <c r="C1899" t="str">
        <f>IF(acs2015_county_data[[#This Row],[Unemployment]]&gt;='Описательные характеристики'!$I$5,"да","нет")</f>
        <v>да</v>
      </c>
    </row>
    <row r="1900" spans="1:3" x14ac:dyDescent="0.35">
      <c r="A1900" s="4">
        <v>18903</v>
      </c>
      <c r="B1900" s="9">
        <v>12.1</v>
      </c>
      <c r="C1900" t="str">
        <f>IF(acs2015_county_data[[#This Row],[Unemployment]]&gt;='Описательные характеристики'!$I$5,"да","нет")</f>
        <v>да</v>
      </c>
    </row>
    <row r="1901" spans="1:3" x14ac:dyDescent="0.35">
      <c r="A1901" s="6">
        <v>27586</v>
      </c>
      <c r="B1901" s="10">
        <v>11.4</v>
      </c>
      <c r="C1901" t="str">
        <f>IF(acs2015_county_data[[#This Row],[Unemployment]]&gt;='Описательные характеристики'!$I$5,"да","нет")</f>
        <v>да</v>
      </c>
    </row>
    <row r="1902" spans="1:3" x14ac:dyDescent="0.35">
      <c r="A1902" s="4">
        <v>27066</v>
      </c>
      <c r="B1902" s="9">
        <v>7</v>
      </c>
      <c r="C1902" t="str">
        <f>IF(acs2015_county_data[[#This Row],[Unemployment]]&gt;='Описательные характеристики'!$I$5,"да","нет")</f>
        <v>нет</v>
      </c>
    </row>
    <row r="1903" spans="1:3" x14ac:dyDescent="0.35">
      <c r="A1903" s="6">
        <v>20263</v>
      </c>
      <c r="B1903" s="10">
        <v>11.6</v>
      </c>
      <c r="C1903" t="str">
        <f>IF(acs2015_county_data[[#This Row],[Unemployment]]&gt;='Описательные характеристики'!$I$5,"да","нет")</f>
        <v>да</v>
      </c>
    </row>
    <row r="1904" spans="1:3" x14ac:dyDescent="0.35">
      <c r="A1904" s="4">
        <v>26183</v>
      </c>
      <c r="B1904" s="9">
        <v>9.1999999999999993</v>
      </c>
      <c r="C1904" t="str">
        <f>IF(acs2015_county_data[[#This Row],[Unemployment]]&gt;='Описательные характеристики'!$I$5,"да","нет")</f>
        <v>да</v>
      </c>
    </row>
    <row r="1905" spans="1:3" x14ac:dyDescent="0.35">
      <c r="A1905" s="6">
        <v>19601</v>
      </c>
      <c r="B1905" s="10">
        <v>12.2</v>
      </c>
      <c r="C1905" t="str">
        <f>IF(acs2015_county_data[[#This Row],[Unemployment]]&gt;='Описательные характеристики'!$I$5,"да","нет")</f>
        <v>да</v>
      </c>
    </row>
    <row r="1906" spans="1:3" x14ac:dyDescent="0.35">
      <c r="A1906" s="4">
        <v>26585</v>
      </c>
      <c r="B1906" s="9">
        <v>9.3000000000000007</v>
      </c>
      <c r="C1906" t="str">
        <f>IF(acs2015_county_data[[#This Row],[Unemployment]]&gt;='Описательные характеристики'!$I$5,"да","нет")</f>
        <v>да</v>
      </c>
    </row>
    <row r="1907" spans="1:3" x14ac:dyDescent="0.35">
      <c r="A1907" s="6">
        <v>28991</v>
      </c>
      <c r="B1907" s="10">
        <v>10.199999999999999</v>
      </c>
      <c r="C1907" t="str">
        <f>IF(acs2015_county_data[[#This Row],[Unemployment]]&gt;='Описательные характеристики'!$I$5,"да","нет")</f>
        <v>да</v>
      </c>
    </row>
    <row r="1908" spans="1:3" x14ac:dyDescent="0.35">
      <c r="A1908" s="4">
        <v>19698</v>
      </c>
      <c r="B1908" s="9">
        <v>10.9</v>
      </c>
      <c r="C1908" t="str">
        <f>IF(acs2015_county_data[[#This Row],[Unemployment]]&gt;='Описательные характеристики'!$I$5,"да","нет")</f>
        <v>да</v>
      </c>
    </row>
    <row r="1909" spans="1:3" x14ac:dyDescent="0.35">
      <c r="A1909" s="6">
        <v>23657</v>
      </c>
      <c r="B1909" s="10">
        <v>8.1999999999999993</v>
      </c>
      <c r="C1909" t="str">
        <f>IF(acs2015_county_data[[#This Row],[Unemployment]]&gt;='Описательные характеристики'!$I$5,"да","нет")</f>
        <v>да</v>
      </c>
    </row>
    <row r="1910" spans="1:3" x14ac:dyDescent="0.35">
      <c r="A1910" s="4">
        <v>32845</v>
      </c>
      <c r="B1910" s="9">
        <v>9</v>
      </c>
      <c r="C1910" t="str">
        <f>IF(acs2015_county_data[[#This Row],[Unemployment]]&gt;='Описательные характеристики'!$I$5,"да","нет")</f>
        <v>да</v>
      </c>
    </row>
    <row r="1911" spans="1:3" x14ac:dyDescent="0.35">
      <c r="A1911" s="6">
        <v>18787</v>
      </c>
      <c r="B1911" s="10">
        <v>8.4</v>
      </c>
      <c r="C1911" t="str">
        <f>IF(acs2015_county_data[[#This Row],[Unemployment]]&gt;='Описательные характеристики'!$I$5,"да","нет")</f>
        <v>да</v>
      </c>
    </row>
    <row r="1912" spans="1:3" x14ac:dyDescent="0.35">
      <c r="A1912" s="4">
        <v>21451</v>
      </c>
      <c r="B1912" s="9">
        <v>12.7</v>
      </c>
      <c r="C1912" t="str">
        <f>IF(acs2015_county_data[[#This Row],[Unemployment]]&gt;='Описательные характеристики'!$I$5,"да","нет")</f>
        <v>да</v>
      </c>
    </row>
    <row r="1913" spans="1:3" x14ac:dyDescent="0.35">
      <c r="A1913" s="6">
        <v>22106</v>
      </c>
      <c r="B1913" s="10">
        <v>12.3</v>
      </c>
      <c r="C1913" t="str">
        <f>IF(acs2015_county_data[[#This Row],[Unemployment]]&gt;='Описательные характеристики'!$I$5,"да","нет")</f>
        <v>да</v>
      </c>
    </row>
    <row r="1914" spans="1:3" x14ac:dyDescent="0.35">
      <c r="A1914" s="4">
        <v>20825</v>
      </c>
      <c r="B1914" s="9">
        <v>12.6</v>
      </c>
      <c r="C1914" t="str">
        <f>IF(acs2015_county_data[[#This Row],[Unemployment]]&gt;='Описательные характеристики'!$I$5,"да","нет")</f>
        <v>да</v>
      </c>
    </row>
    <row r="1915" spans="1:3" x14ac:dyDescent="0.35">
      <c r="A1915" s="6">
        <v>19814</v>
      </c>
      <c r="B1915" s="10">
        <v>9</v>
      </c>
      <c r="C1915" t="str">
        <f>IF(acs2015_county_data[[#This Row],[Unemployment]]&gt;='Описательные характеристики'!$I$5,"да","нет")</f>
        <v>да</v>
      </c>
    </row>
    <row r="1916" spans="1:3" x14ac:dyDescent="0.35">
      <c r="A1916" s="4">
        <v>24553</v>
      </c>
      <c r="B1916" s="9">
        <v>11.4</v>
      </c>
      <c r="C1916" t="str">
        <f>IF(acs2015_county_data[[#This Row],[Unemployment]]&gt;='Описательные характеристики'!$I$5,"да","нет")</f>
        <v>да</v>
      </c>
    </row>
    <row r="1917" spans="1:3" x14ac:dyDescent="0.35">
      <c r="A1917" s="6">
        <v>22931</v>
      </c>
      <c r="B1917" s="10">
        <v>12.6</v>
      </c>
      <c r="C1917" t="str">
        <f>IF(acs2015_county_data[[#This Row],[Unemployment]]&gt;='Описательные характеристики'!$I$5,"да","нет")</f>
        <v>да</v>
      </c>
    </row>
    <row r="1918" spans="1:3" x14ac:dyDescent="0.35">
      <c r="A1918" s="4">
        <v>27521</v>
      </c>
      <c r="B1918" s="9">
        <v>6.6</v>
      </c>
      <c r="C1918" t="str">
        <f>IF(acs2015_county_data[[#This Row],[Unemployment]]&gt;='Описательные характеристики'!$I$5,"да","нет")</f>
        <v>нет</v>
      </c>
    </row>
    <row r="1919" spans="1:3" x14ac:dyDescent="0.35">
      <c r="A1919" s="6">
        <v>30682</v>
      </c>
      <c r="B1919" s="10">
        <v>6.4</v>
      </c>
      <c r="C1919" t="str">
        <f>IF(acs2015_county_data[[#This Row],[Unemployment]]&gt;='Описательные характеристики'!$I$5,"да","нет")</f>
        <v>нет</v>
      </c>
    </row>
    <row r="1920" spans="1:3" x14ac:dyDescent="0.35">
      <c r="A1920" s="4">
        <v>23060</v>
      </c>
      <c r="B1920" s="9">
        <v>11</v>
      </c>
      <c r="C1920" t="str">
        <f>IF(acs2015_county_data[[#This Row],[Unemployment]]&gt;='Описательные характеристики'!$I$5,"да","нет")</f>
        <v>да</v>
      </c>
    </row>
    <row r="1921" spans="1:3" x14ac:dyDescent="0.35">
      <c r="A1921" s="6">
        <v>28141</v>
      </c>
      <c r="B1921" s="10">
        <v>7.2</v>
      </c>
      <c r="C1921" t="str">
        <f>IF(acs2015_county_data[[#This Row],[Unemployment]]&gt;='Описательные характеристики'!$I$5,"да","нет")</f>
        <v>нет</v>
      </c>
    </row>
    <row r="1922" spans="1:3" x14ac:dyDescent="0.35">
      <c r="A1922" s="4">
        <v>17593</v>
      </c>
      <c r="B1922" s="9">
        <v>11.3</v>
      </c>
      <c r="C1922" t="str">
        <f>IF(acs2015_county_data[[#This Row],[Unemployment]]&gt;='Описательные характеристики'!$I$5,"да","нет")</f>
        <v>да</v>
      </c>
    </row>
    <row r="1923" spans="1:3" x14ac:dyDescent="0.35">
      <c r="A1923" s="6">
        <v>30268</v>
      </c>
      <c r="B1923" s="10">
        <v>6.8</v>
      </c>
      <c r="C1923" t="str">
        <f>IF(acs2015_county_data[[#This Row],[Unemployment]]&gt;='Описательные характеристики'!$I$5,"да","нет")</f>
        <v>нет</v>
      </c>
    </row>
    <row r="1924" spans="1:3" x14ac:dyDescent="0.35">
      <c r="A1924" s="4">
        <v>17956</v>
      </c>
      <c r="B1924" s="9">
        <v>15.4</v>
      </c>
      <c r="C1924" t="str">
        <f>IF(acs2015_county_data[[#This Row],[Unemployment]]&gt;='Описательные характеристики'!$I$5,"да","нет")</f>
        <v>да</v>
      </c>
    </row>
    <row r="1925" spans="1:3" x14ac:dyDescent="0.35">
      <c r="A1925" s="6">
        <v>26674</v>
      </c>
      <c r="B1925" s="10">
        <v>9.5</v>
      </c>
      <c r="C1925" t="str">
        <f>IF(acs2015_county_data[[#This Row],[Unemployment]]&gt;='Описательные характеристики'!$I$5,"да","нет")</f>
        <v>да</v>
      </c>
    </row>
    <row r="1926" spans="1:3" x14ac:dyDescent="0.35">
      <c r="A1926" s="4">
        <v>21526</v>
      </c>
      <c r="B1926" s="9">
        <v>9.9</v>
      </c>
      <c r="C1926" t="str">
        <f>IF(acs2015_county_data[[#This Row],[Unemployment]]&gt;='Описательные характеристики'!$I$5,"да","нет")</f>
        <v>да</v>
      </c>
    </row>
    <row r="1927" spans="1:3" x14ac:dyDescent="0.35">
      <c r="A1927" s="6">
        <v>22828</v>
      </c>
      <c r="B1927" s="10">
        <v>11.2</v>
      </c>
      <c r="C1927" t="str">
        <f>IF(acs2015_county_data[[#This Row],[Unemployment]]&gt;='Описательные характеристики'!$I$5,"да","нет")</f>
        <v>да</v>
      </c>
    </row>
    <row r="1928" spans="1:3" x14ac:dyDescent="0.35">
      <c r="A1928" s="4">
        <v>22035</v>
      </c>
      <c r="B1928" s="9">
        <v>12.2</v>
      </c>
      <c r="C1928" t="str">
        <f>IF(acs2015_county_data[[#This Row],[Unemployment]]&gt;='Описательные характеристики'!$I$5,"да","нет")</f>
        <v>да</v>
      </c>
    </row>
    <row r="1929" spans="1:3" x14ac:dyDescent="0.35">
      <c r="A1929" s="6">
        <v>19372</v>
      </c>
      <c r="B1929" s="10">
        <v>11.1</v>
      </c>
      <c r="C1929" t="str">
        <f>IF(acs2015_county_data[[#This Row],[Unemployment]]&gt;='Описательные характеристики'!$I$5,"да","нет")</f>
        <v>да</v>
      </c>
    </row>
    <row r="1930" spans="1:3" x14ac:dyDescent="0.35">
      <c r="A1930" s="4">
        <v>23127</v>
      </c>
      <c r="B1930" s="9">
        <v>8.3000000000000007</v>
      </c>
      <c r="C1930" t="str">
        <f>IF(acs2015_county_data[[#This Row],[Unemployment]]&gt;='Описательные характеристики'!$I$5,"да","нет")</f>
        <v>да</v>
      </c>
    </row>
    <row r="1931" spans="1:3" x14ac:dyDescent="0.35">
      <c r="A1931" s="6">
        <v>18107</v>
      </c>
      <c r="B1931" s="10">
        <v>11.9</v>
      </c>
      <c r="C1931" t="str">
        <f>IF(acs2015_county_data[[#This Row],[Unemployment]]&gt;='Описательные характеристики'!$I$5,"да","нет")</f>
        <v>да</v>
      </c>
    </row>
    <row r="1932" spans="1:3" x14ac:dyDescent="0.35">
      <c r="A1932" s="4">
        <v>26762</v>
      </c>
      <c r="B1932" s="9">
        <v>8.8000000000000007</v>
      </c>
      <c r="C1932" t="str">
        <f>IF(acs2015_county_data[[#This Row],[Unemployment]]&gt;='Описательные характеристики'!$I$5,"да","нет")</f>
        <v>да</v>
      </c>
    </row>
    <row r="1933" spans="1:3" x14ac:dyDescent="0.35">
      <c r="A1933" s="6">
        <v>19709</v>
      </c>
      <c r="B1933" s="10">
        <v>14.1</v>
      </c>
      <c r="C1933" t="str">
        <f>IF(acs2015_county_data[[#This Row],[Unemployment]]&gt;='Описательные характеристики'!$I$5,"да","нет")</f>
        <v>да</v>
      </c>
    </row>
    <row r="1934" spans="1:3" x14ac:dyDescent="0.35">
      <c r="A1934" s="4">
        <v>20864</v>
      </c>
      <c r="B1934" s="9">
        <v>11.3</v>
      </c>
      <c r="C1934" t="str">
        <f>IF(acs2015_county_data[[#This Row],[Unemployment]]&gt;='Описательные характеристики'!$I$5,"да","нет")</f>
        <v>да</v>
      </c>
    </row>
    <row r="1935" spans="1:3" x14ac:dyDescent="0.35">
      <c r="A1935" s="6">
        <v>25562</v>
      </c>
      <c r="B1935" s="10">
        <v>7.3</v>
      </c>
      <c r="C1935" t="str">
        <f>IF(acs2015_county_data[[#This Row],[Unemployment]]&gt;='Описательные характеристики'!$I$5,"да","нет")</f>
        <v>нет</v>
      </c>
    </row>
    <row r="1936" spans="1:3" x14ac:dyDescent="0.35">
      <c r="A1936" s="4">
        <v>26059</v>
      </c>
      <c r="B1936" s="9">
        <v>6</v>
      </c>
      <c r="C1936" t="str">
        <f>IF(acs2015_county_data[[#This Row],[Unemployment]]&gt;='Описательные характеристики'!$I$5,"да","нет")</f>
        <v>нет</v>
      </c>
    </row>
    <row r="1937" spans="1:3" x14ac:dyDescent="0.35">
      <c r="A1937" s="6">
        <v>17280</v>
      </c>
      <c r="B1937" s="10">
        <v>13.7</v>
      </c>
      <c r="C1937" t="str">
        <f>IF(acs2015_county_data[[#This Row],[Unemployment]]&gt;='Описательные характеристики'!$I$5,"да","нет")</f>
        <v>да</v>
      </c>
    </row>
    <row r="1938" spans="1:3" x14ac:dyDescent="0.35">
      <c r="A1938" s="4">
        <v>18421</v>
      </c>
      <c r="B1938" s="9">
        <v>13.1</v>
      </c>
      <c r="C1938" t="str">
        <f>IF(acs2015_county_data[[#This Row],[Unemployment]]&gt;='Описательные характеристики'!$I$5,"да","нет")</f>
        <v>да</v>
      </c>
    </row>
    <row r="1939" spans="1:3" x14ac:dyDescent="0.35">
      <c r="A1939" s="6">
        <v>19333</v>
      </c>
      <c r="B1939" s="10">
        <v>12.7</v>
      </c>
      <c r="C1939" t="str">
        <f>IF(acs2015_county_data[[#This Row],[Unemployment]]&gt;='Описательные характеристики'!$I$5,"да","нет")</f>
        <v>да</v>
      </c>
    </row>
    <row r="1940" spans="1:3" x14ac:dyDescent="0.35">
      <c r="A1940" s="4">
        <v>27558</v>
      </c>
      <c r="B1940" s="9">
        <v>9.8000000000000007</v>
      </c>
      <c r="C1940" t="str">
        <f>IF(acs2015_county_data[[#This Row],[Unemployment]]&gt;='Описательные характеристики'!$I$5,"да","нет")</f>
        <v>да</v>
      </c>
    </row>
    <row r="1941" spans="1:3" x14ac:dyDescent="0.35">
      <c r="A1941" s="6">
        <v>21517</v>
      </c>
      <c r="B1941" s="10">
        <v>6.2</v>
      </c>
      <c r="C1941" t="str">
        <f>IF(acs2015_county_data[[#This Row],[Unemployment]]&gt;='Описательные характеристики'!$I$5,"да","нет")</f>
        <v>нет</v>
      </c>
    </row>
    <row r="1942" spans="1:3" x14ac:dyDescent="0.35">
      <c r="A1942" s="4">
        <v>22858</v>
      </c>
      <c r="B1942" s="9">
        <v>8.9</v>
      </c>
      <c r="C1942" t="str">
        <f>IF(acs2015_county_data[[#This Row],[Unemployment]]&gt;='Описательные характеристики'!$I$5,"да","нет")</f>
        <v>да</v>
      </c>
    </row>
    <row r="1943" spans="1:3" x14ac:dyDescent="0.35">
      <c r="A1943" s="6">
        <v>20630</v>
      </c>
      <c r="B1943" s="10">
        <v>11.6</v>
      </c>
      <c r="C1943" t="str">
        <f>IF(acs2015_county_data[[#This Row],[Unemployment]]&gt;='Описательные характеристики'!$I$5,"да","нет")</f>
        <v>да</v>
      </c>
    </row>
    <row r="1944" spans="1:3" x14ac:dyDescent="0.35">
      <c r="A1944" s="4">
        <v>21743</v>
      </c>
      <c r="B1944" s="9">
        <v>10.3</v>
      </c>
      <c r="C1944" t="str">
        <f>IF(acs2015_county_data[[#This Row],[Unemployment]]&gt;='Описательные характеристики'!$I$5,"да","нет")</f>
        <v>да</v>
      </c>
    </row>
    <row r="1945" spans="1:3" x14ac:dyDescent="0.35">
      <c r="A1945" s="6">
        <v>20191</v>
      </c>
      <c r="B1945" s="10">
        <v>13.1</v>
      </c>
      <c r="C1945" t="str">
        <f>IF(acs2015_county_data[[#This Row],[Unemployment]]&gt;='Описательные характеристики'!$I$5,"да","нет")</f>
        <v>да</v>
      </c>
    </row>
    <row r="1946" spans="1:3" x14ac:dyDescent="0.35">
      <c r="A1946" s="4">
        <v>26439</v>
      </c>
      <c r="B1946" s="9">
        <v>10.199999999999999</v>
      </c>
      <c r="C1946" t="str">
        <f>IF(acs2015_county_data[[#This Row],[Unemployment]]&gt;='Описательные характеристики'!$I$5,"да","нет")</f>
        <v>да</v>
      </c>
    </row>
    <row r="1947" spans="1:3" x14ac:dyDescent="0.35">
      <c r="A1947" s="6">
        <v>18717</v>
      </c>
      <c r="B1947" s="10">
        <v>11.1</v>
      </c>
      <c r="C1947" t="str">
        <f>IF(acs2015_county_data[[#This Row],[Unemployment]]&gt;='Описательные характеристики'!$I$5,"да","нет")</f>
        <v>да</v>
      </c>
    </row>
    <row r="1948" spans="1:3" x14ac:dyDescent="0.35">
      <c r="A1948" s="4">
        <v>24060</v>
      </c>
      <c r="B1948" s="9">
        <v>7.3</v>
      </c>
      <c r="C1948" t="str">
        <f>IF(acs2015_county_data[[#This Row],[Unemployment]]&gt;='Описательные характеристики'!$I$5,"да","нет")</f>
        <v>нет</v>
      </c>
    </row>
    <row r="1949" spans="1:3" x14ac:dyDescent="0.35">
      <c r="A1949" s="6">
        <v>21076</v>
      </c>
      <c r="B1949" s="10">
        <v>7.3</v>
      </c>
      <c r="C1949" t="str">
        <f>IF(acs2015_county_data[[#This Row],[Unemployment]]&gt;='Описательные характеристики'!$I$5,"да","нет")</f>
        <v>нет</v>
      </c>
    </row>
    <row r="1950" spans="1:3" x14ac:dyDescent="0.35">
      <c r="A1950" s="4">
        <v>19032</v>
      </c>
      <c r="B1950" s="9">
        <v>14.7</v>
      </c>
      <c r="C1950" t="str">
        <f>IF(acs2015_county_data[[#This Row],[Unemployment]]&gt;='Описательные характеристики'!$I$5,"да","нет")</f>
        <v>да</v>
      </c>
    </row>
    <row r="1951" spans="1:3" x14ac:dyDescent="0.35">
      <c r="A1951" s="6">
        <v>33169</v>
      </c>
      <c r="B1951" s="10">
        <v>8.9</v>
      </c>
      <c r="C1951" t="str">
        <f>IF(acs2015_county_data[[#This Row],[Unemployment]]&gt;='Описательные характеристики'!$I$5,"да","нет")</f>
        <v>да</v>
      </c>
    </row>
    <row r="1952" spans="1:3" x14ac:dyDescent="0.35">
      <c r="A1952" s="4">
        <v>21429</v>
      </c>
      <c r="B1952" s="9">
        <v>8.6</v>
      </c>
      <c r="C1952" t="str">
        <f>IF(acs2015_county_data[[#This Row],[Unemployment]]&gt;='Описательные характеристики'!$I$5,"да","нет")</f>
        <v>да</v>
      </c>
    </row>
    <row r="1953" spans="1:3" x14ac:dyDescent="0.35">
      <c r="A1953" s="6">
        <v>19331</v>
      </c>
      <c r="B1953" s="10">
        <v>10.5</v>
      </c>
      <c r="C1953" t="str">
        <f>IF(acs2015_county_data[[#This Row],[Unemployment]]&gt;='Описательные характеристики'!$I$5,"да","нет")</f>
        <v>да</v>
      </c>
    </row>
    <row r="1954" spans="1:3" x14ac:dyDescent="0.35">
      <c r="A1954" s="4">
        <v>29643</v>
      </c>
      <c r="B1954" s="9">
        <v>8</v>
      </c>
      <c r="C1954" t="str">
        <f>IF(acs2015_county_data[[#This Row],[Unemployment]]&gt;='Описательные характеристики'!$I$5,"да","нет")</f>
        <v>да</v>
      </c>
    </row>
    <row r="1955" spans="1:3" x14ac:dyDescent="0.35">
      <c r="A1955" s="6">
        <v>23082</v>
      </c>
      <c r="B1955" s="10">
        <v>11.9</v>
      </c>
      <c r="C1955" t="str">
        <f>IF(acs2015_county_data[[#This Row],[Unemployment]]&gt;='Описательные характеристики'!$I$5,"да","нет")</f>
        <v>да</v>
      </c>
    </row>
    <row r="1956" spans="1:3" x14ac:dyDescent="0.35">
      <c r="A1956" s="4">
        <v>29880</v>
      </c>
      <c r="B1956" s="9">
        <v>8.9</v>
      </c>
      <c r="C1956" t="str">
        <f>IF(acs2015_county_data[[#This Row],[Unemployment]]&gt;='Описательные характеристики'!$I$5,"да","нет")</f>
        <v>да</v>
      </c>
    </row>
    <row r="1957" spans="1:3" x14ac:dyDescent="0.35">
      <c r="A1957" s="6">
        <v>18180</v>
      </c>
      <c r="B1957" s="10">
        <v>15.9</v>
      </c>
      <c r="C1957" t="str">
        <f>IF(acs2015_county_data[[#This Row],[Unemployment]]&gt;='Описательные характеристики'!$I$5,"да","нет")</f>
        <v>да</v>
      </c>
    </row>
    <row r="1958" spans="1:3" x14ac:dyDescent="0.35">
      <c r="A1958" s="4">
        <v>21862</v>
      </c>
      <c r="B1958" s="9">
        <v>11.6</v>
      </c>
      <c r="C1958" t="str">
        <f>IF(acs2015_county_data[[#This Row],[Unemployment]]&gt;='Описательные характеристики'!$I$5,"да","нет")</f>
        <v>да</v>
      </c>
    </row>
    <row r="1959" spans="1:3" x14ac:dyDescent="0.35">
      <c r="A1959" s="6">
        <v>36380</v>
      </c>
      <c r="B1959" s="10">
        <v>6.4</v>
      </c>
      <c r="C1959" t="str">
        <f>IF(acs2015_county_data[[#This Row],[Unemployment]]&gt;='Описательные характеристики'!$I$5,"да","нет")</f>
        <v>нет</v>
      </c>
    </row>
    <row r="1960" spans="1:3" x14ac:dyDescent="0.35">
      <c r="A1960" s="4">
        <v>24176</v>
      </c>
      <c r="B1960" s="9">
        <v>9.6999999999999993</v>
      </c>
      <c r="C1960" t="str">
        <f>IF(acs2015_county_data[[#This Row],[Unemployment]]&gt;='Описательные характеристики'!$I$5,"да","нет")</f>
        <v>да</v>
      </c>
    </row>
    <row r="1961" spans="1:3" x14ac:dyDescent="0.35">
      <c r="A1961" s="6">
        <v>22187</v>
      </c>
      <c r="B1961" s="10">
        <v>10.1</v>
      </c>
      <c r="C1961" t="str">
        <f>IF(acs2015_county_data[[#This Row],[Unemployment]]&gt;='Описательные характеристики'!$I$5,"да","нет")</f>
        <v>да</v>
      </c>
    </row>
    <row r="1962" spans="1:3" x14ac:dyDescent="0.35">
      <c r="A1962" s="4">
        <v>23561</v>
      </c>
      <c r="B1962" s="9">
        <v>9.8000000000000007</v>
      </c>
      <c r="C1962" t="str">
        <f>IF(acs2015_county_data[[#This Row],[Unemployment]]&gt;='Описательные характеристики'!$I$5,"да","нет")</f>
        <v>да</v>
      </c>
    </row>
    <row r="1963" spans="1:3" x14ac:dyDescent="0.35">
      <c r="A1963" s="6">
        <v>23006</v>
      </c>
      <c r="B1963" s="10">
        <v>12.7</v>
      </c>
      <c r="C1963" t="str">
        <f>IF(acs2015_county_data[[#This Row],[Unemployment]]&gt;='Описательные характеристики'!$I$5,"да","нет")</f>
        <v>да</v>
      </c>
    </row>
    <row r="1964" spans="1:3" x14ac:dyDescent="0.35">
      <c r="A1964" s="4">
        <v>21148</v>
      </c>
      <c r="B1964" s="9">
        <v>11.9</v>
      </c>
      <c r="C1964" t="str">
        <f>IF(acs2015_county_data[[#This Row],[Unemployment]]&gt;='Описательные характеристики'!$I$5,"да","нет")</f>
        <v>да</v>
      </c>
    </row>
    <row r="1965" spans="1:3" x14ac:dyDescent="0.35">
      <c r="A1965" s="6">
        <v>23461</v>
      </c>
      <c r="B1965" s="10">
        <v>12.1</v>
      </c>
      <c r="C1965" t="str">
        <f>IF(acs2015_county_data[[#This Row],[Unemployment]]&gt;='Описательные характеристики'!$I$5,"да","нет")</f>
        <v>да</v>
      </c>
    </row>
    <row r="1966" spans="1:3" x14ac:dyDescent="0.35">
      <c r="A1966" s="4">
        <v>27164</v>
      </c>
      <c r="B1966" s="9">
        <v>8.8000000000000007</v>
      </c>
      <c r="C1966" t="str">
        <f>IF(acs2015_county_data[[#This Row],[Unemployment]]&gt;='Описательные характеристики'!$I$5,"да","нет")</f>
        <v>да</v>
      </c>
    </row>
    <row r="1967" spans="1:3" x14ac:dyDescent="0.35">
      <c r="A1967" s="6">
        <v>21175</v>
      </c>
      <c r="B1967" s="10">
        <v>9</v>
      </c>
      <c r="C1967" t="str">
        <f>IF(acs2015_county_data[[#This Row],[Unemployment]]&gt;='Описательные характеристики'!$I$5,"да","нет")</f>
        <v>да</v>
      </c>
    </row>
    <row r="1968" spans="1:3" x14ac:dyDescent="0.35">
      <c r="A1968" s="4">
        <v>18059</v>
      </c>
      <c r="B1968" s="9">
        <v>13.8</v>
      </c>
      <c r="C1968" t="str">
        <f>IF(acs2015_county_data[[#This Row],[Unemployment]]&gt;='Описательные характеристики'!$I$5,"да","нет")</f>
        <v>да</v>
      </c>
    </row>
    <row r="1969" spans="1:3" x14ac:dyDescent="0.35">
      <c r="A1969" s="6">
        <v>15559</v>
      </c>
      <c r="B1969" s="10">
        <v>12.1</v>
      </c>
      <c r="C1969" t="str">
        <f>IF(acs2015_county_data[[#This Row],[Unemployment]]&gt;='Описательные характеристики'!$I$5,"да","нет")</f>
        <v>да</v>
      </c>
    </row>
    <row r="1970" spans="1:3" x14ac:dyDescent="0.35">
      <c r="A1970" s="4">
        <v>20726</v>
      </c>
      <c r="B1970" s="9">
        <v>10.5</v>
      </c>
      <c r="C1970" t="str">
        <f>IF(acs2015_county_data[[#This Row],[Unemployment]]&gt;='Описательные характеристики'!$I$5,"да","нет")</f>
        <v>да</v>
      </c>
    </row>
    <row r="1971" spans="1:3" x14ac:dyDescent="0.35">
      <c r="A1971" s="6">
        <v>21706</v>
      </c>
      <c r="B1971" s="10">
        <v>11.5</v>
      </c>
      <c r="C1971" t="str">
        <f>IF(acs2015_county_data[[#This Row],[Unemployment]]&gt;='Описательные характеристики'!$I$5,"да","нет")</f>
        <v>да</v>
      </c>
    </row>
    <row r="1972" spans="1:3" x14ac:dyDescent="0.35">
      <c r="A1972" s="4">
        <v>19419</v>
      </c>
      <c r="B1972" s="9">
        <v>12.2</v>
      </c>
      <c r="C1972" t="str">
        <f>IF(acs2015_county_data[[#This Row],[Unemployment]]&gt;='Описательные характеристики'!$I$5,"да","нет")</f>
        <v>да</v>
      </c>
    </row>
    <row r="1973" spans="1:3" x14ac:dyDescent="0.35">
      <c r="A1973" s="6">
        <v>19063</v>
      </c>
      <c r="B1973" s="10">
        <v>10.4</v>
      </c>
      <c r="C1973" t="str">
        <f>IF(acs2015_county_data[[#This Row],[Unemployment]]&gt;='Описательные характеристики'!$I$5,"да","нет")</f>
        <v>да</v>
      </c>
    </row>
    <row r="1974" spans="1:3" x14ac:dyDescent="0.35">
      <c r="A1974" s="4">
        <v>15849</v>
      </c>
      <c r="B1974" s="9">
        <v>15.5</v>
      </c>
      <c r="C1974" t="str">
        <f>IF(acs2015_county_data[[#This Row],[Unemployment]]&gt;='Описательные характеристики'!$I$5,"да","нет")</f>
        <v>да</v>
      </c>
    </row>
    <row r="1975" spans="1:3" x14ac:dyDescent="0.35">
      <c r="A1975" s="6">
        <v>20990</v>
      </c>
      <c r="B1975" s="10">
        <v>12.2</v>
      </c>
      <c r="C1975" t="str">
        <f>IF(acs2015_county_data[[#This Row],[Unemployment]]&gt;='Описательные характеристики'!$I$5,"да","нет")</f>
        <v>да</v>
      </c>
    </row>
    <row r="1976" spans="1:3" x14ac:dyDescent="0.35">
      <c r="A1976" s="4">
        <v>20950</v>
      </c>
      <c r="B1976" s="9">
        <v>9.3000000000000007</v>
      </c>
      <c r="C1976" t="str">
        <f>IF(acs2015_county_data[[#This Row],[Unemployment]]&gt;='Описательные характеристики'!$I$5,"да","нет")</f>
        <v>да</v>
      </c>
    </row>
    <row r="1977" spans="1:3" x14ac:dyDescent="0.35">
      <c r="A1977" s="6">
        <v>20330</v>
      </c>
      <c r="B1977" s="10">
        <v>6.9</v>
      </c>
      <c r="C1977" t="str">
        <f>IF(acs2015_county_data[[#This Row],[Unemployment]]&gt;='Описательные характеристики'!$I$5,"да","нет")</f>
        <v>нет</v>
      </c>
    </row>
    <row r="1978" spans="1:3" x14ac:dyDescent="0.35">
      <c r="A1978" s="4">
        <v>20409</v>
      </c>
      <c r="B1978" s="9">
        <v>7.7</v>
      </c>
      <c r="C1978" t="str">
        <f>IF(acs2015_county_data[[#This Row],[Unemployment]]&gt;='Описательные характеристики'!$I$5,"да","нет")</f>
        <v>да</v>
      </c>
    </row>
    <row r="1979" spans="1:3" x14ac:dyDescent="0.35">
      <c r="A1979" s="6">
        <v>24080</v>
      </c>
      <c r="B1979" s="10">
        <v>6.9</v>
      </c>
      <c r="C1979" t="str">
        <f>IF(acs2015_county_data[[#This Row],[Unemployment]]&gt;='Описательные характеристики'!$I$5,"да","нет")</f>
        <v>нет</v>
      </c>
    </row>
    <row r="1980" spans="1:3" x14ac:dyDescent="0.35">
      <c r="A1980" s="4">
        <v>16268</v>
      </c>
      <c r="B1980" s="9">
        <v>14.1</v>
      </c>
      <c r="C1980" t="str">
        <f>IF(acs2015_county_data[[#This Row],[Unemployment]]&gt;='Описательные характеристики'!$I$5,"да","нет")</f>
        <v>да</v>
      </c>
    </row>
    <row r="1981" spans="1:3" x14ac:dyDescent="0.35">
      <c r="A1981" s="6">
        <v>29662</v>
      </c>
      <c r="B1981" s="10">
        <v>7.7</v>
      </c>
      <c r="C1981" t="str">
        <f>IF(acs2015_county_data[[#This Row],[Unemployment]]&gt;='Описательные характеристики'!$I$5,"да","нет")</f>
        <v>да</v>
      </c>
    </row>
    <row r="1982" spans="1:3" x14ac:dyDescent="0.35">
      <c r="A1982" s="4">
        <v>18606</v>
      </c>
      <c r="B1982" s="9">
        <v>12.2</v>
      </c>
      <c r="C1982" t="str">
        <f>IF(acs2015_county_data[[#This Row],[Unemployment]]&gt;='Описательные характеристики'!$I$5,"да","нет")</f>
        <v>да</v>
      </c>
    </row>
    <row r="1983" spans="1:3" x14ac:dyDescent="0.35">
      <c r="A1983" s="6">
        <v>34202</v>
      </c>
      <c r="B1983" s="10">
        <v>6.4</v>
      </c>
      <c r="C1983" t="str">
        <f>IF(acs2015_county_data[[#This Row],[Unemployment]]&gt;='Описательные характеристики'!$I$5,"да","нет")</f>
        <v>нет</v>
      </c>
    </row>
    <row r="1984" spans="1:3" x14ac:dyDescent="0.35">
      <c r="A1984" s="4">
        <v>19354</v>
      </c>
      <c r="B1984" s="9">
        <v>10.7</v>
      </c>
      <c r="C1984" t="str">
        <f>IF(acs2015_county_data[[#This Row],[Unemployment]]&gt;='Описательные характеристики'!$I$5,"да","нет")</f>
        <v>да</v>
      </c>
    </row>
    <row r="1985" spans="1:3" x14ac:dyDescent="0.35">
      <c r="A1985" s="6">
        <v>20067</v>
      </c>
      <c r="B1985" s="10">
        <v>15.5</v>
      </c>
      <c r="C1985" t="str">
        <f>IF(acs2015_county_data[[#This Row],[Unemployment]]&gt;='Описательные характеристики'!$I$5,"да","нет")</f>
        <v>да</v>
      </c>
    </row>
    <row r="1986" spans="1:3" x14ac:dyDescent="0.35">
      <c r="A1986" s="4">
        <v>22314</v>
      </c>
      <c r="B1986" s="9">
        <v>9.5</v>
      </c>
      <c r="C1986" t="str">
        <f>IF(acs2015_county_data[[#This Row],[Unemployment]]&gt;='Описательные характеристики'!$I$5,"да","нет")</f>
        <v>да</v>
      </c>
    </row>
    <row r="1987" spans="1:3" x14ac:dyDescent="0.35">
      <c r="A1987" s="6">
        <v>21204</v>
      </c>
      <c r="B1987" s="10">
        <v>12.4</v>
      </c>
      <c r="C1987" t="str">
        <f>IF(acs2015_county_data[[#This Row],[Unemployment]]&gt;='Описательные характеристики'!$I$5,"да","нет")</f>
        <v>да</v>
      </c>
    </row>
    <row r="1988" spans="1:3" x14ac:dyDescent="0.35">
      <c r="A1988" s="4">
        <v>19163</v>
      </c>
      <c r="B1988" s="9">
        <v>11.7</v>
      </c>
      <c r="C1988" t="str">
        <f>IF(acs2015_county_data[[#This Row],[Unemployment]]&gt;='Описательные характеристики'!$I$5,"да","нет")</f>
        <v>да</v>
      </c>
    </row>
    <row r="1989" spans="1:3" x14ac:dyDescent="0.35">
      <c r="A1989" s="6">
        <v>21486</v>
      </c>
      <c r="B1989" s="10">
        <v>10.1</v>
      </c>
      <c r="C1989" t="str">
        <f>IF(acs2015_county_data[[#This Row],[Unemployment]]&gt;='Описательные характеристики'!$I$5,"да","нет")</f>
        <v>да</v>
      </c>
    </row>
    <row r="1990" spans="1:3" x14ac:dyDescent="0.35">
      <c r="A1990" s="4">
        <v>21372</v>
      </c>
      <c r="B1990" s="9">
        <v>8.3000000000000007</v>
      </c>
      <c r="C1990" t="str">
        <f>IF(acs2015_county_data[[#This Row],[Unemployment]]&gt;='Описательные характеристики'!$I$5,"да","нет")</f>
        <v>да</v>
      </c>
    </row>
    <row r="1991" spans="1:3" x14ac:dyDescent="0.35">
      <c r="A1991" s="6">
        <v>20798</v>
      </c>
      <c r="B1991" s="10">
        <v>11</v>
      </c>
      <c r="C1991" t="str">
        <f>IF(acs2015_county_data[[#This Row],[Unemployment]]&gt;='Описательные характеристики'!$I$5,"да","нет")</f>
        <v>да</v>
      </c>
    </row>
    <row r="1992" spans="1:3" x14ac:dyDescent="0.35">
      <c r="A1992" s="4">
        <v>34005</v>
      </c>
      <c r="B1992" s="9">
        <v>1.2</v>
      </c>
      <c r="C1992" t="str">
        <f>IF(acs2015_county_data[[#This Row],[Unemployment]]&gt;='Описательные характеристики'!$I$5,"да","нет")</f>
        <v>нет</v>
      </c>
    </row>
    <row r="1993" spans="1:3" x14ac:dyDescent="0.35">
      <c r="A1993" s="6">
        <v>33016</v>
      </c>
      <c r="B1993" s="10">
        <v>2.4</v>
      </c>
      <c r="C1993" t="str">
        <f>IF(acs2015_county_data[[#This Row],[Unemployment]]&gt;='Описательные характеристики'!$I$5,"да","нет")</f>
        <v>нет</v>
      </c>
    </row>
    <row r="1994" spans="1:3" x14ac:dyDescent="0.35">
      <c r="A1994" s="4">
        <v>20697</v>
      </c>
      <c r="B1994" s="9">
        <v>6.1</v>
      </c>
      <c r="C1994" t="str">
        <f>IF(acs2015_county_data[[#This Row],[Unemployment]]&gt;='Описательные характеристики'!$I$5,"да","нет")</f>
        <v>нет</v>
      </c>
    </row>
    <row r="1995" spans="1:3" x14ac:dyDescent="0.35">
      <c r="A1995" s="6">
        <v>42729</v>
      </c>
      <c r="B1995" s="10">
        <v>1.4</v>
      </c>
      <c r="C1995" t="str">
        <f>IF(acs2015_county_data[[#This Row],[Unemployment]]&gt;='Описательные характеристики'!$I$5,"да","нет")</f>
        <v>нет</v>
      </c>
    </row>
    <row r="1996" spans="1:3" x14ac:dyDescent="0.35">
      <c r="A1996" s="4">
        <v>33541</v>
      </c>
      <c r="B1996" s="9">
        <v>2.6</v>
      </c>
      <c r="C1996" t="str">
        <f>IF(acs2015_county_data[[#This Row],[Unemployment]]&gt;='Описательные характеристики'!$I$5,"да","нет")</f>
        <v>нет</v>
      </c>
    </row>
    <row r="1997" spans="1:3" x14ac:dyDescent="0.35">
      <c r="A1997" s="6">
        <v>34414</v>
      </c>
      <c r="B1997" s="10">
        <v>1.8</v>
      </c>
      <c r="C1997" t="str">
        <f>IF(acs2015_county_data[[#This Row],[Unemployment]]&gt;='Описательные характеристики'!$I$5,"да","нет")</f>
        <v>нет</v>
      </c>
    </row>
    <row r="1998" spans="1:3" x14ac:dyDescent="0.35">
      <c r="A1998" s="4">
        <v>34161</v>
      </c>
      <c r="B1998" s="9">
        <v>2.2999999999999998</v>
      </c>
      <c r="C1998" t="str">
        <f>IF(acs2015_county_data[[#This Row],[Unemployment]]&gt;='Описательные характеристики'!$I$5,"да","нет")</f>
        <v>нет</v>
      </c>
    </row>
    <row r="1999" spans="1:3" x14ac:dyDescent="0.35">
      <c r="A1999" s="6">
        <v>34813</v>
      </c>
      <c r="B1999" s="10">
        <v>2.2999999999999998</v>
      </c>
      <c r="C1999" t="str">
        <f>IF(acs2015_county_data[[#This Row],[Unemployment]]&gt;='Описательные характеристики'!$I$5,"да","нет")</f>
        <v>нет</v>
      </c>
    </row>
    <row r="2000" spans="1:3" x14ac:dyDescent="0.35">
      <c r="A2000" s="4">
        <v>31795</v>
      </c>
      <c r="B2000" s="9">
        <v>3.2</v>
      </c>
      <c r="C2000" t="str">
        <f>IF(acs2015_county_data[[#This Row],[Unemployment]]&gt;='Описательные характеристики'!$I$5,"да","нет")</f>
        <v>нет</v>
      </c>
    </row>
    <row r="2001" spans="1:3" x14ac:dyDescent="0.35">
      <c r="A2001" s="6">
        <v>38721</v>
      </c>
      <c r="B2001" s="10">
        <v>0.8</v>
      </c>
      <c r="C2001" t="str">
        <f>IF(acs2015_county_data[[#This Row],[Unemployment]]&gt;='Описательные характеристики'!$I$5,"да","нет")</f>
        <v>нет</v>
      </c>
    </row>
    <row r="2002" spans="1:3" x14ac:dyDescent="0.35">
      <c r="A2002" s="4">
        <v>27825</v>
      </c>
      <c r="B2002" s="9">
        <v>1.5</v>
      </c>
      <c r="C2002" t="str">
        <f>IF(acs2015_county_data[[#This Row],[Unemployment]]&gt;='Описательные характеристики'!$I$5,"да","нет")</f>
        <v>нет</v>
      </c>
    </row>
    <row r="2003" spans="1:3" x14ac:dyDescent="0.35">
      <c r="A2003" s="6">
        <v>41625</v>
      </c>
      <c r="B2003" s="10">
        <v>0.7</v>
      </c>
      <c r="C2003" t="str">
        <f>IF(acs2015_county_data[[#This Row],[Unemployment]]&gt;='Описательные характеристики'!$I$5,"да","нет")</f>
        <v>нет</v>
      </c>
    </row>
    <row r="2004" spans="1:3" x14ac:dyDescent="0.35">
      <c r="A2004" s="4">
        <v>41849</v>
      </c>
      <c r="B2004" s="9">
        <v>4.3</v>
      </c>
      <c r="C2004" t="str">
        <f>IF(acs2015_county_data[[#This Row],[Unemployment]]&gt;='Описательные характеристики'!$I$5,"да","нет")</f>
        <v>нет</v>
      </c>
    </row>
    <row r="2005" spans="1:3" x14ac:dyDescent="0.35">
      <c r="A2005" s="6">
        <v>31806</v>
      </c>
      <c r="B2005" s="10">
        <v>1.9</v>
      </c>
      <c r="C2005" t="str">
        <f>IF(acs2015_county_data[[#This Row],[Unemployment]]&gt;='Описательные характеристики'!$I$5,"да","нет")</f>
        <v>нет</v>
      </c>
    </row>
    <row r="2006" spans="1:3" x14ac:dyDescent="0.35">
      <c r="A2006" s="4">
        <v>29367</v>
      </c>
      <c r="B2006" s="9">
        <v>3.6</v>
      </c>
      <c r="C2006" t="str">
        <f>IF(acs2015_county_data[[#This Row],[Unemployment]]&gt;='Описательные характеристики'!$I$5,"да","нет")</f>
        <v>нет</v>
      </c>
    </row>
    <row r="2007" spans="1:3" x14ac:dyDescent="0.35">
      <c r="A2007" s="6">
        <v>29710</v>
      </c>
      <c r="B2007" s="10">
        <v>1.3</v>
      </c>
      <c r="C2007" t="str">
        <f>IF(acs2015_county_data[[#This Row],[Unemployment]]&gt;='Описательные характеристики'!$I$5,"да","нет")</f>
        <v>нет</v>
      </c>
    </row>
    <row r="2008" spans="1:3" x14ac:dyDescent="0.35">
      <c r="A2008" s="4">
        <v>27650</v>
      </c>
      <c r="B2008" s="9">
        <v>1</v>
      </c>
      <c r="C2008" t="str">
        <f>IF(acs2015_county_data[[#This Row],[Unemployment]]&gt;='Описательные характеристики'!$I$5,"да","нет")</f>
        <v>нет</v>
      </c>
    </row>
    <row r="2009" spans="1:3" x14ac:dyDescent="0.35">
      <c r="A2009" s="6">
        <v>29088</v>
      </c>
      <c r="B2009" s="10">
        <v>3.6</v>
      </c>
      <c r="C2009" t="str">
        <f>IF(acs2015_county_data[[#This Row],[Unemployment]]&gt;='Описательные характеристики'!$I$5,"да","нет")</f>
        <v>нет</v>
      </c>
    </row>
    <row r="2010" spans="1:3" x14ac:dyDescent="0.35">
      <c r="A2010" s="4">
        <v>32412</v>
      </c>
      <c r="B2010" s="9">
        <v>3.4</v>
      </c>
      <c r="C2010" t="str">
        <f>IF(acs2015_county_data[[#This Row],[Unemployment]]&gt;='Описательные характеристики'!$I$5,"да","нет")</f>
        <v>нет</v>
      </c>
    </row>
    <row r="2011" spans="1:3" x14ac:dyDescent="0.35">
      <c r="A2011" s="6">
        <v>29639</v>
      </c>
      <c r="B2011" s="10">
        <v>2</v>
      </c>
      <c r="C2011" t="str">
        <f>IF(acs2015_county_data[[#This Row],[Unemployment]]&gt;='Описательные характеристики'!$I$5,"да","нет")</f>
        <v>нет</v>
      </c>
    </row>
    <row r="2012" spans="1:3" x14ac:dyDescent="0.35">
      <c r="A2012" s="4">
        <v>28132</v>
      </c>
      <c r="B2012" s="9">
        <v>1.1000000000000001</v>
      </c>
      <c r="C2012" t="str">
        <f>IF(acs2015_county_data[[#This Row],[Unemployment]]&gt;='Описательные характеристики'!$I$5,"да","нет")</f>
        <v>нет</v>
      </c>
    </row>
    <row r="2013" spans="1:3" x14ac:dyDescent="0.35">
      <c r="A2013" s="6">
        <v>32743</v>
      </c>
      <c r="B2013" s="10">
        <v>0.9</v>
      </c>
      <c r="C2013" t="str">
        <f>IF(acs2015_county_data[[#This Row],[Unemployment]]&gt;='Описательные характеристики'!$I$5,"да","нет")</f>
        <v>нет</v>
      </c>
    </row>
    <row r="2014" spans="1:3" x14ac:dyDescent="0.35">
      <c r="A2014" s="4">
        <v>34471</v>
      </c>
      <c r="B2014" s="9">
        <v>1.9</v>
      </c>
      <c r="C2014" t="str">
        <f>IF(acs2015_county_data[[#This Row],[Unemployment]]&gt;='Описательные характеристики'!$I$5,"да","нет")</f>
        <v>нет</v>
      </c>
    </row>
    <row r="2015" spans="1:3" x14ac:dyDescent="0.35">
      <c r="A2015" s="6">
        <v>32180</v>
      </c>
      <c r="B2015" s="10">
        <v>2.2000000000000002</v>
      </c>
      <c r="C2015" t="str">
        <f>IF(acs2015_county_data[[#This Row],[Unemployment]]&gt;='Описательные характеристики'!$I$5,"да","нет")</f>
        <v>нет</v>
      </c>
    </row>
    <row r="2016" spans="1:3" x14ac:dyDescent="0.35">
      <c r="A2016" s="4">
        <v>34169</v>
      </c>
      <c r="B2016" s="9">
        <v>3.1</v>
      </c>
      <c r="C2016" t="str">
        <f>IF(acs2015_county_data[[#This Row],[Unemployment]]&gt;='Описательные характеристики'!$I$5,"да","нет")</f>
        <v>нет</v>
      </c>
    </row>
    <row r="2017" spans="1:3" x14ac:dyDescent="0.35">
      <c r="A2017" s="6">
        <v>28735</v>
      </c>
      <c r="B2017" s="10">
        <v>1.2</v>
      </c>
      <c r="C2017" t="str">
        <f>IF(acs2015_county_data[[#This Row],[Unemployment]]&gt;='Описательные характеристики'!$I$5,"да","нет")</f>
        <v>нет</v>
      </c>
    </row>
    <row r="2018" spans="1:3" x14ac:dyDescent="0.35">
      <c r="A2018" s="4">
        <v>37045</v>
      </c>
      <c r="B2018" s="9">
        <v>3</v>
      </c>
      <c r="C2018" t="str">
        <f>IF(acs2015_county_data[[#This Row],[Unemployment]]&gt;='Описательные характеристики'!$I$5,"да","нет")</f>
        <v>нет</v>
      </c>
    </row>
    <row r="2019" spans="1:3" x14ac:dyDescent="0.35">
      <c r="A2019" s="6">
        <v>31777</v>
      </c>
      <c r="B2019" s="10">
        <v>1.6</v>
      </c>
      <c r="C2019" t="str">
        <f>IF(acs2015_county_data[[#This Row],[Unemployment]]&gt;='Описательные характеристики'!$I$5,"да","нет")</f>
        <v>нет</v>
      </c>
    </row>
    <row r="2020" spans="1:3" x14ac:dyDescent="0.35">
      <c r="A2020" s="4">
        <v>31759</v>
      </c>
      <c r="B2020" s="9">
        <v>3.2</v>
      </c>
      <c r="C2020" t="str">
        <f>IF(acs2015_county_data[[#This Row],[Unemployment]]&gt;='Описательные характеристики'!$I$5,"да","нет")</f>
        <v>нет</v>
      </c>
    </row>
    <row r="2021" spans="1:3" x14ac:dyDescent="0.35">
      <c r="A2021" s="6">
        <v>32614</v>
      </c>
      <c r="B2021" s="10">
        <v>3.2</v>
      </c>
      <c r="C2021" t="str">
        <f>IF(acs2015_county_data[[#This Row],[Unemployment]]&gt;='Описательные характеристики'!$I$5,"да","нет")</f>
        <v>нет</v>
      </c>
    </row>
    <row r="2022" spans="1:3" x14ac:dyDescent="0.35">
      <c r="A2022" s="4">
        <v>38061</v>
      </c>
      <c r="B2022" s="9">
        <v>4.7</v>
      </c>
      <c r="C2022" t="str">
        <f>IF(acs2015_county_data[[#This Row],[Unemployment]]&gt;='Описательные характеристики'!$I$5,"да","нет")</f>
        <v>нет</v>
      </c>
    </row>
    <row r="2023" spans="1:3" x14ac:dyDescent="0.35">
      <c r="A2023" s="6">
        <v>32259</v>
      </c>
      <c r="B2023" s="10">
        <v>0.7</v>
      </c>
      <c r="C2023" t="str">
        <f>IF(acs2015_county_data[[#This Row],[Unemployment]]&gt;='Описательные характеристики'!$I$5,"да","нет")</f>
        <v>нет</v>
      </c>
    </row>
    <row r="2024" spans="1:3" x14ac:dyDescent="0.35">
      <c r="A2024" s="4">
        <v>32235</v>
      </c>
      <c r="B2024" s="9">
        <v>3.6</v>
      </c>
      <c r="C2024" t="str">
        <f>IF(acs2015_county_data[[#This Row],[Unemployment]]&gt;='Описательные характеристики'!$I$5,"да","нет")</f>
        <v>нет</v>
      </c>
    </row>
    <row r="2025" spans="1:3" x14ac:dyDescent="0.35">
      <c r="A2025" s="6">
        <v>31244</v>
      </c>
      <c r="B2025" s="10">
        <v>3.5</v>
      </c>
      <c r="C2025" t="str">
        <f>IF(acs2015_county_data[[#This Row],[Unemployment]]&gt;='Описательные характеристики'!$I$5,"да","нет")</f>
        <v>нет</v>
      </c>
    </row>
    <row r="2026" spans="1:3" x14ac:dyDescent="0.35">
      <c r="A2026" s="4">
        <v>25029</v>
      </c>
      <c r="B2026" s="9">
        <v>0.9</v>
      </c>
      <c r="C2026" t="str">
        <f>IF(acs2015_county_data[[#This Row],[Unemployment]]&gt;='Описательные характеристики'!$I$5,"да","нет")</f>
        <v>нет</v>
      </c>
    </row>
    <row r="2027" spans="1:3" x14ac:dyDescent="0.35">
      <c r="A2027" s="6">
        <v>29006</v>
      </c>
      <c r="B2027" s="10">
        <v>1.2</v>
      </c>
      <c r="C2027" t="str">
        <f>IF(acs2015_county_data[[#This Row],[Unemployment]]&gt;='Описательные характеристики'!$I$5,"да","нет")</f>
        <v>нет</v>
      </c>
    </row>
    <row r="2028" spans="1:3" x14ac:dyDescent="0.35">
      <c r="A2028" s="4">
        <v>30779</v>
      </c>
      <c r="B2028" s="9">
        <v>2</v>
      </c>
      <c r="C2028" t="str">
        <f>IF(acs2015_county_data[[#This Row],[Unemployment]]&gt;='Описательные характеристики'!$I$5,"да","нет")</f>
        <v>нет</v>
      </c>
    </row>
    <row r="2029" spans="1:3" x14ac:dyDescent="0.35">
      <c r="A2029" s="6">
        <v>31281</v>
      </c>
      <c r="B2029" s="10">
        <v>1.6</v>
      </c>
      <c r="C2029" t="str">
        <f>IF(acs2015_county_data[[#This Row],[Unemployment]]&gt;='Описательные характеристики'!$I$5,"да","нет")</f>
        <v>нет</v>
      </c>
    </row>
    <row r="2030" spans="1:3" x14ac:dyDescent="0.35">
      <c r="A2030" s="4">
        <v>28413</v>
      </c>
      <c r="B2030" s="9">
        <v>3</v>
      </c>
      <c r="C2030" t="str">
        <f>IF(acs2015_county_data[[#This Row],[Unemployment]]&gt;='Описательные характеристики'!$I$5,"да","нет")</f>
        <v>нет</v>
      </c>
    </row>
    <row r="2031" spans="1:3" x14ac:dyDescent="0.35">
      <c r="A2031" s="6">
        <v>16706</v>
      </c>
      <c r="B2031" s="10">
        <v>4.8</v>
      </c>
      <c r="C2031" t="str">
        <f>IF(acs2015_county_data[[#This Row],[Unemployment]]&gt;='Описательные характеристики'!$I$5,"да","нет")</f>
        <v>нет</v>
      </c>
    </row>
    <row r="2032" spans="1:3" x14ac:dyDescent="0.35">
      <c r="A2032" s="4">
        <v>32280</v>
      </c>
      <c r="B2032" s="9">
        <v>1.2</v>
      </c>
      <c r="C2032" t="str">
        <f>IF(acs2015_county_data[[#This Row],[Unemployment]]&gt;='Описательные характеристики'!$I$5,"да","нет")</f>
        <v>нет</v>
      </c>
    </row>
    <row r="2033" spans="1:3" x14ac:dyDescent="0.35">
      <c r="A2033" s="6">
        <v>32095</v>
      </c>
      <c r="B2033" s="10">
        <v>2</v>
      </c>
      <c r="C2033" t="str">
        <f>IF(acs2015_county_data[[#This Row],[Unemployment]]&gt;='Описательные характеристики'!$I$5,"да","нет")</f>
        <v>нет</v>
      </c>
    </row>
    <row r="2034" spans="1:3" x14ac:dyDescent="0.35">
      <c r="A2034" s="4">
        <v>15557</v>
      </c>
      <c r="B2034" s="9">
        <v>20.3</v>
      </c>
      <c r="C2034" t="str">
        <f>IF(acs2015_county_data[[#This Row],[Unemployment]]&gt;='Описательные характеристики'!$I$5,"да","нет")</f>
        <v>да</v>
      </c>
    </row>
    <row r="2035" spans="1:3" x14ac:dyDescent="0.35">
      <c r="A2035" s="6">
        <v>34597</v>
      </c>
      <c r="B2035" s="10">
        <v>0</v>
      </c>
      <c r="C2035" t="str">
        <f>IF(acs2015_county_data[[#This Row],[Unemployment]]&gt;='Описательные характеристики'!$I$5,"да","нет")</f>
        <v>нет</v>
      </c>
    </row>
    <row r="2036" spans="1:3" x14ac:dyDescent="0.35">
      <c r="A2036" s="4">
        <v>35114</v>
      </c>
      <c r="B2036" s="9">
        <v>2.8</v>
      </c>
      <c r="C2036" t="str">
        <f>IF(acs2015_county_data[[#This Row],[Unemployment]]&gt;='Описательные характеристики'!$I$5,"да","нет")</f>
        <v>нет</v>
      </c>
    </row>
    <row r="2037" spans="1:3" x14ac:dyDescent="0.35">
      <c r="A2037" s="6">
        <v>34774</v>
      </c>
      <c r="B2037" s="10">
        <v>4</v>
      </c>
      <c r="C2037" t="str">
        <f>IF(acs2015_county_data[[#This Row],[Unemployment]]&gt;='Описательные характеристики'!$I$5,"да","нет")</f>
        <v>нет</v>
      </c>
    </row>
    <row r="2038" spans="1:3" x14ac:dyDescent="0.35">
      <c r="A2038" s="4">
        <v>29490</v>
      </c>
      <c r="B2038" s="9">
        <v>2.5</v>
      </c>
      <c r="C2038" t="str">
        <f>IF(acs2015_county_data[[#This Row],[Unemployment]]&gt;='Описательные характеристики'!$I$5,"да","нет")</f>
        <v>нет</v>
      </c>
    </row>
    <row r="2039" spans="1:3" x14ac:dyDescent="0.35">
      <c r="A2039" s="6">
        <v>33277</v>
      </c>
      <c r="B2039" s="10">
        <v>2.9</v>
      </c>
      <c r="C2039" t="str">
        <f>IF(acs2015_county_data[[#This Row],[Unemployment]]&gt;='Описательные характеристики'!$I$5,"да","нет")</f>
        <v>нет</v>
      </c>
    </row>
    <row r="2040" spans="1:3" x14ac:dyDescent="0.35">
      <c r="A2040" s="4">
        <v>30213</v>
      </c>
      <c r="B2040" s="9">
        <v>2.7</v>
      </c>
      <c r="C2040" t="str">
        <f>IF(acs2015_county_data[[#This Row],[Unemployment]]&gt;='Описательные характеристики'!$I$5,"да","нет")</f>
        <v>нет</v>
      </c>
    </row>
    <row r="2041" spans="1:3" x14ac:dyDescent="0.35">
      <c r="A2041" s="6">
        <v>30154</v>
      </c>
      <c r="B2041" s="10">
        <v>3.3</v>
      </c>
      <c r="C2041" t="str">
        <f>IF(acs2015_county_data[[#This Row],[Unemployment]]&gt;='Описательные характеристики'!$I$5,"да","нет")</f>
        <v>нет</v>
      </c>
    </row>
    <row r="2042" spans="1:3" x14ac:dyDescent="0.35">
      <c r="A2042" s="4">
        <v>31215</v>
      </c>
      <c r="B2042" s="9">
        <v>2.6</v>
      </c>
      <c r="C2042" t="str">
        <f>IF(acs2015_county_data[[#This Row],[Unemployment]]&gt;='Описательные характеристики'!$I$5,"да","нет")</f>
        <v>нет</v>
      </c>
    </row>
    <row r="2043" spans="1:3" x14ac:dyDescent="0.35">
      <c r="A2043" s="6">
        <v>30514</v>
      </c>
      <c r="B2043" s="10">
        <v>1.3</v>
      </c>
      <c r="C2043" t="str">
        <f>IF(acs2015_county_data[[#This Row],[Unemployment]]&gt;='Описательные характеристики'!$I$5,"да","нет")</f>
        <v>нет</v>
      </c>
    </row>
    <row r="2044" spans="1:3" x14ac:dyDescent="0.35">
      <c r="A2044" s="4">
        <v>43946</v>
      </c>
      <c r="B2044" s="9">
        <v>1.7</v>
      </c>
      <c r="C2044" t="str">
        <f>IF(acs2015_county_data[[#This Row],[Unemployment]]&gt;='Описательные характеристики'!$I$5,"да","нет")</f>
        <v>нет</v>
      </c>
    </row>
    <row r="2045" spans="1:3" x14ac:dyDescent="0.35">
      <c r="A2045" s="6">
        <v>18556</v>
      </c>
      <c r="B2045" s="10">
        <v>13.4</v>
      </c>
      <c r="C2045" t="str">
        <f>IF(acs2015_county_data[[#This Row],[Unemployment]]&gt;='Описательные характеристики'!$I$5,"да","нет")</f>
        <v>да</v>
      </c>
    </row>
    <row r="2046" spans="1:3" x14ac:dyDescent="0.35">
      <c r="A2046" s="4">
        <v>22922</v>
      </c>
      <c r="B2046" s="9">
        <v>9.1999999999999993</v>
      </c>
      <c r="C2046" t="str">
        <f>IF(acs2015_county_data[[#This Row],[Unemployment]]&gt;='Описательные характеристики'!$I$5,"да","нет")</f>
        <v>да</v>
      </c>
    </row>
    <row r="2047" spans="1:3" x14ac:dyDescent="0.35">
      <c r="A2047" s="6">
        <v>22928</v>
      </c>
      <c r="B2047" s="10">
        <v>7.8</v>
      </c>
      <c r="C2047" t="str">
        <f>IF(acs2015_county_data[[#This Row],[Unemployment]]&gt;='Описательные характеристики'!$I$5,"да","нет")</f>
        <v>да</v>
      </c>
    </row>
    <row r="2048" spans="1:3" x14ac:dyDescent="0.35">
      <c r="A2048" s="4">
        <v>20378</v>
      </c>
      <c r="B2048" s="9">
        <v>8.9</v>
      </c>
      <c r="C2048" t="str">
        <f>IF(acs2015_county_data[[#This Row],[Unemployment]]&gt;='Описательные характеристики'!$I$5,"да","нет")</f>
        <v>да</v>
      </c>
    </row>
    <row r="2049" spans="1:3" x14ac:dyDescent="0.35">
      <c r="A2049" s="6">
        <v>17868</v>
      </c>
      <c r="B2049" s="10">
        <v>10.9</v>
      </c>
      <c r="C2049" t="str">
        <f>IF(acs2015_county_data[[#This Row],[Unemployment]]&gt;='Описательные характеристики'!$I$5,"да","нет")</f>
        <v>да</v>
      </c>
    </row>
    <row r="2050" spans="1:3" x14ac:dyDescent="0.35">
      <c r="A2050" s="4">
        <v>25727</v>
      </c>
      <c r="B2050" s="9">
        <v>5</v>
      </c>
      <c r="C2050" t="str">
        <f>IF(acs2015_county_data[[#This Row],[Unemployment]]&gt;='Описательные характеристики'!$I$5,"да","нет")</f>
        <v>нет</v>
      </c>
    </row>
    <row r="2051" spans="1:3" x14ac:dyDescent="0.35">
      <c r="A2051" s="6">
        <v>23684</v>
      </c>
      <c r="B2051" s="10">
        <v>8.5</v>
      </c>
      <c r="C2051" t="str">
        <f>IF(acs2015_county_data[[#This Row],[Unemployment]]&gt;='Описательные характеристики'!$I$5,"да","нет")</f>
        <v>да</v>
      </c>
    </row>
    <row r="2052" spans="1:3" x14ac:dyDescent="0.35">
      <c r="A2052" s="4">
        <v>22133</v>
      </c>
      <c r="B2052" s="9">
        <v>9.9</v>
      </c>
      <c r="C2052" t="str">
        <f>IF(acs2015_county_data[[#This Row],[Unemployment]]&gt;='Описательные характеристики'!$I$5,"да","нет")</f>
        <v>да</v>
      </c>
    </row>
    <row r="2053" spans="1:3" x14ac:dyDescent="0.35">
      <c r="A2053" s="6">
        <v>27490</v>
      </c>
      <c r="B2053" s="10">
        <v>7.2</v>
      </c>
      <c r="C2053" t="str">
        <f>IF(acs2015_county_data[[#This Row],[Unemployment]]&gt;='Описательные характеристики'!$I$5,"да","нет")</f>
        <v>нет</v>
      </c>
    </row>
    <row r="2054" spans="1:3" x14ac:dyDescent="0.35">
      <c r="A2054" s="4">
        <v>23706</v>
      </c>
      <c r="B2054" s="9">
        <v>7.1</v>
      </c>
      <c r="C2054" t="str">
        <f>IF(acs2015_county_data[[#This Row],[Unemployment]]&gt;='Описательные характеристики'!$I$5,"да","нет")</f>
        <v>нет</v>
      </c>
    </row>
    <row r="2055" spans="1:3" x14ac:dyDescent="0.35">
      <c r="A2055" s="6">
        <v>23513</v>
      </c>
      <c r="B2055" s="10">
        <v>9.1</v>
      </c>
      <c r="C2055" t="str">
        <f>IF(acs2015_county_data[[#This Row],[Unemployment]]&gt;='Описательные характеристики'!$I$5,"да","нет")</f>
        <v>да</v>
      </c>
    </row>
    <row r="2056" spans="1:3" x14ac:dyDescent="0.35">
      <c r="A2056" s="4">
        <v>23445</v>
      </c>
      <c r="B2056" s="9">
        <v>10</v>
      </c>
      <c r="C2056" t="str">
        <f>IF(acs2015_county_data[[#This Row],[Unemployment]]&gt;='Описательные характеристики'!$I$5,"да","нет")</f>
        <v>да</v>
      </c>
    </row>
    <row r="2057" spans="1:3" x14ac:dyDescent="0.35">
      <c r="A2057" s="6">
        <v>29288</v>
      </c>
      <c r="B2057" s="10">
        <v>5.5</v>
      </c>
      <c r="C2057" t="str">
        <f>IF(acs2015_county_data[[#This Row],[Unemployment]]&gt;='Описательные характеристики'!$I$5,"да","нет")</f>
        <v>нет</v>
      </c>
    </row>
    <row r="2058" spans="1:3" x14ac:dyDescent="0.35">
      <c r="A2058" s="4">
        <v>23039</v>
      </c>
      <c r="B2058" s="9">
        <v>9.1999999999999993</v>
      </c>
      <c r="C2058" t="str">
        <f>IF(acs2015_county_data[[#This Row],[Unemployment]]&gt;='Описательные характеристики'!$I$5,"да","нет")</f>
        <v>да</v>
      </c>
    </row>
    <row r="2059" spans="1:3" x14ac:dyDescent="0.35">
      <c r="A2059" s="6">
        <v>23348</v>
      </c>
      <c r="B2059" s="10">
        <v>9</v>
      </c>
      <c r="C2059" t="str">
        <f>IF(acs2015_county_data[[#This Row],[Unemployment]]&gt;='Описательные характеристики'!$I$5,"да","нет")</f>
        <v>да</v>
      </c>
    </row>
    <row r="2060" spans="1:3" x14ac:dyDescent="0.35">
      <c r="A2060" s="4">
        <v>20713</v>
      </c>
      <c r="B2060" s="9">
        <v>7.8</v>
      </c>
      <c r="C2060" t="str">
        <f>IF(acs2015_county_data[[#This Row],[Unemployment]]&gt;='Описательные характеристики'!$I$5,"да","нет")</f>
        <v>да</v>
      </c>
    </row>
    <row r="2061" spans="1:3" x14ac:dyDescent="0.35">
      <c r="A2061" s="6">
        <v>22499</v>
      </c>
      <c r="B2061" s="10">
        <v>8.1</v>
      </c>
      <c r="C2061" t="str">
        <f>IF(acs2015_county_data[[#This Row],[Unemployment]]&gt;='Описательные характеристики'!$I$5,"да","нет")</f>
        <v>да</v>
      </c>
    </row>
    <row r="2062" spans="1:3" x14ac:dyDescent="0.35">
      <c r="A2062" s="4">
        <v>28215</v>
      </c>
      <c r="B2062" s="9">
        <v>10.6</v>
      </c>
      <c r="C2062" t="str">
        <f>IF(acs2015_county_data[[#This Row],[Unemployment]]&gt;='Описательные характеристики'!$I$5,"да","нет")</f>
        <v>да</v>
      </c>
    </row>
    <row r="2063" spans="1:3" x14ac:dyDescent="0.35">
      <c r="A2063" s="6">
        <v>22832</v>
      </c>
      <c r="B2063" s="10">
        <v>7.6</v>
      </c>
      <c r="C2063" t="str">
        <f>IF(acs2015_county_data[[#This Row],[Unemployment]]&gt;='Описательные характеристики'!$I$5,"да","нет")</f>
        <v>да</v>
      </c>
    </row>
    <row r="2064" spans="1:3" x14ac:dyDescent="0.35">
      <c r="A2064" s="4">
        <v>24143</v>
      </c>
      <c r="B2064" s="9">
        <v>8.4</v>
      </c>
      <c r="C2064" t="str">
        <f>IF(acs2015_county_data[[#This Row],[Unemployment]]&gt;='Описательные характеристики'!$I$5,"да","нет")</f>
        <v>да</v>
      </c>
    </row>
    <row r="2065" spans="1:3" x14ac:dyDescent="0.35">
      <c r="A2065" s="6">
        <v>41824</v>
      </c>
      <c r="B2065" s="10">
        <v>3.2</v>
      </c>
      <c r="C2065" t="str">
        <f>IF(acs2015_county_data[[#This Row],[Unemployment]]&gt;='Описательные характеристики'!$I$5,"да","нет")</f>
        <v>нет</v>
      </c>
    </row>
    <row r="2066" spans="1:3" x14ac:dyDescent="0.35">
      <c r="A2066" s="4">
        <v>27249</v>
      </c>
      <c r="B2066" s="9">
        <v>7.7</v>
      </c>
      <c r="C2066" t="str">
        <f>IF(acs2015_county_data[[#This Row],[Unemployment]]&gt;='Описательные характеристики'!$I$5,"да","нет")</f>
        <v>да</v>
      </c>
    </row>
    <row r="2067" spans="1:3" x14ac:dyDescent="0.35">
      <c r="A2067" s="6">
        <v>28130</v>
      </c>
      <c r="B2067" s="10">
        <v>6.9</v>
      </c>
      <c r="C2067" t="str">
        <f>IF(acs2015_county_data[[#This Row],[Unemployment]]&gt;='Описательные характеристики'!$I$5,"да","нет")</f>
        <v>нет</v>
      </c>
    </row>
    <row r="2068" spans="1:3" x14ac:dyDescent="0.35">
      <c r="A2068" s="4">
        <v>21632</v>
      </c>
      <c r="B2068" s="9">
        <v>8.6</v>
      </c>
      <c r="C2068" t="str">
        <f>IF(acs2015_county_data[[#This Row],[Unemployment]]&gt;='Описательные характеристики'!$I$5,"да","нет")</f>
        <v>да</v>
      </c>
    </row>
    <row r="2069" spans="1:3" x14ac:dyDescent="0.35">
      <c r="A2069" s="6">
        <v>29244</v>
      </c>
      <c r="B2069" s="10">
        <v>7</v>
      </c>
      <c r="C2069" t="str">
        <f>IF(acs2015_county_data[[#This Row],[Unemployment]]&gt;='Описательные характеристики'!$I$5,"да","нет")</f>
        <v>нет</v>
      </c>
    </row>
    <row r="2070" spans="1:3" x14ac:dyDescent="0.35">
      <c r="A2070" s="4">
        <v>26470</v>
      </c>
      <c r="B2070" s="9">
        <v>6.7</v>
      </c>
      <c r="C2070" t="str">
        <f>IF(acs2015_county_data[[#This Row],[Unemployment]]&gt;='Описательные характеристики'!$I$5,"да","нет")</f>
        <v>нет</v>
      </c>
    </row>
    <row r="2071" spans="1:3" x14ac:dyDescent="0.35">
      <c r="A2071" s="6">
        <v>21195</v>
      </c>
      <c r="B2071" s="10">
        <v>7.5</v>
      </c>
      <c r="C2071" t="str">
        <f>IF(acs2015_county_data[[#This Row],[Unemployment]]&gt;='Описательные характеристики'!$I$5,"да","нет")</f>
        <v>нет</v>
      </c>
    </row>
    <row r="2072" spans="1:3" x14ac:dyDescent="0.35">
      <c r="A2072" s="4">
        <v>37021</v>
      </c>
      <c r="B2072" s="9">
        <v>4.0999999999999996</v>
      </c>
      <c r="C2072" t="str">
        <f>IF(acs2015_county_data[[#This Row],[Unemployment]]&gt;='Описательные характеристики'!$I$5,"да","нет")</f>
        <v>нет</v>
      </c>
    </row>
    <row r="2073" spans="1:3" x14ac:dyDescent="0.35">
      <c r="A2073" s="6">
        <v>31075</v>
      </c>
      <c r="B2073" s="10">
        <v>7.6</v>
      </c>
      <c r="C2073" t="str">
        <f>IF(acs2015_county_data[[#This Row],[Unemployment]]&gt;='Описательные характеристики'!$I$5,"да","нет")</f>
        <v>да</v>
      </c>
    </row>
    <row r="2074" spans="1:3" x14ac:dyDescent="0.35">
      <c r="A2074" s="4">
        <v>21564</v>
      </c>
      <c r="B2074" s="9">
        <v>11.7</v>
      </c>
      <c r="C2074" t="str">
        <f>IF(acs2015_county_data[[#This Row],[Unemployment]]&gt;='Описательные характеристики'!$I$5,"да","нет")</f>
        <v>да</v>
      </c>
    </row>
    <row r="2075" spans="1:3" x14ac:dyDescent="0.35">
      <c r="A2075" s="6">
        <v>30360</v>
      </c>
      <c r="B2075" s="10">
        <v>8.8000000000000007</v>
      </c>
      <c r="C2075" t="str">
        <f>IF(acs2015_county_data[[#This Row],[Unemployment]]&gt;='Описательные характеристики'!$I$5,"да","нет")</f>
        <v>да</v>
      </c>
    </row>
    <row r="2076" spans="1:3" x14ac:dyDescent="0.35">
      <c r="A2076" s="4">
        <v>27129</v>
      </c>
      <c r="B2076" s="9">
        <v>6.9</v>
      </c>
      <c r="C2076" t="str">
        <f>IF(acs2015_county_data[[#This Row],[Unemployment]]&gt;='Описательные характеристики'!$I$5,"да","нет")</f>
        <v>нет</v>
      </c>
    </row>
    <row r="2077" spans="1:3" x14ac:dyDescent="0.35">
      <c r="A2077" s="6">
        <v>20332</v>
      </c>
      <c r="B2077" s="10">
        <v>9.6</v>
      </c>
      <c r="C2077" t="str">
        <f>IF(acs2015_county_data[[#This Row],[Unemployment]]&gt;='Описательные характеристики'!$I$5,"да","нет")</f>
        <v>да</v>
      </c>
    </row>
    <row r="2078" spans="1:3" x14ac:dyDescent="0.35">
      <c r="A2078" s="4">
        <v>22197</v>
      </c>
      <c r="B2078" s="9">
        <v>5.6</v>
      </c>
      <c r="C2078" t="str">
        <f>IF(acs2015_county_data[[#This Row],[Unemployment]]&gt;='Описательные характеристики'!$I$5,"да","нет")</f>
        <v>нет</v>
      </c>
    </row>
    <row r="2079" spans="1:3" x14ac:dyDescent="0.35">
      <c r="A2079" s="6">
        <v>25205</v>
      </c>
      <c r="B2079" s="10">
        <v>6.7</v>
      </c>
      <c r="C2079" t="str">
        <f>IF(acs2015_county_data[[#This Row],[Unemployment]]&gt;='Описательные характеристики'!$I$5,"да","нет")</f>
        <v>нет</v>
      </c>
    </row>
    <row r="2080" spans="1:3" x14ac:dyDescent="0.35">
      <c r="A2080" s="4">
        <v>20240</v>
      </c>
      <c r="B2080" s="9">
        <v>11.5</v>
      </c>
      <c r="C2080" t="str">
        <f>IF(acs2015_county_data[[#This Row],[Unemployment]]&gt;='Описательные характеристики'!$I$5,"да","нет")</f>
        <v>да</v>
      </c>
    </row>
    <row r="2081" spans="1:3" x14ac:dyDescent="0.35">
      <c r="A2081" s="6">
        <v>21360</v>
      </c>
      <c r="B2081" s="10">
        <v>9.5</v>
      </c>
      <c r="C2081" t="str">
        <f>IF(acs2015_county_data[[#This Row],[Unemployment]]&gt;='Описательные характеристики'!$I$5,"да","нет")</f>
        <v>да</v>
      </c>
    </row>
    <row r="2082" spans="1:3" x14ac:dyDescent="0.35">
      <c r="A2082" s="4">
        <v>18906</v>
      </c>
      <c r="B2082" s="9">
        <v>4.2</v>
      </c>
      <c r="C2082" t="str">
        <f>IF(acs2015_county_data[[#This Row],[Unemployment]]&gt;='Описательные характеристики'!$I$5,"да","нет")</f>
        <v>нет</v>
      </c>
    </row>
    <row r="2083" spans="1:3" x14ac:dyDescent="0.35">
      <c r="A2083" s="6">
        <v>23158</v>
      </c>
      <c r="B2083" s="10">
        <v>7.2</v>
      </c>
      <c r="C2083" t="str">
        <f>IF(acs2015_county_data[[#This Row],[Unemployment]]&gt;='Описательные характеристики'!$I$5,"да","нет")</f>
        <v>нет</v>
      </c>
    </row>
    <row r="2084" spans="1:3" x14ac:dyDescent="0.35">
      <c r="A2084" s="4">
        <v>20697</v>
      </c>
      <c r="B2084" s="9">
        <v>11.5</v>
      </c>
      <c r="C2084" t="str">
        <f>IF(acs2015_county_data[[#This Row],[Unemployment]]&gt;='Описательные характеристики'!$I$5,"да","нет")</f>
        <v>да</v>
      </c>
    </row>
    <row r="2085" spans="1:3" x14ac:dyDescent="0.35">
      <c r="A2085" s="6">
        <v>23188</v>
      </c>
      <c r="B2085" s="10">
        <v>8.8000000000000007</v>
      </c>
      <c r="C2085" t="str">
        <f>IF(acs2015_county_data[[#This Row],[Unemployment]]&gt;='Описательные характеристики'!$I$5,"да","нет")</f>
        <v>да</v>
      </c>
    </row>
    <row r="2086" spans="1:3" x14ac:dyDescent="0.35">
      <c r="A2086" s="4">
        <v>23520</v>
      </c>
      <c r="B2086" s="9">
        <v>6.6</v>
      </c>
      <c r="C2086" t="str">
        <f>IF(acs2015_county_data[[#This Row],[Unemployment]]&gt;='Описательные характеристики'!$I$5,"да","нет")</f>
        <v>нет</v>
      </c>
    </row>
    <row r="2087" spans="1:3" x14ac:dyDescent="0.35">
      <c r="A2087" s="6">
        <v>30094</v>
      </c>
      <c r="B2087" s="10">
        <v>6</v>
      </c>
      <c r="C2087" t="str">
        <f>IF(acs2015_county_data[[#This Row],[Unemployment]]&gt;='Описательные характеристики'!$I$5,"да","нет")</f>
        <v>нет</v>
      </c>
    </row>
    <row r="2088" spans="1:3" x14ac:dyDescent="0.35">
      <c r="A2088" s="4">
        <v>21955</v>
      </c>
      <c r="B2088" s="9">
        <v>8</v>
      </c>
      <c r="C2088" t="str">
        <f>IF(acs2015_county_data[[#This Row],[Unemployment]]&gt;='Описательные характеристики'!$I$5,"да","нет")</f>
        <v>да</v>
      </c>
    </row>
    <row r="2089" spans="1:3" x14ac:dyDescent="0.35">
      <c r="A2089" s="6">
        <v>27389</v>
      </c>
      <c r="B2089" s="10">
        <v>7.2</v>
      </c>
      <c r="C2089" t="str">
        <f>IF(acs2015_county_data[[#This Row],[Unemployment]]&gt;='Описательные характеристики'!$I$5,"да","нет")</f>
        <v>нет</v>
      </c>
    </row>
    <row r="2090" spans="1:3" x14ac:dyDescent="0.35">
      <c r="A2090" s="4">
        <v>25428</v>
      </c>
      <c r="B2090" s="9">
        <v>7.6</v>
      </c>
      <c r="C2090" t="str">
        <f>IF(acs2015_county_data[[#This Row],[Unemployment]]&gt;='Описательные характеристики'!$I$5,"да","нет")</f>
        <v>да</v>
      </c>
    </row>
    <row r="2091" spans="1:3" x14ac:dyDescent="0.35">
      <c r="A2091" s="6">
        <v>26804</v>
      </c>
      <c r="B2091" s="10">
        <v>8.8000000000000007</v>
      </c>
      <c r="C2091" t="str">
        <f>IF(acs2015_county_data[[#This Row],[Unemployment]]&gt;='Описательные характеристики'!$I$5,"да","нет")</f>
        <v>да</v>
      </c>
    </row>
    <row r="2092" spans="1:3" x14ac:dyDescent="0.35">
      <c r="A2092" s="4">
        <v>24816</v>
      </c>
      <c r="B2092" s="9">
        <v>11.1</v>
      </c>
      <c r="C2092" t="str">
        <f>IF(acs2015_county_data[[#This Row],[Unemployment]]&gt;='Описательные характеристики'!$I$5,"да","нет")</f>
        <v>да</v>
      </c>
    </row>
    <row r="2093" spans="1:3" x14ac:dyDescent="0.35">
      <c r="A2093" s="6">
        <v>25159</v>
      </c>
      <c r="B2093" s="10">
        <v>5.9</v>
      </c>
      <c r="C2093" t="str">
        <f>IF(acs2015_county_data[[#This Row],[Unemployment]]&gt;='Описательные характеристики'!$I$5,"да","нет")</f>
        <v>нет</v>
      </c>
    </row>
    <row r="2094" spans="1:3" x14ac:dyDescent="0.35">
      <c r="A2094" s="4">
        <v>24056</v>
      </c>
      <c r="B2094" s="9">
        <v>9.5</v>
      </c>
      <c r="C2094" t="str">
        <f>IF(acs2015_county_data[[#This Row],[Unemployment]]&gt;='Описательные характеристики'!$I$5,"да","нет")</f>
        <v>да</v>
      </c>
    </row>
    <row r="2095" spans="1:3" x14ac:dyDescent="0.35">
      <c r="A2095" s="6">
        <v>20811</v>
      </c>
      <c r="B2095" s="10">
        <v>9.6</v>
      </c>
      <c r="C2095" t="str">
        <f>IF(acs2015_county_data[[#This Row],[Unemployment]]&gt;='Описательные характеристики'!$I$5,"да","нет")</f>
        <v>да</v>
      </c>
    </row>
    <row r="2096" spans="1:3" x14ac:dyDescent="0.35">
      <c r="A2096" s="4">
        <v>31760</v>
      </c>
      <c r="B2096" s="9">
        <v>5</v>
      </c>
      <c r="C2096" t="str">
        <f>IF(acs2015_county_data[[#This Row],[Unemployment]]&gt;='Описательные характеристики'!$I$5,"да","нет")</f>
        <v>нет</v>
      </c>
    </row>
    <row r="2097" spans="1:3" x14ac:dyDescent="0.35">
      <c r="A2097" s="6">
        <v>19999</v>
      </c>
      <c r="B2097" s="10">
        <v>12.1</v>
      </c>
      <c r="C2097" t="str">
        <f>IF(acs2015_county_data[[#This Row],[Unemployment]]&gt;='Описательные характеристики'!$I$5,"да","нет")</f>
        <v>да</v>
      </c>
    </row>
    <row r="2098" spans="1:3" x14ac:dyDescent="0.35">
      <c r="A2098" s="4">
        <v>24978</v>
      </c>
      <c r="B2098" s="9">
        <v>5.5</v>
      </c>
      <c r="C2098" t="str">
        <f>IF(acs2015_county_data[[#This Row],[Unemployment]]&gt;='Описательные характеристики'!$I$5,"да","нет")</f>
        <v>нет</v>
      </c>
    </row>
    <row r="2099" spans="1:3" x14ac:dyDescent="0.35">
      <c r="A2099" s="6">
        <v>26320</v>
      </c>
      <c r="B2099" s="10">
        <v>7.6</v>
      </c>
      <c r="C2099" t="str">
        <f>IF(acs2015_county_data[[#This Row],[Unemployment]]&gt;='Описательные характеристики'!$I$5,"да","нет")</f>
        <v>да</v>
      </c>
    </row>
    <row r="2100" spans="1:3" x14ac:dyDescent="0.35">
      <c r="A2100" s="4">
        <v>22522</v>
      </c>
      <c r="B2100" s="9">
        <v>7.4</v>
      </c>
      <c r="C2100" t="str">
        <f>IF(acs2015_county_data[[#This Row],[Unemployment]]&gt;='Описательные характеристики'!$I$5,"да","нет")</f>
        <v>нет</v>
      </c>
    </row>
    <row r="2101" spans="1:3" x14ac:dyDescent="0.35">
      <c r="A2101" s="6">
        <v>25734</v>
      </c>
      <c r="B2101" s="10">
        <v>9.4</v>
      </c>
      <c r="C2101" t="str">
        <f>IF(acs2015_county_data[[#This Row],[Unemployment]]&gt;='Описательные характеристики'!$I$5,"да","нет")</f>
        <v>да</v>
      </c>
    </row>
    <row r="2102" spans="1:3" x14ac:dyDescent="0.35">
      <c r="A2102" s="4">
        <v>20180</v>
      </c>
      <c r="B2102" s="9">
        <v>9.3000000000000007</v>
      </c>
      <c r="C2102" t="str">
        <f>IF(acs2015_county_data[[#This Row],[Unemployment]]&gt;='Описательные характеристики'!$I$5,"да","нет")</f>
        <v>да</v>
      </c>
    </row>
    <row r="2103" spans="1:3" x14ac:dyDescent="0.35">
      <c r="A2103" s="6">
        <v>23420</v>
      </c>
      <c r="B2103" s="10">
        <v>7</v>
      </c>
      <c r="C2103" t="str">
        <f>IF(acs2015_county_data[[#This Row],[Unemployment]]&gt;='Описательные характеристики'!$I$5,"да","нет")</f>
        <v>нет</v>
      </c>
    </row>
    <row r="2104" spans="1:3" x14ac:dyDescent="0.35">
      <c r="A2104" s="4">
        <v>21274</v>
      </c>
      <c r="B2104" s="9">
        <v>8.3000000000000007</v>
      </c>
      <c r="C2104" t="str">
        <f>IF(acs2015_county_data[[#This Row],[Unemployment]]&gt;='Описательные характеристики'!$I$5,"да","нет")</f>
        <v>да</v>
      </c>
    </row>
    <row r="2105" spans="1:3" x14ac:dyDescent="0.35">
      <c r="A2105" s="6">
        <v>21788</v>
      </c>
      <c r="B2105" s="10">
        <v>7</v>
      </c>
      <c r="C2105" t="str">
        <f>IF(acs2015_county_data[[#This Row],[Unemployment]]&gt;='Описательные характеристики'!$I$5,"да","нет")</f>
        <v>нет</v>
      </c>
    </row>
    <row r="2106" spans="1:3" x14ac:dyDescent="0.35">
      <c r="A2106" s="4">
        <v>29343</v>
      </c>
      <c r="B2106" s="9">
        <v>5.5</v>
      </c>
      <c r="C2106" t="str">
        <f>IF(acs2015_county_data[[#This Row],[Unemployment]]&gt;='Описательные характеристики'!$I$5,"да","нет")</f>
        <v>нет</v>
      </c>
    </row>
    <row r="2107" spans="1:3" x14ac:dyDescent="0.35">
      <c r="A2107" s="6">
        <v>23836</v>
      </c>
      <c r="B2107" s="10">
        <v>6.6</v>
      </c>
      <c r="C2107" t="str">
        <f>IF(acs2015_county_data[[#This Row],[Unemployment]]&gt;='Описательные характеристики'!$I$5,"да","нет")</f>
        <v>нет</v>
      </c>
    </row>
    <row r="2108" spans="1:3" x14ac:dyDescent="0.35">
      <c r="A2108" s="4">
        <v>20302</v>
      </c>
      <c r="B2108" s="9">
        <v>9.5</v>
      </c>
      <c r="C2108" t="str">
        <f>IF(acs2015_county_data[[#This Row],[Unemployment]]&gt;='Описательные характеристики'!$I$5,"да","нет")</f>
        <v>да</v>
      </c>
    </row>
    <row r="2109" spans="1:3" x14ac:dyDescent="0.35">
      <c r="A2109" s="6">
        <v>24921</v>
      </c>
      <c r="B2109" s="10">
        <v>6.9</v>
      </c>
      <c r="C2109" t="str">
        <f>IF(acs2015_county_data[[#This Row],[Unemployment]]&gt;='Описательные характеристики'!$I$5,"да","нет")</f>
        <v>нет</v>
      </c>
    </row>
    <row r="2110" spans="1:3" x14ac:dyDescent="0.35">
      <c r="A2110" s="4">
        <v>20790</v>
      </c>
      <c r="B2110" s="9">
        <v>13.4</v>
      </c>
      <c r="C2110" t="str">
        <f>IF(acs2015_county_data[[#This Row],[Unemployment]]&gt;='Описательные характеристики'!$I$5,"да","нет")</f>
        <v>да</v>
      </c>
    </row>
    <row r="2111" spans="1:3" x14ac:dyDescent="0.35">
      <c r="A2111" s="6">
        <v>26042</v>
      </c>
      <c r="B2111" s="10">
        <v>8.6999999999999993</v>
      </c>
      <c r="C2111" t="str">
        <f>IF(acs2015_county_data[[#This Row],[Unemployment]]&gt;='Описательные характеристики'!$I$5,"да","нет")</f>
        <v>да</v>
      </c>
    </row>
    <row r="2112" spans="1:3" x14ac:dyDescent="0.35">
      <c r="A2112" s="4">
        <v>23414</v>
      </c>
      <c r="B2112" s="9">
        <v>7.3</v>
      </c>
      <c r="C2112" t="str">
        <f>IF(acs2015_county_data[[#This Row],[Unemployment]]&gt;='Описательные характеристики'!$I$5,"да","нет")</f>
        <v>нет</v>
      </c>
    </row>
    <row r="2113" spans="1:3" x14ac:dyDescent="0.35">
      <c r="A2113" s="6">
        <v>26269</v>
      </c>
      <c r="B2113" s="10">
        <v>3.4</v>
      </c>
      <c r="C2113" t="str">
        <f>IF(acs2015_county_data[[#This Row],[Unemployment]]&gt;='Описательные характеристики'!$I$5,"да","нет")</f>
        <v>нет</v>
      </c>
    </row>
    <row r="2114" spans="1:3" x14ac:dyDescent="0.35">
      <c r="A2114" s="4">
        <v>22367</v>
      </c>
      <c r="B2114" s="9">
        <v>8.6999999999999993</v>
      </c>
      <c r="C2114" t="str">
        <f>IF(acs2015_county_data[[#This Row],[Unemployment]]&gt;='Описательные характеристики'!$I$5,"да","нет")</f>
        <v>да</v>
      </c>
    </row>
    <row r="2115" spans="1:3" x14ac:dyDescent="0.35">
      <c r="A2115" s="6">
        <v>21365</v>
      </c>
      <c r="B2115" s="10">
        <v>11.3</v>
      </c>
      <c r="C2115" t="str">
        <f>IF(acs2015_county_data[[#This Row],[Unemployment]]&gt;='Описательные характеристики'!$I$5,"да","нет")</f>
        <v>да</v>
      </c>
    </row>
    <row r="2116" spans="1:3" x14ac:dyDescent="0.35">
      <c r="A2116" s="4">
        <v>23782</v>
      </c>
      <c r="B2116" s="9">
        <v>7.6</v>
      </c>
      <c r="C2116" t="str">
        <f>IF(acs2015_county_data[[#This Row],[Unemployment]]&gt;='Описательные характеристики'!$I$5,"да","нет")</f>
        <v>да</v>
      </c>
    </row>
    <row r="2117" spans="1:3" x14ac:dyDescent="0.35">
      <c r="A2117" s="6">
        <v>19769</v>
      </c>
      <c r="B2117" s="10">
        <v>9.6</v>
      </c>
      <c r="C2117" t="str">
        <f>IF(acs2015_county_data[[#This Row],[Unemployment]]&gt;='Описательные характеристики'!$I$5,"да","нет")</f>
        <v>да</v>
      </c>
    </row>
    <row r="2118" spans="1:3" x14ac:dyDescent="0.35">
      <c r="A2118" s="4">
        <v>23020</v>
      </c>
      <c r="B2118" s="9">
        <v>8.1</v>
      </c>
      <c r="C2118" t="str">
        <f>IF(acs2015_county_data[[#This Row],[Unemployment]]&gt;='Описательные характеристики'!$I$5,"да","нет")</f>
        <v>да</v>
      </c>
    </row>
    <row r="2119" spans="1:3" x14ac:dyDescent="0.35">
      <c r="A2119" s="6">
        <v>26741</v>
      </c>
      <c r="B2119" s="10">
        <v>6.7</v>
      </c>
      <c r="C2119" t="str">
        <f>IF(acs2015_county_data[[#This Row],[Unemployment]]&gt;='Описательные характеристики'!$I$5,"да","нет")</f>
        <v>нет</v>
      </c>
    </row>
    <row r="2120" spans="1:3" x14ac:dyDescent="0.35">
      <c r="A2120" s="4">
        <v>25547</v>
      </c>
      <c r="B2120" s="9">
        <v>8.5</v>
      </c>
      <c r="C2120" t="str">
        <f>IF(acs2015_county_data[[#This Row],[Unemployment]]&gt;='Описательные характеристики'!$I$5,"да","нет")</f>
        <v>да</v>
      </c>
    </row>
    <row r="2121" spans="1:3" x14ac:dyDescent="0.35">
      <c r="A2121" s="6">
        <v>28986</v>
      </c>
      <c r="B2121" s="10">
        <v>8.4</v>
      </c>
      <c r="C2121" t="str">
        <f>IF(acs2015_county_data[[#This Row],[Unemployment]]&gt;='Описательные характеристики'!$I$5,"да","нет")</f>
        <v>да</v>
      </c>
    </row>
    <row r="2122" spans="1:3" x14ac:dyDescent="0.35">
      <c r="A2122" s="4">
        <v>23509</v>
      </c>
      <c r="B2122" s="9">
        <v>7.4</v>
      </c>
      <c r="C2122" t="str">
        <f>IF(acs2015_county_data[[#This Row],[Unemployment]]&gt;='Описательные характеристики'!$I$5,"да","нет")</f>
        <v>нет</v>
      </c>
    </row>
    <row r="2123" spans="1:3" x14ac:dyDescent="0.35">
      <c r="A2123" s="6">
        <v>23314</v>
      </c>
      <c r="B2123" s="10">
        <v>7</v>
      </c>
      <c r="C2123" t="str">
        <f>IF(acs2015_county_data[[#This Row],[Unemployment]]&gt;='Описательные характеристики'!$I$5,"да","нет")</f>
        <v>нет</v>
      </c>
    </row>
    <row r="2124" spans="1:3" x14ac:dyDescent="0.35">
      <c r="A2124" s="4">
        <v>28549</v>
      </c>
      <c r="B2124" s="9">
        <v>4.2</v>
      </c>
      <c r="C2124" t="str">
        <f>IF(acs2015_county_data[[#This Row],[Unemployment]]&gt;='Описательные характеристики'!$I$5,"да","нет")</f>
        <v>нет</v>
      </c>
    </row>
    <row r="2125" spans="1:3" x14ac:dyDescent="0.35">
      <c r="A2125" s="6">
        <v>24422</v>
      </c>
      <c r="B2125" s="10">
        <v>7.5</v>
      </c>
      <c r="C2125" t="str">
        <f>IF(acs2015_county_data[[#This Row],[Unemployment]]&gt;='Описательные характеристики'!$I$5,"да","нет")</f>
        <v>нет</v>
      </c>
    </row>
    <row r="2126" spans="1:3" x14ac:dyDescent="0.35">
      <c r="A2126" s="4">
        <v>18330</v>
      </c>
      <c r="B2126" s="9">
        <v>12</v>
      </c>
      <c r="C2126" t="str">
        <f>IF(acs2015_county_data[[#This Row],[Unemployment]]&gt;='Описательные характеристики'!$I$5,"да","нет")</f>
        <v>да</v>
      </c>
    </row>
    <row r="2127" spans="1:3" x14ac:dyDescent="0.35">
      <c r="A2127" s="6">
        <v>34271</v>
      </c>
      <c r="B2127" s="10">
        <v>6.1</v>
      </c>
      <c r="C2127" t="str">
        <f>IF(acs2015_county_data[[#This Row],[Unemployment]]&gt;='Описательные характеристики'!$I$5,"да","нет")</f>
        <v>нет</v>
      </c>
    </row>
    <row r="2128" spans="1:3" x14ac:dyDescent="0.35">
      <c r="A2128" s="4">
        <v>24013</v>
      </c>
      <c r="B2128" s="9">
        <v>6.8</v>
      </c>
      <c r="C2128" t="str">
        <f>IF(acs2015_county_data[[#This Row],[Unemployment]]&gt;='Описательные характеристики'!$I$5,"да","нет")</f>
        <v>нет</v>
      </c>
    </row>
    <row r="2129" spans="1:3" x14ac:dyDescent="0.35">
      <c r="A2129" s="6">
        <v>23695</v>
      </c>
      <c r="B2129" s="10">
        <v>4.8</v>
      </c>
      <c r="C2129" t="str">
        <f>IF(acs2015_county_data[[#This Row],[Unemployment]]&gt;='Описательные характеристики'!$I$5,"да","нет")</f>
        <v>нет</v>
      </c>
    </row>
    <row r="2130" spans="1:3" x14ac:dyDescent="0.35">
      <c r="A2130" s="4">
        <v>22234</v>
      </c>
      <c r="B2130" s="9">
        <v>7.1</v>
      </c>
      <c r="C2130" t="str">
        <f>IF(acs2015_county_data[[#This Row],[Unemployment]]&gt;='Описательные характеристики'!$I$5,"да","нет")</f>
        <v>нет</v>
      </c>
    </row>
    <row r="2131" spans="1:3" x14ac:dyDescent="0.35">
      <c r="A2131" s="6">
        <v>27477</v>
      </c>
      <c r="B2131" s="10">
        <v>7.2</v>
      </c>
      <c r="C2131" t="str">
        <f>IF(acs2015_county_data[[#This Row],[Unemployment]]&gt;='Описательные характеристики'!$I$5,"да","нет")</f>
        <v>нет</v>
      </c>
    </row>
    <row r="2132" spans="1:3" x14ac:dyDescent="0.35">
      <c r="A2132" s="4">
        <v>24246</v>
      </c>
      <c r="B2132" s="9">
        <v>6.6</v>
      </c>
      <c r="C2132" t="str">
        <f>IF(acs2015_county_data[[#This Row],[Unemployment]]&gt;='Описательные характеристики'!$I$5,"да","нет")</f>
        <v>нет</v>
      </c>
    </row>
    <row r="2133" spans="1:3" x14ac:dyDescent="0.35">
      <c r="A2133" s="6">
        <v>16247</v>
      </c>
      <c r="B2133" s="10">
        <v>7.9</v>
      </c>
      <c r="C2133" t="str">
        <f>IF(acs2015_county_data[[#This Row],[Unemployment]]&gt;='Описательные характеристики'!$I$5,"да","нет")</f>
        <v>да</v>
      </c>
    </row>
    <row r="2134" spans="1:3" x14ac:dyDescent="0.35">
      <c r="A2134" s="4">
        <v>28233</v>
      </c>
      <c r="B2134" s="9">
        <v>4.9000000000000004</v>
      </c>
      <c r="C2134" t="str">
        <f>IF(acs2015_county_data[[#This Row],[Unemployment]]&gt;='Описательные характеристики'!$I$5,"да","нет")</f>
        <v>нет</v>
      </c>
    </row>
    <row r="2135" spans="1:3" x14ac:dyDescent="0.35">
      <c r="A2135" s="6">
        <v>18810</v>
      </c>
      <c r="B2135" s="10">
        <v>8.6999999999999993</v>
      </c>
      <c r="C2135" t="str">
        <f>IF(acs2015_county_data[[#This Row],[Unemployment]]&gt;='Описательные характеристики'!$I$5,"да","нет")</f>
        <v>да</v>
      </c>
    </row>
    <row r="2136" spans="1:3" x14ac:dyDescent="0.35">
      <c r="A2136" s="4">
        <v>26258</v>
      </c>
      <c r="B2136" s="9">
        <v>3</v>
      </c>
      <c r="C2136" t="str">
        <f>IF(acs2015_county_data[[#This Row],[Unemployment]]&gt;='Описательные характеристики'!$I$5,"да","нет")</f>
        <v>нет</v>
      </c>
    </row>
    <row r="2137" spans="1:3" x14ac:dyDescent="0.35">
      <c r="A2137" s="6">
        <v>25156</v>
      </c>
      <c r="B2137" s="10">
        <v>2.9</v>
      </c>
      <c r="C2137" t="str">
        <f>IF(acs2015_county_data[[#This Row],[Unemployment]]&gt;='Описательные характеристики'!$I$5,"да","нет")</f>
        <v>нет</v>
      </c>
    </row>
    <row r="2138" spans="1:3" x14ac:dyDescent="0.35">
      <c r="A2138" s="4">
        <v>19576</v>
      </c>
      <c r="B2138" s="9">
        <v>3</v>
      </c>
      <c r="C2138" t="str">
        <f>IF(acs2015_county_data[[#This Row],[Unemployment]]&gt;='Описательные характеристики'!$I$5,"да","нет")</f>
        <v>нет</v>
      </c>
    </row>
    <row r="2139" spans="1:3" x14ac:dyDescent="0.35">
      <c r="A2139" s="6">
        <v>20688</v>
      </c>
      <c r="B2139" s="10">
        <v>8.1</v>
      </c>
      <c r="C2139" t="str">
        <f>IF(acs2015_county_data[[#This Row],[Unemployment]]&gt;='Описательные характеристики'!$I$5,"да","нет")</f>
        <v>да</v>
      </c>
    </row>
    <row r="2140" spans="1:3" x14ac:dyDescent="0.35">
      <c r="A2140" s="4">
        <v>20003</v>
      </c>
      <c r="B2140" s="9">
        <v>9.5</v>
      </c>
      <c r="C2140" t="str">
        <f>IF(acs2015_county_data[[#This Row],[Unemployment]]&gt;='Описательные характеристики'!$I$5,"да","нет")</f>
        <v>да</v>
      </c>
    </row>
    <row r="2141" spans="1:3" x14ac:dyDescent="0.35">
      <c r="A2141" s="6">
        <v>28246</v>
      </c>
      <c r="B2141" s="10">
        <v>4.5</v>
      </c>
      <c r="C2141" t="str">
        <f>IF(acs2015_county_data[[#This Row],[Unemployment]]&gt;='Описательные характеристики'!$I$5,"да","нет")</f>
        <v>нет</v>
      </c>
    </row>
    <row r="2142" spans="1:3" x14ac:dyDescent="0.35">
      <c r="A2142" s="4">
        <v>22870</v>
      </c>
      <c r="B2142" s="9">
        <v>6.1</v>
      </c>
      <c r="C2142" t="str">
        <f>IF(acs2015_county_data[[#This Row],[Unemployment]]&gt;='Описательные характеристики'!$I$5,"да","нет")</f>
        <v>нет</v>
      </c>
    </row>
    <row r="2143" spans="1:3" x14ac:dyDescent="0.35">
      <c r="A2143" s="6">
        <v>19509</v>
      </c>
      <c r="B2143" s="10">
        <v>7.9</v>
      </c>
      <c r="C2143" t="str">
        <f>IF(acs2015_county_data[[#This Row],[Unemployment]]&gt;='Описательные характеристики'!$I$5,"да","нет")</f>
        <v>да</v>
      </c>
    </row>
    <row r="2144" spans="1:3" x14ac:dyDescent="0.35">
      <c r="A2144" s="4">
        <v>18269</v>
      </c>
      <c r="B2144" s="9">
        <v>8.9</v>
      </c>
      <c r="C2144" t="str">
        <f>IF(acs2015_county_data[[#This Row],[Unemployment]]&gt;='Описательные характеристики'!$I$5,"да","нет")</f>
        <v>да</v>
      </c>
    </row>
    <row r="2145" spans="1:3" x14ac:dyDescent="0.35">
      <c r="A2145" s="6">
        <v>26981</v>
      </c>
      <c r="B2145" s="10">
        <v>2.2000000000000002</v>
      </c>
      <c r="C2145" t="str">
        <f>IF(acs2015_county_data[[#This Row],[Unemployment]]&gt;='Описательные характеристики'!$I$5,"да","нет")</f>
        <v>нет</v>
      </c>
    </row>
    <row r="2146" spans="1:3" x14ac:dyDescent="0.35">
      <c r="A2146" s="4">
        <v>27745</v>
      </c>
      <c r="B2146" s="9">
        <v>4.9000000000000004</v>
      </c>
      <c r="C2146" t="str">
        <f>IF(acs2015_county_data[[#This Row],[Unemployment]]&gt;='Описательные характеристики'!$I$5,"да","нет")</f>
        <v>нет</v>
      </c>
    </row>
    <row r="2147" spans="1:3" x14ac:dyDescent="0.35">
      <c r="A2147" s="6">
        <v>22977</v>
      </c>
      <c r="B2147" s="10">
        <v>9.1</v>
      </c>
      <c r="C2147" t="str">
        <f>IF(acs2015_county_data[[#This Row],[Unemployment]]&gt;='Описательные характеристики'!$I$5,"да","нет")</f>
        <v>да</v>
      </c>
    </row>
    <row r="2148" spans="1:3" x14ac:dyDescent="0.35">
      <c r="A2148" s="4">
        <v>23264</v>
      </c>
      <c r="B2148" s="9">
        <v>8.6</v>
      </c>
      <c r="C2148" t="str">
        <f>IF(acs2015_county_data[[#This Row],[Unemployment]]&gt;='Описательные характеристики'!$I$5,"да","нет")</f>
        <v>да</v>
      </c>
    </row>
    <row r="2149" spans="1:3" x14ac:dyDescent="0.35">
      <c r="A2149" s="6">
        <v>21640</v>
      </c>
      <c r="B2149" s="10">
        <v>9.1999999999999993</v>
      </c>
      <c r="C2149" t="str">
        <f>IF(acs2015_county_data[[#This Row],[Unemployment]]&gt;='Описательные характеристики'!$I$5,"да","нет")</f>
        <v>да</v>
      </c>
    </row>
    <row r="2150" spans="1:3" x14ac:dyDescent="0.35">
      <c r="A2150" s="4">
        <v>19623</v>
      </c>
      <c r="B2150" s="9">
        <v>6.4</v>
      </c>
      <c r="C2150" t="str">
        <f>IF(acs2015_county_data[[#This Row],[Unemployment]]&gt;='Описательные характеристики'!$I$5,"да","нет")</f>
        <v>нет</v>
      </c>
    </row>
    <row r="2151" spans="1:3" x14ac:dyDescent="0.35">
      <c r="A2151" s="6">
        <v>23010</v>
      </c>
      <c r="B2151" s="10">
        <v>5.7</v>
      </c>
      <c r="C2151" t="str">
        <f>IF(acs2015_county_data[[#This Row],[Unemployment]]&gt;='Описательные характеристики'!$I$5,"да","нет")</f>
        <v>нет</v>
      </c>
    </row>
    <row r="2152" spans="1:3" x14ac:dyDescent="0.35">
      <c r="A2152" s="4">
        <v>23044</v>
      </c>
      <c r="B2152" s="9">
        <v>3.7</v>
      </c>
      <c r="C2152" t="str">
        <f>IF(acs2015_county_data[[#This Row],[Unemployment]]&gt;='Описательные характеристики'!$I$5,"да","нет")</f>
        <v>нет</v>
      </c>
    </row>
    <row r="2153" spans="1:3" x14ac:dyDescent="0.35">
      <c r="A2153" s="6">
        <v>21736</v>
      </c>
      <c r="B2153" s="10">
        <v>9.1999999999999993</v>
      </c>
      <c r="C2153" t="str">
        <f>IF(acs2015_county_data[[#This Row],[Unemployment]]&gt;='Описательные характеристики'!$I$5,"да","нет")</f>
        <v>да</v>
      </c>
    </row>
    <row r="2154" spans="1:3" x14ac:dyDescent="0.35">
      <c r="A2154" s="4">
        <v>25942</v>
      </c>
      <c r="B2154" s="9">
        <v>2.7</v>
      </c>
      <c r="C2154" t="str">
        <f>IF(acs2015_county_data[[#This Row],[Unemployment]]&gt;='Описательные характеристики'!$I$5,"да","нет")</f>
        <v>нет</v>
      </c>
    </row>
    <row r="2155" spans="1:3" x14ac:dyDescent="0.35">
      <c r="A2155" s="6">
        <v>28417</v>
      </c>
      <c r="B2155" s="10">
        <v>5</v>
      </c>
      <c r="C2155" t="str">
        <f>IF(acs2015_county_data[[#This Row],[Unemployment]]&gt;='Описательные характеристики'!$I$5,"да","нет")</f>
        <v>нет</v>
      </c>
    </row>
    <row r="2156" spans="1:3" x14ac:dyDescent="0.35">
      <c r="A2156" s="4">
        <v>24928</v>
      </c>
      <c r="B2156" s="9">
        <v>5.6</v>
      </c>
      <c r="C2156" t="str">
        <f>IF(acs2015_county_data[[#This Row],[Unemployment]]&gt;='Описательные характеристики'!$I$5,"да","нет")</f>
        <v>нет</v>
      </c>
    </row>
    <row r="2157" spans="1:3" x14ac:dyDescent="0.35">
      <c r="A2157" s="6">
        <v>21644</v>
      </c>
      <c r="B2157" s="10">
        <v>4.4000000000000004</v>
      </c>
      <c r="C2157" t="str">
        <f>IF(acs2015_county_data[[#This Row],[Unemployment]]&gt;='Описательные характеристики'!$I$5,"да","нет")</f>
        <v>нет</v>
      </c>
    </row>
    <row r="2158" spans="1:3" x14ac:dyDescent="0.35">
      <c r="A2158" s="4">
        <v>24965</v>
      </c>
      <c r="B2158" s="9">
        <v>4.3</v>
      </c>
      <c r="C2158" t="str">
        <f>IF(acs2015_county_data[[#This Row],[Unemployment]]&gt;='Описательные характеристики'!$I$5,"да","нет")</f>
        <v>нет</v>
      </c>
    </row>
    <row r="2159" spans="1:3" x14ac:dyDescent="0.35">
      <c r="A2159" s="6">
        <v>28552</v>
      </c>
      <c r="B2159" s="10">
        <v>3.6</v>
      </c>
      <c r="C2159" t="str">
        <f>IF(acs2015_county_data[[#This Row],[Unemployment]]&gt;='Описательные характеристики'!$I$5,"да","нет")</f>
        <v>нет</v>
      </c>
    </row>
    <row r="2160" spans="1:3" x14ac:dyDescent="0.35">
      <c r="A2160" s="4">
        <v>19552</v>
      </c>
      <c r="B2160" s="9">
        <v>4.4000000000000004</v>
      </c>
      <c r="C2160" t="str">
        <f>IF(acs2015_county_data[[#This Row],[Unemployment]]&gt;='Описательные характеристики'!$I$5,"да","нет")</f>
        <v>нет</v>
      </c>
    </row>
    <row r="2161" spans="1:3" x14ac:dyDescent="0.35">
      <c r="A2161" s="6">
        <v>20891</v>
      </c>
      <c r="B2161" s="10">
        <v>8.6999999999999993</v>
      </c>
      <c r="C2161" t="str">
        <f>IF(acs2015_county_data[[#This Row],[Unemployment]]&gt;='Описательные характеристики'!$I$5,"да","нет")</f>
        <v>да</v>
      </c>
    </row>
    <row r="2162" spans="1:3" x14ac:dyDescent="0.35">
      <c r="A2162" s="4">
        <v>24364</v>
      </c>
      <c r="B2162" s="9">
        <v>1.6</v>
      </c>
      <c r="C2162" t="str">
        <f>IF(acs2015_county_data[[#This Row],[Unemployment]]&gt;='Описательные характеристики'!$I$5,"да","нет")</f>
        <v>нет</v>
      </c>
    </row>
    <row r="2163" spans="1:3" x14ac:dyDescent="0.35">
      <c r="A2163" s="6">
        <v>18858</v>
      </c>
      <c r="B2163" s="10">
        <v>8.6999999999999993</v>
      </c>
      <c r="C2163" t="str">
        <f>IF(acs2015_county_data[[#This Row],[Unemployment]]&gt;='Описательные характеристики'!$I$5,"да","нет")</f>
        <v>да</v>
      </c>
    </row>
    <row r="2164" spans="1:3" x14ac:dyDescent="0.35">
      <c r="A2164" s="4">
        <v>17723</v>
      </c>
      <c r="B2164" s="9">
        <v>7.1</v>
      </c>
      <c r="C2164" t="str">
        <f>IF(acs2015_county_data[[#This Row],[Unemployment]]&gt;='Описательные характеристики'!$I$5,"да","нет")</f>
        <v>нет</v>
      </c>
    </row>
    <row r="2165" spans="1:3" x14ac:dyDescent="0.35">
      <c r="A2165" s="6">
        <v>21923</v>
      </c>
      <c r="B2165" s="10">
        <v>7.6</v>
      </c>
      <c r="C2165" t="str">
        <f>IF(acs2015_county_data[[#This Row],[Unemployment]]&gt;='Описательные характеристики'!$I$5,"да","нет")</f>
        <v>да</v>
      </c>
    </row>
    <row r="2166" spans="1:3" x14ac:dyDescent="0.35">
      <c r="A2166" s="4">
        <v>19409</v>
      </c>
      <c r="B2166" s="9">
        <v>6.5</v>
      </c>
      <c r="C2166" t="str">
        <f>IF(acs2015_county_data[[#This Row],[Unemployment]]&gt;='Описательные характеристики'!$I$5,"да","нет")</f>
        <v>нет</v>
      </c>
    </row>
    <row r="2167" spans="1:3" x14ac:dyDescent="0.35">
      <c r="A2167" s="6">
        <v>20425</v>
      </c>
      <c r="B2167" s="10">
        <v>6.7</v>
      </c>
      <c r="C2167" t="str">
        <f>IF(acs2015_county_data[[#This Row],[Unemployment]]&gt;='Описательные характеристики'!$I$5,"да","нет")</f>
        <v>нет</v>
      </c>
    </row>
    <row r="2168" spans="1:3" x14ac:dyDescent="0.35">
      <c r="A2168" s="4">
        <v>23044</v>
      </c>
      <c r="B2168" s="9">
        <v>7.8</v>
      </c>
      <c r="C2168" t="str">
        <f>IF(acs2015_county_data[[#This Row],[Unemployment]]&gt;='Описательные характеристики'!$I$5,"да","нет")</f>
        <v>да</v>
      </c>
    </row>
    <row r="2169" spans="1:3" x14ac:dyDescent="0.35">
      <c r="A2169" s="6">
        <v>27733</v>
      </c>
      <c r="B2169" s="10">
        <v>3.6</v>
      </c>
      <c r="C2169" t="str">
        <f>IF(acs2015_county_data[[#This Row],[Unemployment]]&gt;='Описательные характеристики'!$I$5,"да","нет")</f>
        <v>нет</v>
      </c>
    </row>
    <row r="2170" spans="1:3" x14ac:dyDescent="0.35">
      <c r="A2170" s="4">
        <v>23260</v>
      </c>
      <c r="B2170" s="9">
        <v>5.5</v>
      </c>
      <c r="C2170" t="str">
        <f>IF(acs2015_county_data[[#This Row],[Unemployment]]&gt;='Описательные характеристики'!$I$5,"да","нет")</f>
        <v>нет</v>
      </c>
    </row>
    <row r="2171" spans="1:3" x14ac:dyDescent="0.35">
      <c r="A2171" s="6">
        <v>22343</v>
      </c>
      <c r="B2171" s="10">
        <v>7.8</v>
      </c>
      <c r="C2171" t="str">
        <f>IF(acs2015_county_data[[#This Row],[Unemployment]]&gt;='Описательные характеристики'!$I$5,"да","нет")</f>
        <v>да</v>
      </c>
    </row>
    <row r="2172" spans="1:3" x14ac:dyDescent="0.35">
      <c r="A2172" s="4">
        <v>18881</v>
      </c>
      <c r="B2172" s="9">
        <v>9.4</v>
      </c>
      <c r="C2172" t="str">
        <f>IF(acs2015_county_data[[#This Row],[Unemployment]]&gt;='Описательные характеристики'!$I$5,"да","нет")</f>
        <v>да</v>
      </c>
    </row>
    <row r="2173" spans="1:3" x14ac:dyDescent="0.35">
      <c r="A2173" s="6">
        <v>23072</v>
      </c>
      <c r="B2173" s="10">
        <v>7.1</v>
      </c>
      <c r="C2173" t="str">
        <f>IF(acs2015_county_data[[#This Row],[Unemployment]]&gt;='Описательные характеристики'!$I$5,"да","нет")</f>
        <v>нет</v>
      </c>
    </row>
    <row r="2174" spans="1:3" x14ac:dyDescent="0.35">
      <c r="A2174" s="4">
        <v>27402</v>
      </c>
      <c r="B2174" s="9">
        <v>6</v>
      </c>
      <c r="C2174" t="str">
        <f>IF(acs2015_county_data[[#This Row],[Unemployment]]&gt;='Описательные характеристики'!$I$5,"да","нет")</f>
        <v>нет</v>
      </c>
    </row>
    <row r="2175" spans="1:3" x14ac:dyDescent="0.35">
      <c r="A2175" s="6">
        <v>20589</v>
      </c>
      <c r="B2175" s="10">
        <v>4</v>
      </c>
      <c r="C2175" t="str">
        <f>IF(acs2015_county_data[[#This Row],[Unemployment]]&gt;='Описательные характеристики'!$I$5,"да","нет")</f>
        <v>нет</v>
      </c>
    </row>
    <row r="2176" spans="1:3" x14ac:dyDescent="0.35">
      <c r="A2176" s="4">
        <v>26562</v>
      </c>
      <c r="B2176" s="9">
        <v>3.9</v>
      </c>
      <c r="C2176" t="str">
        <f>IF(acs2015_county_data[[#This Row],[Unemployment]]&gt;='Описательные характеристики'!$I$5,"да","нет")</f>
        <v>нет</v>
      </c>
    </row>
    <row r="2177" spans="1:3" x14ac:dyDescent="0.35">
      <c r="A2177" s="6">
        <v>17898</v>
      </c>
      <c r="B2177" s="10">
        <v>8.3000000000000007</v>
      </c>
      <c r="C2177" t="str">
        <f>IF(acs2015_county_data[[#This Row],[Unemployment]]&gt;='Описательные характеристики'!$I$5,"да","нет")</f>
        <v>да</v>
      </c>
    </row>
    <row r="2178" spans="1:3" x14ac:dyDescent="0.35">
      <c r="A2178" s="4">
        <v>20599</v>
      </c>
      <c r="B2178" s="9">
        <v>10.8</v>
      </c>
      <c r="C2178" t="str">
        <f>IF(acs2015_county_data[[#This Row],[Unemployment]]&gt;='Описательные характеристики'!$I$5,"да","нет")</f>
        <v>да</v>
      </c>
    </row>
    <row r="2179" spans="1:3" x14ac:dyDescent="0.35">
      <c r="A2179" s="6">
        <v>27877</v>
      </c>
      <c r="B2179" s="10">
        <v>5.4</v>
      </c>
      <c r="C2179" t="str">
        <f>IF(acs2015_county_data[[#This Row],[Unemployment]]&gt;='Описательные характеристики'!$I$5,"да","нет")</f>
        <v>нет</v>
      </c>
    </row>
    <row r="2180" spans="1:3" x14ac:dyDescent="0.35">
      <c r="A2180" s="4">
        <v>20339</v>
      </c>
      <c r="B2180" s="9">
        <v>7.6</v>
      </c>
      <c r="C2180" t="str">
        <f>IF(acs2015_county_data[[#This Row],[Unemployment]]&gt;='Описательные характеристики'!$I$5,"да","нет")</f>
        <v>да</v>
      </c>
    </row>
    <row r="2181" spans="1:3" x14ac:dyDescent="0.35">
      <c r="A2181" s="6">
        <v>20884</v>
      </c>
      <c r="B2181" s="10">
        <v>7</v>
      </c>
      <c r="C2181" t="str">
        <f>IF(acs2015_county_data[[#This Row],[Unemployment]]&gt;='Описательные характеристики'!$I$5,"да","нет")</f>
        <v>нет</v>
      </c>
    </row>
    <row r="2182" spans="1:3" x14ac:dyDescent="0.35">
      <c r="A2182" s="4">
        <v>23146</v>
      </c>
      <c r="B2182" s="9">
        <v>3.6</v>
      </c>
      <c r="C2182" t="str">
        <f>IF(acs2015_county_data[[#This Row],[Unemployment]]&gt;='Описательные характеристики'!$I$5,"да","нет")</f>
        <v>нет</v>
      </c>
    </row>
    <row r="2183" spans="1:3" x14ac:dyDescent="0.35">
      <c r="A2183" s="6">
        <v>20516</v>
      </c>
      <c r="B2183" s="10">
        <v>8.1999999999999993</v>
      </c>
      <c r="C2183" t="str">
        <f>IF(acs2015_county_data[[#This Row],[Unemployment]]&gt;='Описательные характеристики'!$I$5,"да","нет")</f>
        <v>да</v>
      </c>
    </row>
    <row r="2184" spans="1:3" x14ac:dyDescent="0.35">
      <c r="A2184" s="4">
        <v>25368</v>
      </c>
      <c r="B2184" s="9">
        <v>5.9</v>
      </c>
      <c r="C2184" t="str">
        <f>IF(acs2015_county_data[[#This Row],[Unemployment]]&gt;='Описательные характеристики'!$I$5,"да","нет")</f>
        <v>нет</v>
      </c>
    </row>
    <row r="2185" spans="1:3" x14ac:dyDescent="0.35">
      <c r="A2185" s="6">
        <v>20524</v>
      </c>
      <c r="B2185" s="10">
        <v>8.4</v>
      </c>
      <c r="C2185" t="str">
        <f>IF(acs2015_county_data[[#This Row],[Unemployment]]&gt;='Описательные характеристики'!$I$5,"да","нет")</f>
        <v>да</v>
      </c>
    </row>
    <row r="2186" spans="1:3" x14ac:dyDescent="0.35">
      <c r="A2186" s="4">
        <v>16818</v>
      </c>
      <c r="B2186" s="9">
        <v>9.6</v>
      </c>
      <c r="C2186" t="str">
        <f>IF(acs2015_county_data[[#This Row],[Unemployment]]&gt;='Описательные характеристики'!$I$5,"да","нет")</f>
        <v>да</v>
      </c>
    </row>
    <row r="2187" spans="1:3" x14ac:dyDescent="0.35">
      <c r="A2187" s="6">
        <v>27401</v>
      </c>
      <c r="B2187" s="10">
        <v>6</v>
      </c>
      <c r="C2187" t="str">
        <f>IF(acs2015_county_data[[#This Row],[Unemployment]]&gt;='Описательные характеристики'!$I$5,"да","нет")</f>
        <v>нет</v>
      </c>
    </row>
    <row r="2188" spans="1:3" x14ac:dyDescent="0.35">
      <c r="A2188" s="4">
        <v>20313</v>
      </c>
      <c r="B2188" s="9">
        <v>10.4</v>
      </c>
      <c r="C2188" t="str">
        <f>IF(acs2015_county_data[[#This Row],[Unemployment]]&gt;='Описательные характеристики'!$I$5,"да","нет")</f>
        <v>да</v>
      </c>
    </row>
    <row r="2189" spans="1:3" x14ac:dyDescent="0.35">
      <c r="A2189" s="6">
        <v>22935</v>
      </c>
      <c r="B2189" s="10">
        <v>7.1</v>
      </c>
      <c r="C2189" t="str">
        <f>IF(acs2015_county_data[[#This Row],[Unemployment]]&gt;='Описательные характеристики'!$I$5,"да","нет")</f>
        <v>нет</v>
      </c>
    </row>
    <row r="2190" spans="1:3" x14ac:dyDescent="0.35">
      <c r="A2190" s="4">
        <v>18136</v>
      </c>
      <c r="B2190" s="9">
        <v>9.4</v>
      </c>
      <c r="C2190" t="str">
        <f>IF(acs2015_county_data[[#This Row],[Unemployment]]&gt;='Описательные характеристики'!$I$5,"да","нет")</f>
        <v>да</v>
      </c>
    </row>
    <row r="2191" spans="1:3" x14ac:dyDescent="0.35">
      <c r="A2191" s="6">
        <v>22603</v>
      </c>
      <c r="B2191" s="10">
        <v>6.3</v>
      </c>
      <c r="C2191" t="str">
        <f>IF(acs2015_county_data[[#This Row],[Unemployment]]&gt;='Описательные характеристики'!$I$5,"да","нет")</f>
        <v>нет</v>
      </c>
    </row>
    <row r="2192" spans="1:3" x14ac:dyDescent="0.35">
      <c r="A2192" s="4">
        <v>21469</v>
      </c>
      <c r="B2192" s="9">
        <v>6.3</v>
      </c>
      <c r="C2192" t="str">
        <f>IF(acs2015_county_data[[#This Row],[Unemployment]]&gt;='Описательные характеристики'!$I$5,"да","нет")</f>
        <v>нет</v>
      </c>
    </row>
    <row r="2193" spans="1:3" x14ac:dyDescent="0.35">
      <c r="A2193" s="6">
        <v>23311</v>
      </c>
      <c r="B2193" s="10">
        <v>6.2</v>
      </c>
      <c r="C2193" t="str">
        <f>IF(acs2015_county_data[[#This Row],[Unemployment]]&gt;='Описательные характеристики'!$I$5,"да","нет")</f>
        <v>нет</v>
      </c>
    </row>
    <row r="2194" spans="1:3" x14ac:dyDescent="0.35">
      <c r="A2194" s="4">
        <v>21827</v>
      </c>
      <c r="B2194" s="9">
        <v>6.2</v>
      </c>
      <c r="C2194" t="str">
        <f>IF(acs2015_county_data[[#This Row],[Unemployment]]&gt;='Описательные характеристики'!$I$5,"да","нет")</f>
        <v>нет</v>
      </c>
    </row>
    <row r="2195" spans="1:3" x14ac:dyDescent="0.35">
      <c r="A2195" s="6">
        <v>21974</v>
      </c>
      <c r="B2195" s="10">
        <v>6.8</v>
      </c>
      <c r="C2195" t="str">
        <f>IF(acs2015_county_data[[#This Row],[Unemployment]]&gt;='Описательные характеристики'!$I$5,"да","нет")</f>
        <v>нет</v>
      </c>
    </row>
    <row r="2196" spans="1:3" x14ac:dyDescent="0.35">
      <c r="A2196" s="4">
        <v>20802</v>
      </c>
      <c r="B2196" s="9">
        <v>10.6</v>
      </c>
      <c r="C2196" t="str">
        <f>IF(acs2015_county_data[[#This Row],[Unemployment]]&gt;='Описательные характеристики'!$I$5,"да","нет")</f>
        <v>да</v>
      </c>
    </row>
    <row r="2197" spans="1:3" x14ac:dyDescent="0.35">
      <c r="A2197" s="6">
        <v>26257</v>
      </c>
      <c r="B2197" s="10">
        <v>0.8</v>
      </c>
      <c r="C2197" t="str">
        <f>IF(acs2015_county_data[[#This Row],[Unemployment]]&gt;='Описательные характеристики'!$I$5,"да","нет")</f>
        <v>нет</v>
      </c>
    </row>
    <row r="2198" spans="1:3" x14ac:dyDescent="0.35">
      <c r="A2198" s="4">
        <v>28057</v>
      </c>
      <c r="B2198" s="9">
        <v>5.5</v>
      </c>
      <c r="C2198" t="str">
        <f>IF(acs2015_county_data[[#This Row],[Unemployment]]&gt;='Описательные характеристики'!$I$5,"да","нет")</f>
        <v>нет</v>
      </c>
    </row>
    <row r="2199" spans="1:3" x14ac:dyDescent="0.35">
      <c r="A2199" s="6">
        <v>19141</v>
      </c>
      <c r="B2199" s="10">
        <v>8.4</v>
      </c>
      <c r="C2199" t="str">
        <f>IF(acs2015_county_data[[#This Row],[Unemployment]]&gt;='Описательные характеристики'!$I$5,"да","нет")</f>
        <v>да</v>
      </c>
    </row>
    <row r="2200" spans="1:3" x14ac:dyDescent="0.35">
      <c r="A2200" s="4">
        <v>18451</v>
      </c>
      <c r="B2200" s="9">
        <v>9.8000000000000007</v>
      </c>
      <c r="C2200" t="str">
        <f>IF(acs2015_county_data[[#This Row],[Unemployment]]&gt;='Описательные характеристики'!$I$5,"да","нет")</f>
        <v>да</v>
      </c>
    </row>
    <row r="2201" spans="1:3" x14ac:dyDescent="0.35">
      <c r="A2201" s="6">
        <v>24291</v>
      </c>
      <c r="B2201" s="10">
        <v>6.6</v>
      </c>
      <c r="C2201" t="str">
        <f>IF(acs2015_county_data[[#This Row],[Unemployment]]&gt;='Описательные характеристики'!$I$5,"да","нет")</f>
        <v>нет</v>
      </c>
    </row>
    <row r="2202" spans="1:3" x14ac:dyDescent="0.35">
      <c r="A2202" s="4">
        <v>21809</v>
      </c>
      <c r="B2202" s="9">
        <v>3.5</v>
      </c>
      <c r="C2202" t="str">
        <f>IF(acs2015_county_data[[#This Row],[Unemployment]]&gt;='Описательные характеристики'!$I$5,"да","нет")</f>
        <v>нет</v>
      </c>
    </row>
    <row r="2203" spans="1:3" x14ac:dyDescent="0.35">
      <c r="A2203" s="6">
        <v>19057</v>
      </c>
      <c r="B2203" s="10">
        <v>7.1</v>
      </c>
      <c r="C2203" t="str">
        <f>IF(acs2015_county_data[[#This Row],[Unemployment]]&gt;='Описательные характеристики'!$I$5,"да","нет")</f>
        <v>нет</v>
      </c>
    </row>
    <row r="2204" spans="1:3" x14ac:dyDescent="0.35">
      <c r="A2204" s="4">
        <v>28350</v>
      </c>
      <c r="B2204" s="9">
        <v>6.5</v>
      </c>
      <c r="C2204" t="str">
        <f>IF(acs2015_county_data[[#This Row],[Unemployment]]&gt;='Описательные характеристики'!$I$5,"да","нет")</f>
        <v>нет</v>
      </c>
    </row>
    <row r="2205" spans="1:3" x14ac:dyDescent="0.35">
      <c r="A2205" s="6">
        <v>25535</v>
      </c>
      <c r="B2205" s="10">
        <v>6</v>
      </c>
      <c r="C2205" t="str">
        <f>IF(acs2015_county_data[[#This Row],[Unemployment]]&gt;='Описательные характеристики'!$I$5,"да","нет")</f>
        <v>нет</v>
      </c>
    </row>
    <row r="2206" spans="1:3" x14ac:dyDescent="0.35">
      <c r="A2206" s="4">
        <v>28145</v>
      </c>
      <c r="B2206" s="9">
        <v>5.3</v>
      </c>
      <c r="C2206" t="str">
        <f>IF(acs2015_county_data[[#This Row],[Unemployment]]&gt;='Описательные характеристики'!$I$5,"да","нет")</f>
        <v>нет</v>
      </c>
    </row>
    <row r="2207" spans="1:3" x14ac:dyDescent="0.35">
      <c r="A2207" s="6">
        <v>25493</v>
      </c>
      <c r="B2207" s="10">
        <v>3.5</v>
      </c>
      <c r="C2207" t="str">
        <f>IF(acs2015_county_data[[#This Row],[Unemployment]]&gt;='Описательные характеристики'!$I$5,"да","нет")</f>
        <v>нет</v>
      </c>
    </row>
    <row r="2208" spans="1:3" x14ac:dyDescent="0.35">
      <c r="A2208" s="4">
        <v>26700</v>
      </c>
      <c r="B2208" s="9">
        <v>2.8</v>
      </c>
      <c r="C2208" t="str">
        <f>IF(acs2015_county_data[[#This Row],[Unemployment]]&gt;='Описательные характеристики'!$I$5,"да","нет")</f>
        <v>нет</v>
      </c>
    </row>
    <row r="2209" spans="1:3" x14ac:dyDescent="0.35">
      <c r="A2209" s="6">
        <v>26124</v>
      </c>
      <c r="B2209" s="10">
        <v>5.0999999999999996</v>
      </c>
      <c r="C2209" t="str">
        <f>IF(acs2015_county_data[[#This Row],[Unemployment]]&gt;='Описательные характеристики'!$I$5,"да","нет")</f>
        <v>нет</v>
      </c>
    </row>
    <row r="2210" spans="1:3" x14ac:dyDescent="0.35">
      <c r="A2210" s="4">
        <v>24360</v>
      </c>
      <c r="B2210" s="9">
        <v>10.1</v>
      </c>
      <c r="C2210" t="str">
        <f>IF(acs2015_county_data[[#This Row],[Unemployment]]&gt;='Описательные характеристики'!$I$5,"да","нет")</f>
        <v>да</v>
      </c>
    </row>
    <row r="2211" spans="1:3" x14ac:dyDescent="0.35">
      <c r="A2211" s="6">
        <v>27888</v>
      </c>
      <c r="B2211" s="10">
        <v>8.6</v>
      </c>
      <c r="C2211" t="str">
        <f>IF(acs2015_county_data[[#This Row],[Unemployment]]&gt;='Описательные характеристики'!$I$5,"да","нет")</f>
        <v>да</v>
      </c>
    </row>
    <row r="2212" spans="1:3" x14ac:dyDescent="0.35">
      <c r="A2212" s="4">
        <v>34047</v>
      </c>
      <c r="B2212" s="9">
        <v>8.3000000000000007</v>
      </c>
      <c r="C2212" t="str">
        <f>IF(acs2015_county_data[[#This Row],[Unemployment]]&gt;='Описательные характеристики'!$I$5,"да","нет")</f>
        <v>да</v>
      </c>
    </row>
    <row r="2213" spans="1:3" x14ac:dyDescent="0.35">
      <c r="A2213" s="6">
        <v>26294</v>
      </c>
      <c r="B2213" s="10">
        <v>7.6</v>
      </c>
      <c r="C2213" t="str">
        <f>IF(acs2015_county_data[[#This Row],[Unemployment]]&gt;='Описательные характеристики'!$I$5,"да","нет")</f>
        <v>да</v>
      </c>
    </row>
    <row r="2214" spans="1:3" x14ac:dyDescent="0.35">
      <c r="A2214" s="4">
        <v>25885</v>
      </c>
      <c r="B2214" s="9">
        <v>9.8000000000000007</v>
      </c>
      <c r="C2214" t="str">
        <f>IF(acs2015_county_data[[#This Row],[Unemployment]]&gt;='Описательные характеристики'!$I$5,"да","нет")</f>
        <v>да</v>
      </c>
    </row>
    <row r="2215" spans="1:3" x14ac:dyDescent="0.35">
      <c r="A2215" s="6">
        <v>22667</v>
      </c>
      <c r="B2215" s="10">
        <v>11.7</v>
      </c>
      <c r="C2215" t="str">
        <f>IF(acs2015_county_data[[#This Row],[Unemployment]]&gt;='Описательные характеристики'!$I$5,"да","нет")</f>
        <v>да</v>
      </c>
    </row>
    <row r="2216" spans="1:3" x14ac:dyDescent="0.35">
      <c r="A2216" s="4">
        <v>21496</v>
      </c>
      <c r="B2216" s="9">
        <v>13.5</v>
      </c>
      <c r="C2216" t="str">
        <f>IF(acs2015_county_data[[#This Row],[Unemployment]]&gt;='Описательные характеристики'!$I$5,"да","нет")</f>
        <v>да</v>
      </c>
    </row>
    <row r="2217" spans="1:3" x14ac:dyDescent="0.35">
      <c r="A2217" s="6">
        <v>24682</v>
      </c>
      <c r="B2217" s="10">
        <v>11.3</v>
      </c>
      <c r="C2217" t="str">
        <f>IF(acs2015_county_data[[#This Row],[Unemployment]]&gt;='Описательные характеристики'!$I$5,"да","нет")</f>
        <v>да</v>
      </c>
    </row>
    <row r="2218" spans="1:3" x14ac:dyDescent="0.35">
      <c r="A2218" s="4">
        <v>29158</v>
      </c>
      <c r="B2218" s="9">
        <v>9.4</v>
      </c>
      <c r="C2218" t="str">
        <f>IF(acs2015_county_data[[#This Row],[Unemployment]]&gt;='Описательные характеристики'!$I$5,"да","нет")</f>
        <v>да</v>
      </c>
    </row>
    <row r="2219" spans="1:3" x14ac:dyDescent="0.35">
      <c r="A2219" s="6">
        <v>22591</v>
      </c>
      <c r="B2219" s="10">
        <v>12.2</v>
      </c>
      <c r="C2219" t="str">
        <f>IF(acs2015_county_data[[#This Row],[Unemployment]]&gt;='Описательные характеристики'!$I$5,"да","нет")</f>
        <v>да</v>
      </c>
    </row>
    <row r="2220" spans="1:3" x14ac:dyDescent="0.35">
      <c r="A2220" s="4">
        <v>25227</v>
      </c>
      <c r="B2220" s="9">
        <v>9.1999999999999993</v>
      </c>
      <c r="C2220" t="str">
        <f>IF(acs2015_county_data[[#This Row],[Unemployment]]&gt;='Описательные характеристики'!$I$5,"да","нет")</f>
        <v>да</v>
      </c>
    </row>
    <row r="2221" spans="1:3" x14ac:dyDescent="0.35">
      <c r="A2221" s="6">
        <v>22538</v>
      </c>
      <c r="B2221" s="10">
        <v>9</v>
      </c>
      <c r="C2221" t="str">
        <f>IF(acs2015_county_data[[#This Row],[Unemployment]]&gt;='Описательные характеристики'!$I$5,"да","нет")</f>
        <v>да</v>
      </c>
    </row>
    <row r="2222" spans="1:3" x14ac:dyDescent="0.35">
      <c r="A2222" s="4">
        <v>21040</v>
      </c>
      <c r="B2222" s="9">
        <v>16.100000000000001</v>
      </c>
      <c r="C2222" t="str">
        <f>IF(acs2015_county_data[[#This Row],[Unemployment]]&gt;='Описательные характеристики'!$I$5,"да","нет")</f>
        <v>да</v>
      </c>
    </row>
    <row r="2223" spans="1:3" x14ac:dyDescent="0.35">
      <c r="A2223" s="6">
        <v>27719</v>
      </c>
      <c r="B2223" s="10">
        <v>5.0999999999999996</v>
      </c>
      <c r="C2223" t="str">
        <f>IF(acs2015_county_data[[#This Row],[Unemployment]]&gt;='Описательные характеристики'!$I$5,"да","нет")</f>
        <v>нет</v>
      </c>
    </row>
    <row r="2224" spans="1:3" x14ac:dyDescent="0.35">
      <c r="A2224" s="4">
        <v>24605</v>
      </c>
      <c r="B2224" s="9">
        <v>10.8</v>
      </c>
      <c r="C2224" t="str">
        <f>IF(acs2015_county_data[[#This Row],[Unemployment]]&gt;='Описательные характеристики'!$I$5,"да","нет")</f>
        <v>да</v>
      </c>
    </row>
    <row r="2225" spans="1:3" x14ac:dyDescent="0.35">
      <c r="A2225" s="6">
        <v>21341</v>
      </c>
      <c r="B2225" s="10">
        <v>14.4</v>
      </c>
      <c r="C2225" t="str">
        <f>IF(acs2015_county_data[[#This Row],[Unemployment]]&gt;='Описательные характеристики'!$I$5,"да","нет")</f>
        <v>да</v>
      </c>
    </row>
    <row r="2226" spans="1:3" x14ac:dyDescent="0.35">
      <c r="A2226" s="4">
        <v>22470</v>
      </c>
      <c r="B2226" s="9">
        <v>12.3</v>
      </c>
      <c r="C2226" t="str">
        <f>IF(acs2015_county_data[[#This Row],[Unemployment]]&gt;='Описательные характеристики'!$I$5,"да","нет")</f>
        <v>да</v>
      </c>
    </row>
    <row r="2227" spans="1:3" x14ac:dyDescent="0.35">
      <c r="A2227" s="6">
        <v>22177</v>
      </c>
      <c r="B2227" s="10">
        <v>12.4</v>
      </c>
      <c r="C2227" t="str">
        <f>IF(acs2015_county_data[[#This Row],[Unemployment]]&gt;='Описательные характеристики'!$I$5,"да","нет")</f>
        <v>да</v>
      </c>
    </row>
    <row r="2228" spans="1:3" x14ac:dyDescent="0.35">
      <c r="A2228" s="4">
        <v>20142</v>
      </c>
      <c r="B2228" s="9">
        <v>10.6</v>
      </c>
      <c r="C2228" t="str">
        <f>IF(acs2015_county_data[[#This Row],[Unemployment]]&gt;='Описательные характеристики'!$I$5,"да","нет")</f>
        <v>да</v>
      </c>
    </row>
    <row r="2229" spans="1:3" x14ac:dyDescent="0.35">
      <c r="A2229" s="6">
        <v>24960</v>
      </c>
      <c r="B2229" s="10">
        <v>9.9</v>
      </c>
      <c r="C2229" t="str">
        <f>IF(acs2015_county_data[[#This Row],[Unemployment]]&gt;='Описательные характеристики'!$I$5,"да","нет")</f>
        <v>да</v>
      </c>
    </row>
    <row r="2230" spans="1:3" x14ac:dyDescent="0.35">
      <c r="A2230" s="4">
        <v>25124</v>
      </c>
      <c r="B2230" s="9">
        <v>7.9</v>
      </c>
      <c r="C2230" t="str">
        <f>IF(acs2015_county_data[[#This Row],[Unemployment]]&gt;='Описательные характеристики'!$I$5,"да","нет")</f>
        <v>да</v>
      </c>
    </row>
    <row r="2231" spans="1:3" x14ac:dyDescent="0.35">
      <c r="A2231" s="6">
        <v>21706</v>
      </c>
      <c r="B2231" s="10">
        <v>10.6</v>
      </c>
      <c r="C2231" t="str">
        <f>IF(acs2015_county_data[[#This Row],[Unemployment]]&gt;='Описательные характеристики'!$I$5,"да","нет")</f>
        <v>да</v>
      </c>
    </row>
    <row r="2232" spans="1:3" x14ac:dyDescent="0.35">
      <c r="A2232" s="4">
        <v>16867</v>
      </c>
      <c r="B2232" s="9">
        <v>11.2</v>
      </c>
      <c r="C2232" t="str">
        <f>IF(acs2015_county_data[[#This Row],[Unemployment]]&gt;='Описательные характеристики'!$I$5,"да","нет")</f>
        <v>да</v>
      </c>
    </row>
    <row r="2233" spans="1:3" x14ac:dyDescent="0.35">
      <c r="A2233" s="6">
        <v>22490</v>
      </c>
      <c r="B2233" s="10">
        <v>10.7</v>
      </c>
      <c r="C2233" t="str">
        <f>IF(acs2015_county_data[[#This Row],[Unemployment]]&gt;='Описательные характеристики'!$I$5,"да","нет")</f>
        <v>да</v>
      </c>
    </row>
    <row r="2234" spans="1:3" x14ac:dyDescent="0.35">
      <c r="A2234" s="4">
        <v>20497</v>
      </c>
      <c r="B2234" s="9">
        <v>8.6</v>
      </c>
      <c r="C2234" t="str">
        <f>IF(acs2015_county_data[[#This Row],[Unemployment]]&gt;='Описательные характеристики'!$I$5,"да","нет")</f>
        <v>да</v>
      </c>
    </row>
    <row r="2235" spans="1:3" x14ac:dyDescent="0.35">
      <c r="A2235" s="6">
        <v>31544</v>
      </c>
      <c r="B2235" s="10">
        <v>8.8000000000000007</v>
      </c>
      <c r="C2235" t="str">
        <f>IF(acs2015_county_data[[#This Row],[Unemployment]]&gt;='Описательные характеристики'!$I$5,"да","нет")</f>
        <v>да</v>
      </c>
    </row>
    <row r="2236" spans="1:3" x14ac:dyDescent="0.35">
      <c r="A2236" s="4">
        <v>23967</v>
      </c>
      <c r="B2236" s="9">
        <v>10.8</v>
      </c>
      <c r="C2236" t="str">
        <f>IF(acs2015_county_data[[#This Row],[Unemployment]]&gt;='Описательные характеристики'!$I$5,"да","нет")</f>
        <v>да</v>
      </c>
    </row>
    <row r="2237" spans="1:3" x14ac:dyDescent="0.35">
      <c r="A2237" s="6">
        <v>26178</v>
      </c>
      <c r="B2237" s="10">
        <v>7.9</v>
      </c>
      <c r="C2237" t="str">
        <f>IF(acs2015_county_data[[#This Row],[Unemployment]]&gt;='Описательные характеристики'!$I$5,"да","нет")</f>
        <v>да</v>
      </c>
    </row>
    <row r="2238" spans="1:3" x14ac:dyDescent="0.35">
      <c r="A2238" s="4">
        <v>22426</v>
      </c>
      <c r="B2238" s="9">
        <v>7.8</v>
      </c>
      <c r="C2238" t="str">
        <f>IF(acs2015_county_data[[#This Row],[Unemployment]]&gt;='Описательные характеристики'!$I$5,"да","нет")</f>
        <v>да</v>
      </c>
    </row>
    <row r="2239" spans="1:3" x14ac:dyDescent="0.35">
      <c r="A2239" s="6">
        <v>21214</v>
      </c>
      <c r="B2239" s="10">
        <v>9.4</v>
      </c>
      <c r="C2239" t="str">
        <f>IF(acs2015_county_data[[#This Row],[Unemployment]]&gt;='Описательные характеристики'!$I$5,"да","нет")</f>
        <v>да</v>
      </c>
    </row>
    <row r="2240" spans="1:3" x14ac:dyDescent="0.35">
      <c r="A2240" s="4">
        <v>23764</v>
      </c>
      <c r="B2240" s="9">
        <v>7.1</v>
      </c>
      <c r="C2240" t="str">
        <f>IF(acs2015_county_data[[#This Row],[Unemployment]]&gt;='Описательные характеристики'!$I$5,"да","нет")</f>
        <v>нет</v>
      </c>
    </row>
    <row r="2241" spans="1:3" x14ac:dyDescent="0.35">
      <c r="A2241" s="6">
        <v>24386</v>
      </c>
      <c r="B2241" s="10">
        <v>9.5</v>
      </c>
      <c r="C2241" t="str">
        <f>IF(acs2015_county_data[[#This Row],[Unemployment]]&gt;='Описательные характеристики'!$I$5,"да","нет")</f>
        <v>да</v>
      </c>
    </row>
    <row r="2242" spans="1:3" x14ac:dyDescent="0.35">
      <c r="A2242" s="4">
        <v>22828</v>
      </c>
      <c r="B2242" s="9">
        <v>9</v>
      </c>
      <c r="C2242" t="str">
        <f>IF(acs2015_county_data[[#This Row],[Unemployment]]&gt;='Описательные характеристики'!$I$5,"да","нет")</f>
        <v>да</v>
      </c>
    </row>
    <row r="2243" spans="1:3" x14ac:dyDescent="0.35">
      <c r="A2243" s="6">
        <v>32369</v>
      </c>
      <c r="B2243" s="10">
        <v>7.6</v>
      </c>
      <c r="C2243" t="str">
        <f>IF(acs2015_county_data[[#This Row],[Unemployment]]&gt;='Описательные характеристики'!$I$5,"да","нет")</f>
        <v>да</v>
      </c>
    </row>
    <row r="2244" spans="1:3" x14ac:dyDescent="0.35">
      <c r="A2244" s="4">
        <v>23535</v>
      </c>
      <c r="B2244" s="9">
        <v>8.5</v>
      </c>
      <c r="C2244" t="str">
        <f>IF(acs2015_county_data[[#This Row],[Unemployment]]&gt;='Описательные характеристики'!$I$5,"да","нет")</f>
        <v>да</v>
      </c>
    </row>
    <row r="2245" spans="1:3" x14ac:dyDescent="0.35">
      <c r="A2245" s="6">
        <v>25047</v>
      </c>
      <c r="B2245" s="10">
        <v>9.6999999999999993</v>
      </c>
      <c r="C2245" t="str">
        <f>IF(acs2015_county_data[[#This Row],[Unemployment]]&gt;='Описательные характеристики'!$I$5,"да","нет")</f>
        <v>да</v>
      </c>
    </row>
    <row r="2246" spans="1:3" x14ac:dyDescent="0.35">
      <c r="A2246" s="4">
        <v>27870</v>
      </c>
      <c r="B2246" s="9">
        <v>5.7</v>
      </c>
      <c r="C2246" t="str">
        <f>IF(acs2015_county_data[[#This Row],[Unemployment]]&gt;='Описательные характеристики'!$I$5,"да","нет")</f>
        <v>нет</v>
      </c>
    </row>
    <row r="2247" spans="1:3" x14ac:dyDescent="0.35">
      <c r="A2247" s="6">
        <v>32848</v>
      </c>
      <c r="B2247" s="10">
        <v>7.1</v>
      </c>
      <c r="C2247" t="str">
        <f>IF(acs2015_county_data[[#This Row],[Unemployment]]&gt;='Описательные характеристики'!$I$5,"да","нет")</f>
        <v>нет</v>
      </c>
    </row>
    <row r="2248" spans="1:3" x14ac:dyDescent="0.35">
      <c r="A2248" s="4">
        <v>24391</v>
      </c>
      <c r="B2248" s="9">
        <v>8.5</v>
      </c>
      <c r="C2248" t="str">
        <f>IF(acs2015_county_data[[#This Row],[Unemployment]]&gt;='Описательные характеристики'!$I$5,"да","нет")</f>
        <v>да</v>
      </c>
    </row>
    <row r="2249" spans="1:3" x14ac:dyDescent="0.35">
      <c r="A2249" s="6">
        <v>27233</v>
      </c>
      <c r="B2249" s="10">
        <v>6.8</v>
      </c>
      <c r="C2249" t="str">
        <f>IF(acs2015_county_data[[#This Row],[Unemployment]]&gt;='Описательные характеристики'!$I$5,"да","нет")</f>
        <v>нет</v>
      </c>
    </row>
    <row r="2250" spans="1:3" x14ac:dyDescent="0.35">
      <c r="A2250" s="4">
        <v>23195</v>
      </c>
      <c r="B2250" s="9">
        <v>7.3</v>
      </c>
      <c r="C2250" t="str">
        <f>IF(acs2015_county_data[[#This Row],[Unemployment]]&gt;='Описательные характеристики'!$I$5,"да","нет")</f>
        <v>нет</v>
      </c>
    </row>
    <row r="2251" spans="1:3" x14ac:dyDescent="0.35">
      <c r="A2251" s="6">
        <v>27146</v>
      </c>
      <c r="B2251" s="10">
        <v>9</v>
      </c>
      <c r="C2251" t="str">
        <f>IF(acs2015_county_data[[#This Row],[Unemployment]]&gt;='Описательные характеристики'!$I$5,"да","нет")</f>
        <v>да</v>
      </c>
    </row>
    <row r="2252" spans="1:3" x14ac:dyDescent="0.35">
      <c r="A2252" s="4">
        <v>23865</v>
      </c>
      <c r="B2252" s="9">
        <v>6.4</v>
      </c>
      <c r="C2252" t="str">
        <f>IF(acs2015_county_data[[#This Row],[Unemployment]]&gt;='Описательные характеристики'!$I$5,"да","нет")</f>
        <v>нет</v>
      </c>
    </row>
    <row r="2253" spans="1:3" x14ac:dyDescent="0.35">
      <c r="A2253" s="6">
        <v>25577</v>
      </c>
      <c r="B2253" s="10">
        <v>5.6</v>
      </c>
      <c r="C2253" t="str">
        <f>IF(acs2015_county_data[[#This Row],[Unemployment]]&gt;='Описательные характеристики'!$I$5,"да","нет")</f>
        <v>нет</v>
      </c>
    </row>
    <row r="2254" spans="1:3" x14ac:dyDescent="0.35">
      <c r="A2254" s="4">
        <v>38795</v>
      </c>
      <c r="B2254" s="9">
        <v>7</v>
      </c>
      <c r="C2254" t="str">
        <f>IF(acs2015_county_data[[#This Row],[Unemployment]]&gt;='Описательные характеристики'!$I$5,"да","нет")</f>
        <v>нет</v>
      </c>
    </row>
    <row r="2255" spans="1:3" x14ac:dyDescent="0.35">
      <c r="A2255" s="6">
        <v>32301</v>
      </c>
      <c r="B2255" s="10">
        <v>5.9</v>
      </c>
      <c r="C2255" t="str">
        <f>IF(acs2015_county_data[[#This Row],[Unemployment]]&gt;='Описательные характеристики'!$I$5,"да","нет")</f>
        <v>нет</v>
      </c>
    </row>
    <row r="2256" spans="1:3" x14ac:dyDescent="0.35">
      <c r="A2256" s="4">
        <v>23410</v>
      </c>
      <c r="B2256" s="9">
        <v>8.5</v>
      </c>
      <c r="C2256" t="str">
        <f>IF(acs2015_county_data[[#This Row],[Unemployment]]&gt;='Описательные характеристики'!$I$5,"да","нет")</f>
        <v>да</v>
      </c>
    </row>
    <row r="2257" spans="1:3" x14ac:dyDescent="0.35">
      <c r="A2257" s="6">
        <v>25240</v>
      </c>
      <c r="B2257" s="10">
        <v>4.5</v>
      </c>
      <c r="C2257" t="str">
        <f>IF(acs2015_county_data[[#This Row],[Unemployment]]&gt;='Описательные характеристики'!$I$5,"да","нет")</f>
        <v>нет</v>
      </c>
    </row>
    <row r="2258" spans="1:3" x14ac:dyDescent="0.35">
      <c r="A2258" s="4">
        <v>25398</v>
      </c>
      <c r="B2258" s="9">
        <v>8.6</v>
      </c>
      <c r="C2258" t="str">
        <f>IF(acs2015_county_data[[#This Row],[Unemployment]]&gt;='Описательные характеристики'!$I$5,"да","нет")</f>
        <v>да</v>
      </c>
    </row>
    <row r="2259" spans="1:3" x14ac:dyDescent="0.35">
      <c r="A2259" s="6">
        <v>26492</v>
      </c>
      <c r="B2259" s="10">
        <v>5.0999999999999996</v>
      </c>
      <c r="C2259" t="str">
        <f>IF(acs2015_county_data[[#This Row],[Unemployment]]&gt;='Описательные характеристики'!$I$5,"да","нет")</f>
        <v>нет</v>
      </c>
    </row>
    <row r="2260" spans="1:3" x14ac:dyDescent="0.35">
      <c r="A2260" s="4">
        <v>42556</v>
      </c>
      <c r="B2260" s="9">
        <v>5.9</v>
      </c>
      <c r="C2260" t="str">
        <f>IF(acs2015_county_data[[#This Row],[Unemployment]]&gt;='Описательные характеристики'!$I$5,"да","нет")</f>
        <v>нет</v>
      </c>
    </row>
    <row r="2261" spans="1:3" x14ac:dyDescent="0.35">
      <c r="A2261" s="6">
        <v>22136</v>
      </c>
      <c r="B2261" s="10">
        <v>8.1</v>
      </c>
      <c r="C2261" t="str">
        <f>IF(acs2015_county_data[[#This Row],[Unemployment]]&gt;='Описательные характеристики'!$I$5,"да","нет")</f>
        <v>да</v>
      </c>
    </row>
    <row r="2262" spans="1:3" x14ac:dyDescent="0.35">
      <c r="A2262" s="4">
        <v>21362</v>
      </c>
      <c r="B2262" s="9">
        <v>7.8</v>
      </c>
      <c r="C2262" t="str">
        <f>IF(acs2015_county_data[[#This Row],[Unemployment]]&gt;='Описательные характеристики'!$I$5,"да","нет")</f>
        <v>да</v>
      </c>
    </row>
    <row r="2263" spans="1:3" x14ac:dyDescent="0.35">
      <c r="A2263" s="6">
        <v>21937</v>
      </c>
      <c r="B2263" s="10">
        <v>6.1</v>
      </c>
      <c r="C2263" t="str">
        <f>IF(acs2015_county_data[[#This Row],[Unemployment]]&gt;='Описательные характеристики'!$I$5,"да","нет")</f>
        <v>нет</v>
      </c>
    </row>
    <row r="2264" spans="1:3" x14ac:dyDescent="0.35">
      <c r="A2264" s="4">
        <v>23580</v>
      </c>
      <c r="B2264" s="9">
        <v>5.7</v>
      </c>
      <c r="C2264" t="str">
        <f>IF(acs2015_county_data[[#This Row],[Unemployment]]&gt;='Описательные характеристики'!$I$5,"да","нет")</f>
        <v>нет</v>
      </c>
    </row>
    <row r="2265" spans="1:3" x14ac:dyDescent="0.35">
      <c r="A2265" s="6">
        <v>22726</v>
      </c>
      <c r="B2265" s="10">
        <v>7.2</v>
      </c>
      <c r="C2265" t="str">
        <f>IF(acs2015_county_data[[#This Row],[Unemployment]]&gt;='Описательные характеристики'!$I$5,"да","нет")</f>
        <v>нет</v>
      </c>
    </row>
    <row r="2266" spans="1:3" x14ac:dyDescent="0.35">
      <c r="A2266" s="4">
        <v>32398</v>
      </c>
      <c r="B2266" s="9">
        <v>5.6</v>
      </c>
      <c r="C2266" t="str">
        <f>IF(acs2015_county_data[[#This Row],[Unemployment]]&gt;='Описательные характеристики'!$I$5,"да","нет")</f>
        <v>нет</v>
      </c>
    </row>
    <row r="2267" spans="1:3" x14ac:dyDescent="0.35">
      <c r="A2267" s="6">
        <v>29461</v>
      </c>
      <c r="B2267" s="10">
        <v>7.1</v>
      </c>
      <c r="C2267" t="str">
        <f>IF(acs2015_county_data[[#This Row],[Unemployment]]&gt;='Описательные характеристики'!$I$5,"да","нет")</f>
        <v>нет</v>
      </c>
    </row>
    <row r="2268" spans="1:3" x14ac:dyDescent="0.35">
      <c r="A2268" s="4">
        <v>34064</v>
      </c>
      <c r="B2268" s="9">
        <v>8.1999999999999993</v>
      </c>
      <c r="C2268" t="str">
        <f>IF(acs2015_county_data[[#This Row],[Unemployment]]&gt;='Описательные характеристики'!$I$5,"да","нет")</f>
        <v>да</v>
      </c>
    </row>
    <row r="2269" spans="1:3" x14ac:dyDescent="0.35">
      <c r="A2269" s="6">
        <v>24647</v>
      </c>
      <c r="B2269" s="10">
        <v>5.2</v>
      </c>
      <c r="C2269" t="str">
        <f>IF(acs2015_county_data[[#This Row],[Unemployment]]&gt;='Описательные характеристики'!$I$5,"да","нет")</f>
        <v>нет</v>
      </c>
    </row>
    <row r="2270" spans="1:3" x14ac:dyDescent="0.35">
      <c r="A2270" s="4">
        <v>24856</v>
      </c>
      <c r="B2270" s="9">
        <v>8</v>
      </c>
      <c r="C2270" t="str">
        <f>IF(acs2015_county_data[[#This Row],[Unemployment]]&gt;='Описательные характеристики'!$I$5,"да","нет")</f>
        <v>да</v>
      </c>
    </row>
    <row r="2271" spans="1:3" x14ac:dyDescent="0.35">
      <c r="A2271" s="6">
        <v>22014</v>
      </c>
      <c r="B2271" s="10">
        <v>8.4</v>
      </c>
      <c r="C2271" t="str">
        <f>IF(acs2015_county_data[[#This Row],[Unemployment]]&gt;='Описательные характеристики'!$I$5,"да","нет")</f>
        <v>да</v>
      </c>
    </row>
    <row r="2272" spans="1:3" x14ac:dyDescent="0.35">
      <c r="A2272" s="4">
        <v>13645</v>
      </c>
      <c r="B2272" s="9">
        <v>4.8</v>
      </c>
      <c r="C2272" t="str">
        <f>IF(acs2015_county_data[[#This Row],[Unemployment]]&gt;='Описательные характеристики'!$I$5,"да","нет")</f>
        <v>нет</v>
      </c>
    </row>
    <row r="2273" spans="1:3" x14ac:dyDescent="0.35">
      <c r="A2273" s="6">
        <v>26025</v>
      </c>
      <c r="B2273" s="10">
        <v>6.9</v>
      </c>
      <c r="C2273" t="str">
        <f>IF(acs2015_county_data[[#This Row],[Unemployment]]&gt;='Описательные характеристики'!$I$5,"да","нет")</f>
        <v>нет</v>
      </c>
    </row>
    <row r="2274" spans="1:3" x14ac:dyDescent="0.35">
      <c r="A2274" s="4">
        <v>23435</v>
      </c>
      <c r="B2274" s="9">
        <v>7.5</v>
      </c>
      <c r="C2274" t="str">
        <f>IF(acs2015_county_data[[#This Row],[Unemployment]]&gt;='Описательные характеристики'!$I$5,"да","нет")</f>
        <v>нет</v>
      </c>
    </row>
    <row r="2275" spans="1:3" x14ac:dyDescent="0.35">
      <c r="A2275" s="6">
        <v>23232</v>
      </c>
      <c r="B2275" s="10">
        <v>6.4</v>
      </c>
      <c r="C2275" t="str">
        <f>IF(acs2015_county_data[[#This Row],[Unemployment]]&gt;='Описательные характеристики'!$I$5,"да","нет")</f>
        <v>нет</v>
      </c>
    </row>
    <row r="2276" spans="1:3" x14ac:dyDescent="0.35">
      <c r="A2276" s="4">
        <v>21714</v>
      </c>
      <c r="B2276" s="9">
        <v>8.1</v>
      </c>
      <c r="C2276" t="str">
        <f>IF(acs2015_county_data[[#This Row],[Unemployment]]&gt;='Описательные характеристики'!$I$5,"да","нет")</f>
        <v>да</v>
      </c>
    </row>
    <row r="2277" spans="1:3" x14ac:dyDescent="0.35">
      <c r="A2277" s="6">
        <v>23450</v>
      </c>
      <c r="B2277" s="10">
        <v>7.8</v>
      </c>
      <c r="C2277" t="str">
        <f>IF(acs2015_county_data[[#This Row],[Unemployment]]&gt;='Описательные характеристики'!$I$5,"да","нет")</f>
        <v>да</v>
      </c>
    </row>
    <row r="2278" spans="1:3" x14ac:dyDescent="0.35">
      <c r="A2278" s="4">
        <v>22282</v>
      </c>
      <c r="B2278" s="9">
        <v>6.4</v>
      </c>
      <c r="C2278" t="str">
        <f>IF(acs2015_county_data[[#This Row],[Unemployment]]&gt;='Описательные характеристики'!$I$5,"да","нет")</f>
        <v>нет</v>
      </c>
    </row>
    <row r="2279" spans="1:3" x14ac:dyDescent="0.35">
      <c r="A2279" s="6">
        <v>22170</v>
      </c>
      <c r="B2279" s="10">
        <v>5.7</v>
      </c>
      <c r="C2279" t="str">
        <f>IF(acs2015_county_data[[#This Row],[Unemployment]]&gt;='Описательные характеристики'!$I$5,"да","нет")</f>
        <v>нет</v>
      </c>
    </row>
    <row r="2280" spans="1:3" x14ac:dyDescent="0.35">
      <c r="A2280" s="4">
        <v>25608</v>
      </c>
      <c r="B2280" s="9">
        <v>6.9</v>
      </c>
      <c r="C2280" t="str">
        <f>IF(acs2015_county_data[[#This Row],[Unemployment]]&gt;='Описательные характеристики'!$I$5,"да","нет")</f>
        <v>нет</v>
      </c>
    </row>
    <row r="2281" spans="1:3" x14ac:dyDescent="0.35">
      <c r="A2281" s="6">
        <v>27158</v>
      </c>
      <c r="B2281" s="10">
        <v>6.1</v>
      </c>
      <c r="C2281" t="str">
        <f>IF(acs2015_county_data[[#This Row],[Unemployment]]&gt;='Описательные характеристики'!$I$5,"да","нет")</f>
        <v>нет</v>
      </c>
    </row>
    <row r="2282" spans="1:3" x14ac:dyDescent="0.35">
      <c r="A2282" s="4">
        <v>24450</v>
      </c>
      <c r="B2282" s="9">
        <v>7</v>
      </c>
      <c r="C2282" t="str">
        <f>IF(acs2015_county_data[[#This Row],[Unemployment]]&gt;='Описательные характеристики'!$I$5,"да","нет")</f>
        <v>нет</v>
      </c>
    </row>
    <row r="2283" spans="1:3" x14ac:dyDescent="0.35">
      <c r="A2283" s="6">
        <v>26526</v>
      </c>
      <c r="B2283" s="10">
        <v>6.9</v>
      </c>
      <c r="C2283" t="str">
        <f>IF(acs2015_county_data[[#This Row],[Unemployment]]&gt;='Описательные характеристики'!$I$5,"да","нет")</f>
        <v>нет</v>
      </c>
    </row>
    <row r="2284" spans="1:3" x14ac:dyDescent="0.35">
      <c r="A2284" s="4">
        <v>28688</v>
      </c>
      <c r="B2284" s="9">
        <v>8.5</v>
      </c>
      <c r="C2284" t="str">
        <f>IF(acs2015_county_data[[#This Row],[Unemployment]]&gt;='Описательные характеристики'!$I$5,"да","нет")</f>
        <v>да</v>
      </c>
    </row>
    <row r="2285" spans="1:3" x14ac:dyDescent="0.35">
      <c r="A2285" s="6">
        <v>25224</v>
      </c>
      <c r="B2285" s="10">
        <v>7.8</v>
      </c>
      <c r="C2285" t="str">
        <f>IF(acs2015_county_data[[#This Row],[Unemployment]]&gt;='Описательные характеристики'!$I$5,"да","нет")</f>
        <v>да</v>
      </c>
    </row>
    <row r="2286" spans="1:3" x14ac:dyDescent="0.35">
      <c r="A2286" s="4">
        <v>24194</v>
      </c>
      <c r="B2286" s="9">
        <v>7.7</v>
      </c>
      <c r="C2286" t="str">
        <f>IF(acs2015_county_data[[#This Row],[Unemployment]]&gt;='Описательные характеристики'!$I$5,"да","нет")</f>
        <v>да</v>
      </c>
    </row>
    <row r="2287" spans="1:3" x14ac:dyDescent="0.35">
      <c r="A2287" s="6">
        <v>23554</v>
      </c>
      <c r="B2287" s="10">
        <v>9.1</v>
      </c>
      <c r="C2287" t="str">
        <f>IF(acs2015_county_data[[#This Row],[Unemployment]]&gt;='Описательные характеристики'!$I$5,"да","нет")</f>
        <v>да</v>
      </c>
    </row>
    <row r="2288" spans="1:3" x14ac:dyDescent="0.35">
      <c r="A2288" s="4">
        <v>23683</v>
      </c>
      <c r="B2288" s="9">
        <v>6.8</v>
      </c>
      <c r="C2288" t="str">
        <f>IF(acs2015_county_data[[#This Row],[Unemployment]]&gt;='Описательные характеристики'!$I$5,"да","нет")</f>
        <v>нет</v>
      </c>
    </row>
    <row r="2289" spans="1:3" x14ac:dyDescent="0.35">
      <c r="A2289" s="6">
        <v>20769</v>
      </c>
      <c r="B2289" s="10">
        <v>6.4</v>
      </c>
      <c r="C2289" t="str">
        <f>IF(acs2015_county_data[[#This Row],[Unemployment]]&gt;='Описательные характеристики'!$I$5,"да","нет")</f>
        <v>нет</v>
      </c>
    </row>
    <row r="2290" spans="1:3" x14ac:dyDescent="0.35">
      <c r="A2290" s="4">
        <v>25022</v>
      </c>
      <c r="B2290" s="9">
        <v>12</v>
      </c>
      <c r="C2290" t="str">
        <f>IF(acs2015_county_data[[#This Row],[Unemployment]]&gt;='Описательные характеристики'!$I$5,"да","нет")</f>
        <v>да</v>
      </c>
    </row>
    <row r="2291" spans="1:3" x14ac:dyDescent="0.35">
      <c r="A2291" s="6">
        <v>42275</v>
      </c>
      <c r="B2291" s="10">
        <v>6.4</v>
      </c>
      <c r="C2291" t="str">
        <f>IF(acs2015_county_data[[#This Row],[Unemployment]]&gt;='Описательные характеристики'!$I$5,"да","нет")</f>
        <v>нет</v>
      </c>
    </row>
    <row r="2292" spans="1:3" x14ac:dyDescent="0.35">
      <c r="A2292" s="4">
        <v>30272</v>
      </c>
      <c r="B2292" s="9">
        <v>6.6</v>
      </c>
      <c r="C2292" t="str">
        <f>IF(acs2015_county_data[[#This Row],[Unemployment]]&gt;='Описательные характеристики'!$I$5,"да","нет")</f>
        <v>нет</v>
      </c>
    </row>
    <row r="2293" spans="1:3" x14ac:dyDescent="0.35">
      <c r="A2293" s="6">
        <v>30176</v>
      </c>
      <c r="B2293" s="10">
        <v>7.3</v>
      </c>
      <c r="C2293" t="str">
        <f>IF(acs2015_county_data[[#This Row],[Unemployment]]&gt;='Описательные характеристики'!$I$5,"да","нет")</f>
        <v>нет</v>
      </c>
    </row>
    <row r="2294" spans="1:3" x14ac:dyDescent="0.35">
      <c r="A2294" s="4">
        <v>23291</v>
      </c>
      <c r="B2294" s="9">
        <v>7.2</v>
      </c>
      <c r="C2294" t="str">
        <f>IF(acs2015_county_data[[#This Row],[Unemployment]]&gt;='Описательные характеристики'!$I$5,"да","нет")</f>
        <v>нет</v>
      </c>
    </row>
    <row r="2295" spans="1:3" x14ac:dyDescent="0.35">
      <c r="A2295" s="6">
        <v>27019</v>
      </c>
      <c r="B2295" s="10">
        <v>6.3</v>
      </c>
      <c r="C2295" t="str">
        <f>IF(acs2015_county_data[[#This Row],[Unemployment]]&gt;='Описательные характеристики'!$I$5,"да","нет")</f>
        <v>нет</v>
      </c>
    </row>
    <row r="2296" spans="1:3" x14ac:dyDescent="0.35">
      <c r="A2296" s="4">
        <v>22919</v>
      </c>
      <c r="B2296" s="9">
        <v>13.9</v>
      </c>
      <c r="C2296" t="str">
        <f>IF(acs2015_county_data[[#This Row],[Unemployment]]&gt;='Описательные характеристики'!$I$5,"да","нет")</f>
        <v>да</v>
      </c>
    </row>
    <row r="2297" spans="1:3" x14ac:dyDescent="0.35">
      <c r="A2297" s="6">
        <v>28533</v>
      </c>
      <c r="B2297" s="10">
        <v>11.6</v>
      </c>
      <c r="C2297" t="str">
        <f>IF(acs2015_county_data[[#This Row],[Unemployment]]&gt;='Описательные характеристики'!$I$5,"да","нет")</f>
        <v>да</v>
      </c>
    </row>
    <row r="2298" spans="1:3" x14ac:dyDescent="0.35">
      <c r="A2298" s="4">
        <v>22318</v>
      </c>
      <c r="B2298" s="9">
        <v>6.9</v>
      </c>
      <c r="C2298" t="str">
        <f>IF(acs2015_county_data[[#This Row],[Unemployment]]&gt;='Описательные характеристики'!$I$5,"да","нет")</f>
        <v>нет</v>
      </c>
    </row>
    <row r="2299" spans="1:3" x14ac:dyDescent="0.35">
      <c r="A2299" s="6">
        <v>23682</v>
      </c>
      <c r="B2299" s="10">
        <v>8.8000000000000007</v>
      </c>
      <c r="C2299" t="str">
        <f>IF(acs2015_county_data[[#This Row],[Unemployment]]&gt;='Описательные характеристики'!$I$5,"да","нет")</f>
        <v>да</v>
      </c>
    </row>
    <row r="2300" spans="1:3" x14ac:dyDescent="0.35">
      <c r="A2300" s="4">
        <v>23836</v>
      </c>
      <c r="B2300" s="9">
        <v>5</v>
      </c>
      <c r="C2300" t="str">
        <f>IF(acs2015_county_data[[#This Row],[Unemployment]]&gt;='Описательные характеристики'!$I$5,"да","нет")</f>
        <v>нет</v>
      </c>
    </row>
    <row r="2301" spans="1:3" x14ac:dyDescent="0.35">
      <c r="A2301" s="6">
        <v>22980</v>
      </c>
      <c r="B2301" s="10">
        <v>6.9</v>
      </c>
      <c r="C2301" t="str">
        <f>IF(acs2015_county_data[[#This Row],[Unemployment]]&gt;='Описательные характеристики'!$I$5,"да","нет")</f>
        <v>нет</v>
      </c>
    </row>
    <row r="2302" spans="1:3" x14ac:dyDescent="0.35">
      <c r="A2302" s="4">
        <v>25054</v>
      </c>
      <c r="B2302" s="9">
        <v>8.6999999999999993</v>
      </c>
      <c r="C2302" t="str">
        <f>IF(acs2015_county_data[[#This Row],[Unemployment]]&gt;='Описательные характеристики'!$I$5,"да","нет")</f>
        <v>да</v>
      </c>
    </row>
    <row r="2303" spans="1:3" x14ac:dyDescent="0.35">
      <c r="A2303" s="6">
        <v>25958</v>
      </c>
      <c r="B2303" s="10">
        <v>7.7</v>
      </c>
      <c r="C2303" t="str">
        <f>IF(acs2015_county_data[[#This Row],[Unemployment]]&gt;='Описательные характеристики'!$I$5,"да","нет")</f>
        <v>да</v>
      </c>
    </row>
    <row r="2304" spans="1:3" x14ac:dyDescent="0.35">
      <c r="A2304" s="4">
        <v>23980</v>
      </c>
      <c r="B2304" s="9">
        <v>7.4</v>
      </c>
      <c r="C2304" t="str">
        <f>IF(acs2015_county_data[[#This Row],[Unemployment]]&gt;='Описательные характеристики'!$I$5,"да","нет")</f>
        <v>нет</v>
      </c>
    </row>
    <row r="2305" spans="1:3" x14ac:dyDescent="0.35">
      <c r="A2305" s="6">
        <v>22863</v>
      </c>
      <c r="B2305" s="10">
        <v>6.1</v>
      </c>
      <c r="C2305" t="str">
        <f>IF(acs2015_county_data[[#This Row],[Unemployment]]&gt;='Описательные характеристики'!$I$5,"да","нет")</f>
        <v>нет</v>
      </c>
    </row>
    <row r="2306" spans="1:3" x14ac:dyDescent="0.35">
      <c r="A2306" s="4">
        <v>23380</v>
      </c>
      <c r="B2306" s="9">
        <v>8.1</v>
      </c>
      <c r="C2306" t="str">
        <f>IF(acs2015_county_data[[#This Row],[Unemployment]]&gt;='Описательные характеристики'!$I$5,"да","нет")</f>
        <v>да</v>
      </c>
    </row>
    <row r="2307" spans="1:3" x14ac:dyDescent="0.35">
      <c r="A2307" s="6">
        <v>24830</v>
      </c>
      <c r="B2307" s="10">
        <v>6.6</v>
      </c>
      <c r="C2307" t="str">
        <f>IF(acs2015_county_data[[#This Row],[Unemployment]]&gt;='Описательные характеристики'!$I$5,"да","нет")</f>
        <v>нет</v>
      </c>
    </row>
    <row r="2308" spans="1:3" x14ac:dyDescent="0.35">
      <c r="A2308" s="4">
        <v>30605</v>
      </c>
      <c r="B2308" s="9">
        <v>6.5</v>
      </c>
      <c r="C2308" t="str">
        <f>IF(acs2015_county_data[[#This Row],[Unemployment]]&gt;='Описательные характеристики'!$I$5,"да","нет")</f>
        <v>нет</v>
      </c>
    </row>
    <row r="2309" spans="1:3" x14ac:dyDescent="0.35">
      <c r="A2309" s="6">
        <v>24539</v>
      </c>
      <c r="B2309" s="10">
        <v>7.8</v>
      </c>
      <c r="C2309" t="str">
        <f>IF(acs2015_county_data[[#This Row],[Unemployment]]&gt;='Описательные характеристики'!$I$5,"да","нет")</f>
        <v>да</v>
      </c>
    </row>
    <row r="2310" spans="1:3" x14ac:dyDescent="0.35">
      <c r="A2310" s="4">
        <v>29472</v>
      </c>
      <c r="B2310" s="9">
        <v>5.6</v>
      </c>
      <c r="C2310" t="str">
        <f>IF(acs2015_county_data[[#This Row],[Unemployment]]&gt;='Описательные характеристики'!$I$5,"да","нет")</f>
        <v>нет</v>
      </c>
    </row>
    <row r="2311" spans="1:3" x14ac:dyDescent="0.35">
      <c r="A2311" s="6">
        <v>26087</v>
      </c>
      <c r="B2311" s="10">
        <v>7.6</v>
      </c>
      <c r="C2311" t="str">
        <f>IF(acs2015_county_data[[#This Row],[Unemployment]]&gt;='Описательные характеристики'!$I$5,"да","нет")</f>
        <v>да</v>
      </c>
    </row>
    <row r="2312" spans="1:3" x14ac:dyDescent="0.35">
      <c r="A2312" s="4">
        <v>28403</v>
      </c>
      <c r="B2312" s="9">
        <v>7.3</v>
      </c>
      <c r="C2312" t="str">
        <f>IF(acs2015_county_data[[#This Row],[Unemployment]]&gt;='Описательные характеристики'!$I$5,"да","нет")</f>
        <v>нет</v>
      </c>
    </row>
    <row r="2313" spans="1:3" x14ac:dyDescent="0.35">
      <c r="A2313" s="6">
        <v>39196</v>
      </c>
      <c r="B2313" s="10">
        <v>6.8</v>
      </c>
      <c r="C2313" t="str">
        <f>IF(acs2015_county_data[[#This Row],[Unemployment]]&gt;='Описательные характеристики'!$I$5,"да","нет")</f>
        <v>нет</v>
      </c>
    </row>
    <row r="2314" spans="1:3" x14ac:dyDescent="0.35">
      <c r="A2314" s="4">
        <v>34824</v>
      </c>
      <c r="B2314" s="9">
        <v>8.1999999999999993</v>
      </c>
      <c r="C2314" t="str">
        <f>IF(acs2015_county_data[[#This Row],[Unemployment]]&gt;='Описательные характеристики'!$I$5,"да","нет")</f>
        <v>да</v>
      </c>
    </row>
    <row r="2315" spans="1:3" x14ac:dyDescent="0.35">
      <c r="A2315" s="6">
        <v>40320</v>
      </c>
      <c r="B2315" s="10">
        <v>6.9</v>
      </c>
      <c r="C2315" t="str">
        <f>IF(acs2015_county_data[[#This Row],[Unemployment]]&gt;='Описательные характеристики'!$I$5,"да","нет")</f>
        <v>нет</v>
      </c>
    </row>
    <row r="2316" spans="1:3" x14ac:dyDescent="0.35">
      <c r="A2316" s="4">
        <v>27162</v>
      </c>
      <c r="B2316" s="9">
        <v>9.5</v>
      </c>
      <c r="C2316" t="str">
        <f>IF(acs2015_county_data[[#This Row],[Unemployment]]&gt;='Описательные характеристики'!$I$5,"да","нет")</f>
        <v>да</v>
      </c>
    </row>
    <row r="2317" spans="1:3" x14ac:dyDescent="0.35">
      <c r="A2317" s="6">
        <v>36851</v>
      </c>
      <c r="B2317" s="10">
        <v>6.4</v>
      </c>
      <c r="C2317" t="str">
        <f>IF(acs2015_county_data[[#This Row],[Unemployment]]&gt;='Описательные характеристики'!$I$5,"да","нет")</f>
        <v>нет</v>
      </c>
    </row>
    <row r="2318" spans="1:3" x14ac:dyDescent="0.35">
      <c r="A2318" s="4">
        <v>18112</v>
      </c>
      <c r="B2318" s="9">
        <v>10.7</v>
      </c>
      <c r="C2318" t="str">
        <f>IF(acs2015_county_data[[#This Row],[Unemployment]]&gt;='Описательные характеристики'!$I$5,"да","нет")</f>
        <v>да</v>
      </c>
    </row>
    <row r="2319" spans="1:3" x14ac:dyDescent="0.35">
      <c r="A2319" s="6">
        <v>25321</v>
      </c>
      <c r="B2319" s="10">
        <v>9.9</v>
      </c>
      <c r="C2319" t="str">
        <f>IF(acs2015_county_data[[#This Row],[Unemployment]]&gt;='Описательные характеристики'!$I$5,"да","нет")</f>
        <v>да</v>
      </c>
    </row>
    <row r="2320" spans="1:3" x14ac:dyDescent="0.35">
      <c r="A2320" s="4">
        <v>12199</v>
      </c>
      <c r="B2320" s="9">
        <v>22.6</v>
      </c>
      <c r="C2320" t="str">
        <f>IF(acs2015_county_data[[#This Row],[Unemployment]]&gt;='Описательные характеристики'!$I$5,"да","нет")</f>
        <v>да</v>
      </c>
    </row>
    <row r="2321" spans="1:3" x14ac:dyDescent="0.35">
      <c r="A2321" s="6">
        <v>22400</v>
      </c>
      <c r="B2321" s="10">
        <v>9.1999999999999993</v>
      </c>
      <c r="C2321" t="str">
        <f>IF(acs2015_county_data[[#This Row],[Unemployment]]&gt;='Описательные характеристики'!$I$5,"да","нет")</f>
        <v>да</v>
      </c>
    </row>
    <row r="2322" spans="1:3" x14ac:dyDescent="0.35">
      <c r="A2322" s="4">
        <v>18215</v>
      </c>
      <c r="B2322" s="9">
        <v>10.9</v>
      </c>
      <c r="C2322" t="str">
        <f>IF(acs2015_county_data[[#This Row],[Unemployment]]&gt;='Описательные характеристики'!$I$5,"да","нет")</f>
        <v>да</v>
      </c>
    </row>
    <row r="2323" spans="1:3" x14ac:dyDescent="0.35">
      <c r="A2323" s="6">
        <v>19026</v>
      </c>
      <c r="B2323" s="10">
        <v>14.7</v>
      </c>
      <c r="C2323" t="str">
        <f>IF(acs2015_county_data[[#This Row],[Unemployment]]&gt;='Описательные характеристики'!$I$5,"да","нет")</f>
        <v>да</v>
      </c>
    </row>
    <row r="2324" spans="1:3" x14ac:dyDescent="0.35">
      <c r="A2324" s="4">
        <v>32401</v>
      </c>
      <c r="B2324" s="9">
        <v>7.2</v>
      </c>
      <c r="C2324" t="str">
        <f>IF(acs2015_county_data[[#This Row],[Unemployment]]&gt;='Описательные характеристики'!$I$5,"да","нет")</f>
        <v>нет</v>
      </c>
    </row>
    <row r="2325" spans="1:3" x14ac:dyDescent="0.35">
      <c r="A2325" s="6">
        <v>24826</v>
      </c>
      <c r="B2325" s="10">
        <v>9.9</v>
      </c>
      <c r="C2325" t="str">
        <f>IF(acs2015_county_data[[#This Row],[Unemployment]]&gt;='Описательные характеристики'!$I$5,"да","нет")</f>
        <v>да</v>
      </c>
    </row>
    <row r="2326" spans="1:3" x14ac:dyDescent="0.35">
      <c r="A2326" s="4">
        <v>24900</v>
      </c>
      <c r="B2326" s="9">
        <v>8.6</v>
      </c>
      <c r="C2326" t="str">
        <f>IF(acs2015_county_data[[#This Row],[Unemployment]]&gt;='Описательные характеристики'!$I$5,"да","нет")</f>
        <v>да</v>
      </c>
    </row>
    <row r="2327" spans="1:3" x14ac:dyDescent="0.35">
      <c r="A2327" s="6">
        <v>32162</v>
      </c>
      <c r="B2327" s="10">
        <v>7.7</v>
      </c>
      <c r="C2327" t="str">
        <f>IF(acs2015_county_data[[#This Row],[Unemployment]]&gt;='Описательные характеристики'!$I$5,"да","нет")</f>
        <v>да</v>
      </c>
    </row>
    <row r="2328" spans="1:3" x14ac:dyDescent="0.35">
      <c r="A2328" s="4">
        <v>19279</v>
      </c>
      <c r="B2328" s="9">
        <v>10.6</v>
      </c>
      <c r="C2328" t="str">
        <f>IF(acs2015_county_data[[#This Row],[Unemployment]]&gt;='Описательные характеристики'!$I$5,"да","нет")</f>
        <v>да</v>
      </c>
    </row>
    <row r="2329" spans="1:3" x14ac:dyDescent="0.35">
      <c r="A2329" s="6">
        <v>18819</v>
      </c>
      <c r="B2329" s="10">
        <v>13.8</v>
      </c>
      <c r="C2329" t="str">
        <f>IF(acs2015_county_data[[#This Row],[Unemployment]]&gt;='Описательные характеристики'!$I$5,"да","нет")</f>
        <v>да</v>
      </c>
    </row>
    <row r="2330" spans="1:3" x14ac:dyDescent="0.35">
      <c r="A2330" s="4">
        <v>17840</v>
      </c>
      <c r="B2330" s="9">
        <v>10.3</v>
      </c>
      <c r="C2330" t="str">
        <f>IF(acs2015_county_data[[#This Row],[Unemployment]]&gt;='Описательные характеристики'!$I$5,"да","нет")</f>
        <v>да</v>
      </c>
    </row>
    <row r="2331" spans="1:3" x14ac:dyDescent="0.35">
      <c r="A2331" s="6">
        <v>18535</v>
      </c>
      <c r="B2331" s="10">
        <v>16.2</v>
      </c>
      <c r="C2331" t="str">
        <f>IF(acs2015_county_data[[#This Row],[Unemployment]]&gt;='Описательные характеристики'!$I$5,"да","нет")</f>
        <v>да</v>
      </c>
    </row>
    <row r="2332" spans="1:3" x14ac:dyDescent="0.35">
      <c r="A2332" s="4">
        <v>19015</v>
      </c>
      <c r="B2332" s="9">
        <v>12.4</v>
      </c>
      <c r="C2332" t="str">
        <f>IF(acs2015_county_data[[#This Row],[Unemployment]]&gt;='Описательные характеристики'!$I$5,"да","нет")</f>
        <v>да</v>
      </c>
    </row>
    <row r="2333" spans="1:3" x14ac:dyDescent="0.35">
      <c r="A2333" s="6">
        <v>19810</v>
      </c>
      <c r="B2333" s="10">
        <v>15.9</v>
      </c>
      <c r="C2333" t="str">
        <f>IF(acs2015_county_data[[#This Row],[Unemployment]]&gt;='Описательные характеристики'!$I$5,"да","нет")</f>
        <v>да</v>
      </c>
    </row>
    <row r="2334" spans="1:3" x14ac:dyDescent="0.35">
      <c r="A2334" s="4">
        <v>14736</v>
      </c>
      <c r="B2334" s="9">
        <v>13.2</v>
      </c>
      <c r="C2334" t="str">
        <f>IF(acs2015_county_data[[#This Row],[Unemployment]]&gt;='Описательные характеристики'!$I$5,"да","нет")</f>
        <v>да</v>
      </c>
    </row>
    <row r="2335" spans="1:3" x14ac:dyDescent="0.35">
      <c r="A2335" s="6">
        <v>25223</v>
      </c>
      <c r="B2335" s="10">
        <v>8</v>
      </c>
      <c r="C2335" t="str">
        <f>IF(acs2015_county_data[[#This Row],[Unemployment]]&gt;='Описательные характеристики'!$I$5,"да","нет")</f>
        <v>да</v>
      </c>
    </row>
    <row r="2336" spans="1:3" x14ac:dyDescent="0.35">
      <c r="A2336" s="4">
        <v>21723</v>
      </c>
      <c r="B2336" s="9">
        <v>8.9</v>
      </c>
      <c r="C2336" t="str">
        <f>IF(acs2015_county_data[[#This Row],[Unemployment]]&gt;='Описательные характеристики'!$I$5,"да","нет")</f>
        <v>да</v>
      </c>
    </row>
    <row r="2337" spans="1:3" x14ac:dyDescent="0.35">
      <c r="A2337" s="6">
        <v>20401</v>
      </c>
      <c r="B2337" s="10">
        <v>12.8</v>
      </c>
      <c r="C2337" t="str">
        <f>IF(acs2015_county_data[[#This Row],[Unemployment]]&gt;='Описательные характеристики'!$I$5,"да","нет")</f>
        <v>да</v>
      </c>
    </row>
    <row r="2338" spans="1:3" x14ac:dyDescent="0.35">
      <c r="A2338" s="4">
        <v>22877</v>
      </c>
      <c r="B2338" s="9">
        <v>12.1</v>
      </c>
      <c r="C2338" t="str">
        <f>IF(acs2015_county_data[[#This Row],[Unemployment]]&gt;='Описательные характеристики'!$I$5,"да","нет")</f>
        <v>да</v>
      </c>
    </row>
    <row r="2339" spans="1:3" x14ac:dyDescent="0.35">
      <c r="A2339" s="6">
        <v>25216</v>
      </c>
      <c r="B2339" s="10">
        <v>11.2</v>
      </c>
      <c r="C2339" t="str">
        <f>IF(acs2015_county_data[[#This Row],[Unemployment]]&gt;='Описательные характеристики'!$I$5,"да","нет")</f>
        <v>да</v>
      </c>
    </row>
    <row r="2340" spans="1:3" x14ac:dyDescent="0.35">
      <c r="A2340" s="4">
        <v>27200</v>
      </c>
      <c r="B2340" s="9">
        <v>7.6</v>
      </c>
      <c r="C2340" t="str">
        <f>IF(acs2015_county_data[[#This Row],[Unemployment]]&gt;='Описательные характеристики'!$I$5,"да","нет")</f>
        <v>да</v>
      </c>
    </row>
    <row r="2341" spans="1:3" x14ac:dyDescent="0.35">
      <c r="A2341" s="6">
        <v>21287</v>
      </c>
      <c r="B2341" s="10">
        <v>12.9</v>
      </c>
      <c r="C2341" t="str">
        <f>IF(acs2015_county_data[[#This Row],[Unemployment]]&gt;='Описательные характеристики'!$I$5,"да","нет")</f>
        <v>да</v>
      </c>
    </row>
    <row r="2342" spans="1:3" x14ac:dyDescent="0.35">
      <c r="A2342" s="4">
        <v>20046</v>
      </c>
      <c r="B2342" s="9">
        <v>11</v>
      </c>
      <c r="C2342" t="str">
        <f>IF(acs2015_county_data[[#This Row],[Unemployment]]&gt;='Описательные характеристики'!$I$5,"да","нет")</f>
        <v>да</v>
      </c>
    </row>
    <row r="2343" spans="1:3" x14ac:dyDescent="0.35">
      <c r="A2343" s="6">
        <v>24094</v>
      </c>
      <c r="B2343" s="10">
        <v>8.6999999999999993</v>
      </c>
      <c r="C2343" t="str">
        <f>IF(acs2015_county_data[[#This Row],[Unemployment]]&gt;='Описательные характеристики'!$I$5,"да","нет")</f>
        <v>да</v>
      </c>
    </row>
    <row r="2344" spans="1:3" x14ac:dyDescent="0.35">
      <c r="A2344" s="4">
        <v>17565</v>
      </c>
      <c r="B2344" s="9">
        <v>11.9</v>
      </c>
      <c r="C2344" t="str">
        <f>IF(acs2015_county_data[[#This Row],[Unemployment]]&gt;='Описательные характеристики'!$I$5,"да","нет")</f>
        <v>да</v>
      </c>
    </row>
    <row r="2345" spans="1:3" x14ac:dyDescent="0.35">
      <c r="A2345" s="6">
        <v>22434</v>
      </c>
      <c r="B2345" s="10">
        <v>10.5</v>
      </c>
      <c r="C2345" t="str">
        <f>IF(acs2015_county_data[[#This Row],[Unemployment]]&gt;='Описательные характеристики'!$I$5,"да","нет")</f>
        <v>да</v>
      </c>
    </row>
    <row r="2346" spans="1:3" x14ac:dyDescent="0.35">
      <c r="A2346" s="4">
        <v>22647</v>
      </c>
      <c r="B2346" s="9">
        <v>9.9</v>
      </c>
      <c r="C2346" t="str">
        <f>IF(acs2015_county_data[[#This Row],[Unemployment]]&gt;='Описательные характеристики'!$I$5,"да","нет")</f>
        <v>да</v>
      </c>
    </row>
    <row r="2347" spans="1:3" x14ac:dyDescent="0.35">
      <c r="A2347" s="6">
        <v>20072</v>
      </c>
      <c r="B2347" s="10">
        <v>10.7</v>
      </c>
      <c r="C2347" t="str">
        <f>IF(acs2015_county_data[[#This Row],[Unemployment]]&gt;='Описательные характеристики'!$I$5,"да","нет")</f>
        <v>да</v>
      </c>
    </row>
    <row r="2348" spans="1:3" x14ac:dyDescent="0.35">
      <c r="A2348" s="4">
        <v>15662</v>
      </c>
      <c r="B2348" s="9">
        <v>14.9</v>
      </c>
      <c r="C2348" t="str">
        <f>IF(acs2015_county_data[[#This Row],[Unemployment]]&gt;='Описательные характеристики'!$I$5,"да","нет")</f>
        <v>да</v>
      </c>
    </row>
    <row r="2349" spans="1:3" x14ac:dyDescent="0.35">
      <c r="A2349" s="6">
        <v>27248</v>
      </c>
      <c r="B2349" s="10">
        <v>7.5</v>
      </c>
      <c r="C2349" t="str">
        <f>IF(acs2015_county_data[[#This Row],[Unemployment]]&gt;='Описательные характеристики'!$I$5,"да","нет")</f>
        <v>нет</v>
      </c>
    </row>
    <row r="2350" spans="1:3" x14ac:dyDescent="0.35">
      <c r="A2350" s="4">
        <v>22201</v>
      </c>
      <c r="B2350" s="9">
        <v>14.3</v>
      </c>
      <c r="C2350" t="str">
        <f>IF(acs2015_county_data[[#This Row],[Unemployment]]&gt;='Описательные характеристики'!$I$5,"да","нет")</f>
        <v>да</v>
      </c>
    </row>
    <row r="2351" spans="1:3" x14ac:dyDescent="0.35">
      <c r="A2351" s="6">
        <v>17553</v>
      </c>
      <c r="B2351" s="10">
        <v>13.9</v>
      </c>
      <c r="C2351" t="str">
        <f>IF(acs2015_county_data[[#This Row],[Unemployment]]&gt;='Описательные характеристики'!$I$5,"да","нет")</f>
        <v>да</v>
      </c>
    </row>
    <row r="2352" spans="1:3" x14ac:dyDescent="0.35">
      <c r="A2352" s="4">
        <v>15682</v>
      </c>
      <c r="B2352" s="9">
        <v>15.5</v>
      </c>
      <c r="C2352" t="str">
        <f>IF(acs2015_county_data[[#This Row],[Unemployment]]&gt;='Описательные характеристики'!$I$5,"да","нет")</f>
        <v>да</v>
      </c>
    </row>
    <row r="2353" spans="1:3" x14ac:dyDescent="0.35">
      <c r="A2353" s="6">
        <v>21267</v>
      </c>
      <c r="B2353" s="10">
        <v>10.199999999999999</v>
      </c>
      <c r="C2353" t="str">
        <f>IF(acs2015_county_data[[#This Row],[Unemployment]]&gt;='Описательные характеристики'!$I$5,"да","нет")</f>
        <v>да</v>
      </c>
    </row>
    <row r="2354" spans="1:3" x14ac:dyDescent="0.35">
      <c r="A2354" s="4">
        <v>24666</v>
      </c>
      <c r="B2354" s="9">
        <v>10.4</v>
      </c>
      <c r="C2354" t="str">
        <f>IF(acs2015_county_data[[#This Row],[Unemployment]]&gt;='Описательные характеристики'!$I$5,"да","нет")</f>
        <v>да</v>
      </c>
    </row>
    <row r="2355" spans="1:3" x14ac:dyDescent="0.35">
      <c r="A2355" s="6">
        <v>17889</v>
      </c>
      <c r="B2355" s="10">
        <v>12.8</v>
      </c>
      <c r="C2355" t="str">
        <f>IF(acs2015_county_data[[#This Row],[Unemployment]]&gt;='Описательные характеристики'!$I$5,"да","нет")</f>
        <v>да</v>
      </c>
    </row>
    <row r="2356" spans="1:3" x14ac:dyDescent="0.35">
      <c r="A2356" s="4">
        <v>21222</v>
      </c>
      <c r="B2356" s="9">
        <v>9.1999999999999993</v>
      </c>
      <c r="C2356" t="str">
        <f>IF(acs2015_county_data[[#This Row],[Unemployment]]&gt;='Описательные характеристики'!$I$5,"да","нет")</f>
        <v>да</v>
      </c>
    </row>
    <row r="2357" spans="1:3" x14ac:dyDescent="0.35">
      <c r="A2357" s="6">
        <v>26026</v>
      </c>
      <c r="B2357" s="10">
        <v>9.4</v>
      </c>
      <c r="C2357" t="str">
        <f>IF(acs2015_county_data[[#This Row],[Unemployment]]&gt;='Описательные характеристики'!$I$5,"да","нет")</f>
        <v>да</v>
      </c>
    </row>
    <row r="2358" spans="1:3" x14ac:dyDescent="0.35">
      <c r="A2358" s="4">
        <v>20430</v>
      </c>
      <c r="B2358" s="9">
        <v>9</v>
      </c>
      <c r="C2358" t="str">
        <f>IF(acs2015_county_data[[#This Row],[Unemployment]]&gt;='Описательные характеристики'!$I$5,"да","нет")</f>
        <v>да</v>
      </c>
    </row>
    <row r="2359" spans="1:3" x14ac:dyDescent="0.35">
      <c r="A2359" s="6">
        <v>22618</v>
      </c>
      <c r="B2359" s="10">
        <v>8.9</v>
      </c>
      <c r="C2359" t="str">
        <f>IF(acs2015_county_data[[#This Row],[Unemployment]]&gt;='Описательные характеристики'!$I$5,"да","нет")</f>
        <v>да</v>
      </c>
    </row>
    <row r="2360" spans="1:3" x14ac:dyDescent="0.35">
      <c r="A2360" s="4">
        <v>20806</v>
      </c>
      <c r="B2360" s="9">
        <v>12.4</v>
      </c>
      <c r="C2360" t="str">
        <f>IF(acs2015_county_data[[#This Row],[Unemployment]]&gt;='Описательные характеристики'!$I$5,"да","нет")</f>
        <v>да</v>
      </c>
    </row>
    <row r="2361" spans="1:3" x14ac:dyDescent="0.35">
      <c r="A2361" s="6">
        <v>19087</v>
      </c>
      <c r="B2361" s="10">
        <v>12.3</v>
      </c>
      <c r="C2361" t="str">
        <f>IF(acs2015_county_data[[#This Row],[Unemployment]]&gt;='Описательные характеристики'!$I$5,"да","нет")</f>
        <v>да</v>
      </c>
    </row>
    <row r="2362" spans="1:3" x14ac:dyDescent="0.35">
      <c r="A2362" s="4">
        <v>16344</v>
      </c>
      <c r="B2362" s="9">
        <v>11.6</v>
      </c>
      <c r="C2362" t="str">
        <f>IF(acs2015_county_data[[#This Row],[Unemployment]]&gt;='Описательные характеристики'!$I$5,"да","нет")</f>
        <v>да</v>
      </c>
    </row>
    <row r="2363" spans="1:3" x14ac:dyDescent="0.35">
      <c r="A2363" s="6">
        <v>27868</v>
      </c>
      <c r="B2363" s="10">
        <v>8.9</v>
      </c>
      <c r="C2363" t="str">
        <f>IF(acs2015_county_data[[#This Row],[Unemployment]]&gt;='Описательные характеристики'!$I$5,"да","нет")</f>
        <v>да</v>
      </c>
    </row>
    <row r="2364" spans="1:3" x14ac:dyDescent="0.35">
      <c r="A2364" s="4">
        <v>25965</v>
      </c>
      <c r="B2364" s="9">
        <v>1.9</v>
      </c>
      <c r="C2364" t="str">
        <f>IF(acs2015_county_data[[#This Row],[Unemployment]]&gt;='Описательные характеристики'!$I$5,"да","нет")</f>
        <v>нет</v>
      </c>
    </row>
    <row r="2365" spans="1:3" x14ac:dyDescent="0.35">
      <c r="A2365" s="6">
        <v>24662</v>
      </c>
      <c r="B2365" s="10">
        <v>2.9</v>
      </c>
      <c r="C2365" t="str">
        <f>IF(acs2015_county_data[[#This Row],[Unemployment]]&gt;='Описательные характеристики'!$I$5,"да","нет")</f>
        <v>нет</v>
      </c>
    </row>
    <row r="2366" spans="1:3" x14ac:dyDescent="0.35">
      <c r="A2366" s="4">
        <v>16549</v>
      </c>
      <c r="B2366" s="9">
        <v>14.7</v>
      </c>
      <c r="C2366" t="str">
        <f>IF(acs2015_county_data[[#This Row],[Unemployment]]&gt;='Описательные характеристики'!$I$5,"да","нет")</f>
        <v>да</v>
      </c>
    </row>
    <row r="2367" spans="1:3" x14ac:dyDescent="0.35">
      <c r="A2367" s="6">
        <v>22165</v>
      </c>
      <c r="B2367" s="10">
        <v>0.9</v>
      </c>
      <c r="C2367" t="str">
        <f>IF(acs2015_county_data[[#This Row],[Unemployment]]&gt;='Описательные характеристики'!$I$5,"да","нет")</f>
        <v>нет</v>
      </c>
    </row>
    <row r="2368" spans="1:3" x14ac:dyDescent="0.35">
      <c r="A2368" s="4">
        <v>25727</v>
      </c>
      <c r="B2368" s="9">
        <v>3.1</v>
      </c>
      <c r="C2368" t="str">
        <f>IF(acs2015_county_data[[#This Row],[Unemployment]]&gt;='Описательные характеристики'!$I$5,"да","нет")</f>
        <v>нет</v>
      </c>
    </row>
    <row r="2369" spans="1:3" x14ac:dyDescent="0.35">
      <c r="A2369" s="6">
        <v>28841</v>
      </c>
      <c r="B2369" s="10">
        <v>2.5</v>
      </c>
      <c r="C2369" t="str">
        <f>IF(acs2015_county_data[[#This Row],[Unemployment]]&gt;='Описательные характеристики'!$I$5,"да","нет")</f>
        <v>нет</v>
      </c>
    </row>
    <row r="2370" spans="1:3" x14ac:dyDescent="0.35">
      <c r="A2370" s="4">
        <v>22591</v>
      </c>
      <c r="B2370" s="9">
        <v>2.6</v>
      </c>
      <c r="C2370" t="str">
        <f>IF(acs2015_county_data[[#This Row],[Unemployment]]&gt;='Описательные характеристики'!$I$5,"да","нет")</f>
        <v>нет</v>
      </c>
    </row>
    <row r="2371" spans="1:3" x14ac:dyDescent="0.35">
      <c r="A2371" s="6">
        <v>11372</v>
      </c>
      <c r="B2371" s="10">
        <v>16.3</v>
      </c>
      <c r="C2371" t="str">
        <f>IF(acs2015_county_data[[#This Row],[Unemployment]]&gt;='Описательные характеристики'!$I$5,"да","нет")</f>
        <v>да</v>
      </c>
    </row>
    <row r="2372" spans="1:3" x14ac:dyDescent="0.35">
      <c r="A2372" s="4">
        <v>23267</v>
      </c>
      <c r="B2372" s="9">
        <v>3</v>
      </c>
      <c r="C2372" t="str">
        <f>IF(acs2015_county_data[[#This Row],[Unemployment]]&gt;='Описательные характеристики'!$I$5,"да","нет")</f>
        <v>нет</v>
      </c>
    </row>
    <row r="2373" spans="1:3" x14ac:dyDescent="0.35">
      <c r="A2373" s="6">
        <v>30998</v>
      </c>
      <c r="B2373" s="10">
        <v>1.4</v>
      </c>
      <c r="C2373" t="str">
        <f>IF(acs2015_county_data[[#This Row],[Unemployment]]&gt;='Описательные характеристики'!$I$5,"да","нет")</f>
        <v>нет</v>
      </c>
    </row>
    <row r="2374" spans="1:3" x14ac:dyDescent="0.35">
      <c r="A2374" s="4">
        <v>20814</v>
      </c>
      <c r="B2374" s="9">
        <v>5.0999999999999996</v>
      </c>
      <c r="C2374" t="str">
        <f>IF(acs2015_county_data[[#This Row],[Unemployment]]&gt;='Описательные характеристики'!$I$5,"да","нет")</f>
        <v>нет</v>
      </c>
    </row>
    <row r="2375" spans="1:3" x14ac:dyDescent="0.35">
      <c r="A2375" s="6">
        <v>25250</v>
      </c>
      <c r="B2375" s="10">
        <v>2.8</v>
      </c>
      <c r="C2375" t="str">
        <f>IF(acs2015_county_data[[#This Row],[Unemployment]]&gt;='Описательные характеристики'!$I$5,"да","нет")</f>
        <v>нет</v>
      </c>
    </row>
    <row r="2376" spans="1:3" x14ac:dyDescent="0.35">
      <c r="A2376" s="4">
        <v>21121</v>
      </c>
      <c r="B2376" s="9">
        <v>6.8</v>
      </c>
      <c r="C2376" t="str">
        <f>IF(acs2015_county_data[[#This Row],[Unemployment]]&gt;='Описательные характеристики'!$I$5,"да","нет")</f>
        <v>нет</v>
      </c>
    </row>
    <row r="2377" spans="1:3" x14ac:dyDescent="0.35">
      <c r="A2377" s="6">
        <v>26767</v>
      </c>
      <c r="B2377" s="10">
        <v>2.9</v>
      </c>
      <c r="C2377" t="str">
        <f>IF(acs2015_county_data[[#This Row],[Unemployment]]&gt;='Описательные характеристики'!$I$5,"да","нет")</f>
        <v>нет</v>
      </c>
    </row>
    <row r="2378" spans="1:3" x14ac:dyDescent="0.35">
      <c r="A2378" s="4">
        <v>13848</v>
      </c>
      <c r="B2378" s="9">
        <v>29.4</v>
      </c>
      <c r="C2378" t="str">
        <f>IF(acs2015_county_data[[#This Row],[Unemployment]]&gt;='Описательные характеристики'!$I$5,"да","нет")</f>
        <v>да</v>
      </c>
    </row>
    <row r="2379" spans="1:3" x14ac:dyDescent="0.35">
      <c r="A2379" s="6">
        <v>29934</v>
      </c>
      <c r="B2379" s="10">
        <v>5.2</v>
      </c>
      <c r="C2379" t="str">
        <f>IF(acs2015_county_data[[#This Row],[Unemployment]]&gt;='Описательные характеристики'!$I$5,"да","нет")</f>
        <v>нет</v>
      </c>
    </row>
    <row r="2380" spans="1:3" x14ac:dyDescent="0.35">
      <c r="A2380" s="4">
        <v>25881</v>
      </c>
      <c r="B2380" s="9">
        <v>3.3</v>
      </c>
      <c r="C2380" t="str">
        <f>IF(acs2015_county_data[[#This Row],[Unemployment]]&gt;='Описательные характеристики'!$I$5,"да","нет")</f>
        <v>нет</v>
      </c>
    </row>
    <row r="2381" spans="1:3" x14ac:dyDescent="0.35">
      <c r="A2381" s="6">
        <v>25844</v>
      </c>
      <c r="B2381" s="10">
        <v>3.9</v>
      </c>
      <c r="C2381" t="str">
        <f>IF(acs2015_county_data[[#This Row],[Unemployment]]&gt;='Описательные характеристики'!$I$5,"да","нет")</f>
        <v>нет</v>
      </c>
    </row>
    <row r="2382" spans="1:3" x14ac:dyDescent="0.35">
      <c r="A2382" s="4">
        <v>30511</v>
      </c>
      <c r="B2382" s="9">
        <v>3.1</v>
      </c>
      <c r="C2382" t="str">
        <f>IF(acs2015_county_data[[#This Row],[Unemployment]]&gt;='Описательные характеристики'!$I$5,"да","нет")</f>
        <v>нет</v>
      </c>
    </row>
    <row r="2383" spans="1:3" x14ac:dyDescent="0.35">
      <c r="A2383" s="6">
        <v>16216</v>
      </c>
      <c r="B2383" s="10">
        <v>24.6</v>
      </c>
      <c r="C2383" t="str">
        <f>IF(acs2015_county_data[[#This Row],[Unemployment]]&gt;='Описательные характеристики'!$I$5,"да","нет")</f>
        <v>да</v>
      </c>
    </row>
    <row r="2384" spans="1:3" x14ac:dyDescent="0.35">
      <c r="A2384" s="4">
        <v>29235</v>
      </c>
      <c r="B2384" s="9">
        <v>0.4</v>
      </c>
      <c r="C2384" t="str">
        <f>IF(acs2015_county_data[[#This Row],[Unemployment]]&gt;='Описательные характеристики'!$I$5,"да","нет")</f>
        <v>нет</v>
      </c>
    </row>
    <row r="2385" spans="1:3" x14ac:dyDescent="0.35">
      <c r="A2385" s="6">
        <v>27487</v>
      </c>
      <c r="B2385" s="10">
        <v>1.8</v>
      </c>
      <c r="C2385" t="str">
        <f>IF(acs2015_county_data[[#This Row],[Unemployment]]&gt;='Описательные характеристики'!$I$5,"да","нет")</f>
        <v>нет</v>
      </c>
    </row>
    <row r="2386" spans="1:3" x14ac:dyDescent="0.35">
      <c r="A2386" s="4">
        <v>24653</v>
      </c>
      <c r="B2386" s="9">
        <v>4.0999999999999996</v>
      </c>
      <c r="C2386" t="str">
        <f>IF(acs2015_county_data[[#This Row],[Unemployment]]&gt;='Описательные характеристики'!$I$5,"да","нет")</f>
        <v>нет</v>
      </c>
    </row>
    <row r="2387" spans="1:3" x14ac:dyDescent="0.35">
      <c r="A2387" s="6">
        <v>26958</v>
      </c>
      <c r="B2387" s="10">
        <v>0.7</v>
      </c>
      <c r="C2387" t="str">
        <f>IF(acs2015_county_data[[#This Row],[Unemployment]]&gt;='Описательные характеристики'!$I$5,"да","нет")</f>
        <v>нет</v>
      </c>
    </row>
    <row r="2388" spans="1:3" x14ac:dyDescent="0.35">
      <c r="A2388" s="4">
        <v>26741</v>
      </c>
      <c r="B2388" s="9">
        <v>4.0999999999999996</v>
      </c>
      <c r="C2388" t="str">
        <f>IF(acs2015_county_data[[#This Row],[Unemployment]]&gt;='Описательные характеристики'!$I$5,"да","нет")</f>
        <v>нет</v>
      </c>
    </row>
    <row r="2389" spans="1:3" x14ac:dyDescent="0.35">
      <c r="A2389" s="6">
        <v>24035</v>
      </c>
      <c r="B2389" s="10">
        <v>2.1</v>
      </c>
      <c r="C2389" t="str">
        <f>IF(acs2015_county_data[[#This Row],[Unemployment]]&gt;='Описательные характеристики'!$I$5,"да","нет")</f>
        <v>нет</v>
      </c>
    </row>
    <row r="2390" spans="1:3" x14ac:dyDescent="0.35">
      <c r="A2390" s="4">
        <v>23599</v>
      </c>
      <c r="B2390" s="9">
        <v>2.5</v>
      </c>
      <c r="C2390" t="str">
        <f>IF(acs2015_county_data[[#This Row],[Unemployment]]&gt;='Описательные характеристики'!$I$5,"да","нет")</f>
        <v>нет</v>
      </c>
    </row>
    <row r="2391" spans="1:3" x14ac:dyDescent="0.35">
      <c r="A2391" s="6">
        <v>26153</v>
      </c>
      <c r="B2391" s="10">
        <v>2.5</v>
      </c>
      <c r="C2391" t="str">
        <f>IF(acs2015_county_data[[#This Row],[Unemployment]]&gt;='Описательные характеристики'!$I$5,"да","нет")</f>
        <v>нет</v>
      </c>
    </row>
    <row r="2392" spans="1:3" x14ac:dyDescent="0.35">
      <c r="A2392" s="4">
        <v>29723</v>
      </c>
      <c r="B2392" s="9">
        <v>1.7</v>
      </c>
      <c r="C2392" t="str">
        <f>IF(acs2015_county_data[[#This Row],[Unemployment]]&gt;='Описательные характеристики'!$I$5,"да","нет")</f>
        <v>нет</v>
      </c>
    </row>
    <row r="2393" spans="1:3" x14ac:dyDescent="0.35">
      <c r="A2393" s="6">
        <v>23656</v>
      </c>
      <c r="B2393" s="10">
        <v>1.1000000000000001</v>
      </c>
      <c r="C2393" t="str">
        <f>IF(acs2015_county_data[[#This Row],[Unemployment]]&gt;='Описательные характеристики'!$I$5,"да","нет")</f>
        <v>нет</v>
      </c>
    </row>
    <row r="2394" spans="1:3" x14ac:dyDescent="0.35">
      <c r="A2394" s="4">
        <v>25087</v>
      </c>
      <c r="B2394" s="9">
        <v>1.4</v>
      </c>
      <c r="C2394" t="str">
        <f>IF(acs2015_county_data[[#This Row],[Unemployment]]&gt;='Описательные характеристики'!$I$5,"да","нет")</f>
        <v>нет</v>
      </c>
    </row>
    <row r="2395" spans="1:3" x14ac:dyDescent="0.35">
      <c r="A2395" s="6">
        <v>29642</v>
      </c>
      <c r="B2395" s="10">
        <v>3.1</v>
      </c>
      <c r="C2395" t="str">
        <f>IF(acs2015_county_data[[#This Row],[Unemployment]]&gt;='Описательные характеристики'!$I$5,"да","нет")</f>
        <v>нет</v>
      </c>
    </row>
    <row r="2396" spans="1:3" x14ac:dyDescent="0.35">
      <c r="A2396" s="4">
        <v>27880</v>
      </c>
      <c r="B2396" s="9">
        <v>3</v>
      </c>
      <c r="C2396" t="str">
        <f>IF(acs2015_county_data[[#This Row],[Unemployment]]&gt;='Описательные характеристики'!$I$5,"да","нет")</f>
        <v>нет</v>
      </c>
    </row>
    <row r="2397" spans="1:3" x14ac:dyDescent="0.35">
      <c r="A2397" s="6">
        <v>26239</v>
      </c>
      <c r="B2397" s="10">
        <v>1.8</v>
      </c>
      <c r="C2397" t="str">
        <f>IF(acs2015_county_data[[#This Row],[Unemployment]]&gt;='Описательные характеристики'!$I$5,"да","нет")</f>
        <v>нет</v>
      </c>
    </row>
    <row r="2398" spans="1:3" x14ac:dyDescent="0.35">
      <c r="A2398" s="4">
        <v>19216</v>
      </c>
      <c r="B2398" s="9">
        <v>17.399999999999999</v>
      </c>
      <c r="C2398" t="str">
        <f>IF(acs2015_county_data[[#This Row],[Unemployment]]&gt;='Описательные характеристики'!$I$5,"да","нет")</f>
        <v>да</v>
      </c>
    </row>
    <row r="2399" spans="1:3" x14ac:dyDescent="0.35">
      <c r="A2399" s="6">
        <v>34277</v>
      </c>
      <c r="B2399" s="10">
        <v>0.9</v>
      </c>
      <c r="C2399" t="str">
        <f>IF(acs2015_county_data[[#This Row],[Unemployment]]&gt;='Описательные характеристики'!$I$5,"да","нет")</f>
        <v>нет</v>
      </c>
    </row>
    <row r="2400" spans="1:3" x14ac:dyDescent="0.35">
      <c r="A2400" s="4">
        <v>26103</v>
      </c>
      <c r="B2400" s="9">
        <v>3.6</v>
      </c>
      <c r="C2400" t="str">
        <f>IF(acs2015_county_data[[#This Row],[Unemployment]]&gt;='Описательные характеристики'!$I$5,"да","нет")</f>
        <v>нет</v>
      </c>
    </row>
    <row r="2401" spans="1:3" x14ac:dyDescent="0.35">
      <c r="A2401" s="6">
        <v>29747</v>
      </c>
      <c r="B2401" s="10">
        <v>2</v>
      </c>
      <c r="C2401" t="str">
        <f>IF(acs2015_county_data[[#This Row],[Unemployment]]&gt;='Описательные характеристики'!$I$5,"да","нет")</f>
        <v>нет</v>
      </c>
    </row>
    <row r="2402" spans="1:3" x14ac:dyDescent="0.35">
      <c r="A2402" s="4">
        <v>29610</v>
      </c>
      <c r="B2402" s="9">
        <v>4.4000000000000004</v>
      </c>
      <c r="C2402" t="str">
        <f>IF(acs2015_county_data[[#This Row],[Unemployment]]&gt;='Описательные характеристики'!$I$5,"да","нет")</f>
        <v>нет</v>
      </c>
    </row>
    <row r="2403" spans="1:3" x14ac:dyDescent="0.35">
      <c r="A2403" s="6">
        <v>27083</v>
      </c>
      <c r="B2403" s="10">
        <v>3.8</v>
      </c>
      <c r="C2403" t="str">
        <f>IF(acs2015_county_data[[#This Row],[Unemployment]]&gt;='Описательные характеристики'!$I$5,"да","нет")</f>
        <v>нет</v>
      </c>
    </row>
    <row r="2404" spans="1:3" x14ac:dyDescent="0.35">
      <c r="A2404" s="4">
        <v>35559</v>
      </c>
      <c r="B2404" s="9">
        <v>1.9</v>
      </c>
      <c r="C2404" t="str">
        <f>IF(acs2015_county_data[[#This Row],[Unemployment]]&gt;='Описательные характеристики'!$I$5,"да","нет")</f>
        <v>нет</v>
      </c>
    </row>
    <row r="2405" spans="1:3" x14ac:dyDescent="0.35">
      <c r="A2405" s="6">
        <v>20912</v>
      </c>
      <c r="B2405" s="10">
        <v>7.4</v>
      </c>
      <c r="C2405" t="str">
        <f>IF(acs2015_county_data[[#This Row],[Unemployment]]&gt;='Описательные характеристики'!$I$5,"да","нет")</f>
        <v>нет</v>
      </c>
    </row>
    <row r="2406" spans="1:3" x14ac:dyDescent="0.35">
      <c r="A2406" s="4">
        <v>30086</v>
      </c>
      <c r="B2406" s="9">
        <v>2.1</v>
      </c>
      <c r="C2406" t="str">
        <f>IF(acs2015_county_data[[#This Row],[Unemployment]]&gt;='Описательные характеристики'!$I$5,"да","нет")</f>
        <v>нет</v>
      </c>
    </row>
    <row r="2407" spans="1:3" x14ac:dyDescent="0.35">
      <c r="A2407" s="6">
        <v>22263</v>
      </c>
      <c r="B2407" s="10">
        <v>6.7</v>
      </c>
      <c r="C2407" t="str">
        <f>IF(acs2015_county_data[[#This Row],[Unemployment]]&gt;='Описательные характеристики'!$I$5,"да","нет")</f>
        <v>нет</v>
      </c>
    </row>
    <row r="2408" spans="1:3" x14ac:dyDescent="0.35">
      <c r="A2408" s="4">
        <v>25161</v>
      </c>
      <c r="B2408" s="9">
        <v>0.7</v>
      </c>
      <c r="C2408" t="str">
        <f>IF(acs2015_county_data[[#This Row],[Unemployment]]&gt;='Описательные характеристики'!$I$5,"да","нет")</f>
        <v>нет</v>
      </c>
    </row>
    <row r="2409" spans="1:3" x14ac:dyDescent="0.35">
      <c r="A2409" s="6">
        <v>27123</v>
      </c>
      <c r="B2409" s="10">
        <v>2.2999999999999998</v>
      </c>
      <c r="C2409" t="str">
        <f>IF(acs2015_county_data[[#This Row],[Unemployment]]&gt;='Описательные характеристики'!$I$5,"да","нет")</f>
        <v>нет</v>
      </c>
    </row>
    <row r="2410" spans="1:3" x14ac:dyDescent="0.35">
      <c r="A2410" s="4">
        <v>14123</v>
      </c>
      <c r="B2410" s="9">
        <v>12</v>
      </c>
      <c r="C2410" t="str">
        <f>IF(acs2015_county_data[[#This Row],[Unemployment]]&gt;='Описательные характеристики'!$I$5,"да","нет")</f>
        <v>да</v>
      </c>
    </row>
    <row r="2411" spans="1:3" x14ac:dyDescent="0.35">
      <c r="A2411" s="6">
        <v>30204</v>
      </c>
      <c r="B2411" s="10">
        <v>4.0999999999999996</v>
      </c>
      <c r="C2411" t="str">
        <f>IF(acs2015_county_data[[#This Row],[Unemployment]]&gt;='Описательные характеристики'!$I$5,"да","нет")</f>
        <v>нет</v>
      </c>
    </row>
    <row r="2412" spans="1:3" x14ac:dyDescent="0.35">
      <c r="A2412" s="4">
        <v>27387</v>
      </c>
      <c r="B2412" s="9">
        <v>4.4000000000000004</v>
      </c>
      <c r="C2412" t="str">
        <f>IF(acs2015_county_data[[#This Row],[Unemployment]]&gt;='Описательные характеристики'!$I$5,"да","нет")</f>
        <v>нет</v>
      </c>
    </row>
    <row r="2413" spans="1:3" x14ac:dyDescent="0.35">
      <c r="A2413" s="6">
        <v>26918</v>
      </c>
      <c r="B2413" s="10">
        <v>6.1</v>
      </c>
      <c r="C2413" t="str">
        <f>IF(acs2015_county_data[[#This Row],[Unemployment]]&gt;='Описательные характеристики'!$I$5,"да","нет")</f>
        <v>нет</v>
      </c>
    </row>
    <row r="2414" spans="1:3" x14ac:dyDescent="0.35">
      <c r="A2414" s="4">
        <v>9150</v>
      </c>
      <c r="B2414" s="9">
        <v>28.7</v>
      </c>
      <c r="C2414" t="str">
        <f>IF(acs2015_county_data[[#This Row],[Unemployment]]&gt;='Описательные характеристики'!$I$5,"да","нет")</f>
        <v>да</v>
      </c>
    </row>
    <row r="2415" spans="1:3" x14ac:dyDescent="0.35">
      <c r="A2415" s="6">
        <v>27298</v>
      </c>
      <c r="B2415" s="10">
        <v>4.8</v>
      </c>
      <c r="C2415" t="str">
        <f>IF(acs2015_county_data[[#This Row],[Unemployment]]&gt;='Описательные характеристики'!$I$5,"да","нет")</f>
        <v>нет</v>
      </c>
    </row>
    <row r="2416" spans="1:3" x14ac:dyDescent="0.35">
      <c r="A2416" s="4">
        <v>27174</v>
      </c>
      <c r="B2416" s="9">
        <v>4.5</v>
      </c>
      <c r="C2416" t="str">
        <f>IF(acs2015_county_data[[#This Row],[Unemployment]]&gt;='Описательные характеристики'!$I$5,"да","нет")</f>
        <v>нет</v>
      </c>
    </row>
    <row r="2417" spans="1:3" x14ac:dyDescent="0.35">
      <c r="A2417" s="6">
        <v>29158</v>
      </c>
      <c r="B2417" s="10">
        <v>0.5</v>
      </c>
      <c r="C2417" t="str">
        <f>IF(acs2015_county_data[[#This Row],[Unemployment]]&gt;='Описательные характеристики'!$I$5,"да","нет")</f>
        <v>нет</v>
      </c>
    </row>
    <row r="2418" spans="1:3" x14ac:dyDescent="0.35">
      <c r="A2418" s="4">
        <v>23010</v>
      </c>
      <c r="B2418" s="9">
        <v>7.6</v>
      </c>
      <c r="C2418" t="str">
        <f>IF(acs2015_county_data[[#This Row],[Unemployment]]&gt;='Описательные характеристики'!$I$5,"да","нет")</f>
        <v>да</v>
      </c>
    </row>
    <row r="2419" spans="1:3" x14ac:dyDescent="0.35">
      <c r="A2419" s="6">
        <v>29952</v>
      </c>
      <c r="B2419" s="10">
        <v>3.4</v>
      </c>
      <c r="C2419" t="str">
        <f>IF(acs2015_county_data[[#This Row],[Unemployment]]&gt;='Описательные характеристики'!$I$5,"да","нет")</f>
        <v>нет</v>
      </c>
    </row>
    <row r="2420" spans="1:3" x14ac:dyDescent="0.35">
      <c r="A2420" s="4">
        <v>28165</v>
      </c>
      <c r="B2420" s="9">
        <v>1.1000000000000001</v>
      </c>
      <c r="C2420" t="str">
        <f>IF(acs2015_county_data[[#This Row],[Unemployment]]&gt;='Описательные характеристики'!$I$5,"да","нет")</f>
        <v>нет</v>
      </c>
    </row>
    <row r="2421" spans="1:3" x14ac:dyDescent="0.35">
      <c r="A2421" s="6">
        <v>30597</v>
      </c>
      <c r="B2421" s="10">
        <v>1.4</v>
      </c>
      <c r="C2421" t="str">
        <f>IF(acs2015_county_data[[#This Row],[Unemployment]]&gt;='Описательные характеристики'!$I$5,"да","нет")</f>
        <v>нет</v>
      </c>
    </row>
    <row r="2422" spans="1:3" x14ac:dyDescent="0.35">
      <c r="A2422" s="4">
        <v>37078</v>
      </c>
      <c r="B2422" s="9">
        <v>1.7</v>
      </c>
      <c r="C2422" t="str">
        <f>IF(acs2015_county_data[[#This Row],[Unemployment]]&gt;='Описательные характеристики'!$I$5,"да","нет")</f>
        <v>нет</v>
      </c>
    </row>
    <row r="2423" spans="1:3" x14ac:dyDescent="0.35">
      <c r="A2423" s="6">
        <v>11616</v>
      </c>
      <c r="B2423" s="10">
        <v>25.4</v>
      </c>
      <c r="C2423" t="str">
        <f>IF(acs2015_county_data[[#This Row],[Unemployment]]&gt;='Описательные характеристики'!$I$5,"да","нет")</f>
        <v>да</v>
      </c>
    </row>
    <row r="2424" spans="1:3" x14ac:dyDescent="0.35">
      <c r="A2424" s="4">
        <v>24560</v>
      </c>
      <c r="B2424" s="9">
        <v>2.1</v>
      </c>
      <c r="C2424" t="str">
        <f>IF(acs2015_county_data[[#This Row],[Unemployment]]&gt;='Описательные характеристики'!$I$5,"да","нет")</f>
        <v>нет</v>
      </c>
    </row>
    <row r="2425" spans="1:3" x14ac:dyDescent="0.35">
      <c r="A2425" s="6">
        <v>26958</v>
      </c>
      <c r="B2425" s="10">
        <v>2.5</v>
      </c>
      <c r="C2425" t="str">
        <f>IF(acs2015_county_data[[#This Row],[Unemployment]]&gt;='Описательные характеристики'!$I$5,"да","нет")</f>
        <v>нет</v>
      </c>
    </row>
    <row r="2426" spans="1:3" x14ac:dyDescent="0.35">
      <c r="A2426" s="4">
        <v>36730</v>
      </c>
      <c r="B2426" s="9">
        <v>2.9</v>
      </c>
      <c r="C2426" t="str">
        <f>IF(acs2015_county_data[[#This Row],[Unemployment]]&gt;='Описательные характеристики'!$I$5,"да","нет")</f>
        <v>нет</v>
      </c>
    </row>
    <row r="2427" spans="1:3" x14ac:dyDescent="0.35">
      <c r="A2427" s="6">
        <v>25553</v>
      </c>
      <c r="B2427" s="10">
        <v>5.8</v>
      </c>
      <c r="C2427" t="str">
        <f>IF(acs2015_county_data[[#This Row],[Unemployment]]&gt;='Описательные характеристики'!$I$5,"да","нет")</f>
        <v>нет</v>
      </c>
    </row>
    <row r="2428" spans="1:3" x14ac:dyDescent="0.35">
      <c r="A2428" s="4">
        <v>27044</v>
      </c>
      <c r="B2428" s="9">
        <v>3.6</v>
      </c>
      <c r="C2428" t="str">
        <f>IF(acs2015_county_data[[#This Row],[Unemployment]]&gt;='Описательные характеристики'!$I$5,"да","нет")</f>
        <v>нет</v>
      </c>
    </row>
    <row r="2429" spans="1:3" x14ac:dyDescent="0.35">
      <c r="A2429" s="6">
        <v>12877</v>
      </c>
      <c r="B2429" s="10">
        <v>27.4</v>
      </c>
      <c r="C2429" t="str">
        <f>IF(acs2015_county_data[[#This Row],[Unemployment]]&gt;='Описательные характеристики'!$I$5,"да","нет")</f>
        <v>да</v>
      </c>
    </row>
    <row r="2430" spans="1:3" x14ac:dyDescent="0.35">
      <c r="A2430" s="4">
        <v>25590</v>
      </c>
      <c r="B2430" s="9">
        <v>7.7</v>
      </c>
      <c r="C2430" t="str">
        <f>IF(acs2015_county_data[[#This Row],[Unemployment]]&gt;='Описательные характеристики'!$I$5,"да","нет")</f>
        <v>да</v>
      </c>
    </row>
    <row r="2431" spans="1:3" x14ac:dyDescent="0.35">
      <c r="A2431" s="6">
        <v>20390</v>
      </c>
      <c r="B2431" s="10">
        <v>7.7</v>
      </c>
      <c r="C2431" t="str">
        <f>IF(acs2015_county_data[[#This Row],[Unemployment]]&gt;='Описательные характеристики'!$I$5,"да","нет")</f>
        <v>да</v>
      </c>
    </row>
    <row r="2432" spans="1:3" x14ac:dyDescent="0.35">
      <c r="A2432" s="4">
        <v>19285</v>
      </c>
      <c r="B2432" s="9">
        <v>14.3</v>
      </c>
      <c r="C2432" t="str">
        <f>IF(acs2015_county_data[[#This Row],[Unemployment]]&gt;='Описательные характеристики'!$I$5,"да","нет")</f>
        <v>да</v>
      </c>
    </row>
    <row r="2433" spans="1:3" x14ac:dyDescent="0.35">
      <c r="A2433" s="6">
        <v>18061</v>
      </c>
      <c r="B2433" s="10">
        <v>9.6</v>
      </c>
      <c r="C2433" t="str">
        <f>IF(acs2015_county_data[[#This Row],[Unemployment]]&gt;='Описательные характеристики'!$I$5,"да","нет")</f>
        <v>да</v>
      </c>
    </row>
    <row r="2434" spans="1:3" x14ac:dyDescent="0.35">
      <c r="A2434" s="4">
        <v>25916</v>
      </c>
      <c r="B2434" s="9">
        <v>7.8</v>
      </c>
      <c r="C2434" t="str">
        <f>IF(acs2015_county_data[[#This Row],[Unemployment]]&gt;='Описательные характеристики'!$I$5,"да","нет")</f>
        <v>да</v>
      </c>
    </row>
    <row r="2435" spans="1:3" x14ac:dyDescent="0.35">
      <c r="A2435" s="6">
        <v>23336</v>
      </c>
      <c r="B2435" s="10">
        <v>11.2</v>
      </c>
      <c r="C2435" t="str">
        <f>IF(acs2015_county_data[[#This Row],[Unemployment]]&gt;='Описательные характеристики'!$I$5,"да","нет")</f>
        <v>да</v>
      </c>
    </row>
    <row r="2436" spans="1:3" x14ac:dyDescent="0.35">
      <c r="A2436" s="4">
        <v>18117</v>
      </c>
      <c r="B2436" s="9">
        <v>9.9</v>
      </c>
      <c r="C2436" t="str">
        <f>IF(acs2015_county_data[[#This Row],[Unemployment]]&gt;='Описательные характеристики'!$I$5,"да","нет")</f>
        <v>да</v>
      </c>
    </row>
    <row r="2437" spans="1:3" x14ac:dyDescent="0.35">
      <c r="A2437" s="6">
        <v>21897</v>
      </c>
      <c r="B2437" s="10">
        <v>12.9</v>
      </c>
      <c r="C2437" t="str">
        <f>IF(acs2015_county_data[[#This Row],[Unemployment]]&gt;='Описательные характеристики'!$I$5,"да","нет")</f>
        <v>да</v>
      </c>
    </row>
    <row r="2438" spans="1:3" x14ac:dyDescent="0.35">
      <c r="A2438" s="4">
        <v>19086</v>
      </c>
      <c r="B2438" s="9">
        <v>11.5</v>
      </c>
      <c r="C2438" t="str">
        <f>IF(acs2015_county_data[[#This Row],[Unemployment]]&gt;='Описательные характеристики'!$I$5,"да","нет")</f>
        <v>да</v>
      </c>
    </row>
    <row r="2439" spans="1:3" x14ac:dyDescent="0.35">
      <c r="A2439" s="6">
        <v>19166</v>
      </c>
      <c r="B2439" s="10">
        <v>8.1</v>
      </c>
      <c r="C2439" t="str">
        <f>IF(acs2015_county_data[[#This Row],[Unemployment]]&gt;='Описательные характеристики'!$I$5,"да","нет")</f>
        <v>да</v>
      </c>
    </row>
    <row r="2440" spans="1:3" x14ac:dyDescent="0.35">
      <c r="A2440" s="4">
        <v>23922</v>
      </c>
      <c r="B2440" s="9">
        <v>7.8</v>
      </c>
      <c r="C2440" t="str">
        <f>IF(acs2015_county_data[[#This Row],[Unemployment]]&gt;='Описательные характеристики'!$I$5,"да","нет")</f>
        <v>да</v>
      </c>
    </row>
    <row r="2441" spans="1:3" x14ac:dyDescent="0.35">
      <c r="A2441" s="6">
        <v>19440</v>
      </c>
      <c r="B2441" s="10">
        <v>13.5</v>
      </c>
      <c r="C2441" t="str">
        <f>IF(acs2015_county_data[[#This Row],[Unemployment]]&gt;='Описательные характеристики'!$I$5,"да","нет")</f>
        <v>да</v>
      </c>
    </row>
    <row r="2442" spans="1:3" x14ac:dyDescent="0.35">
      <c r="A2442" s="4">
        <v>18817</v>
      </c>
      <c r="B2442" s="9">
        <v>8.1999999999999993</v>
      </c>
      <c r="C2442" t="str">
        <f>IF(acs2015_county_data[[#This Row],[Unemployment]]&gt;='Описательные характеристики'!$I$5,"да","нет")</f>
        <v>да</v>
      </c>
    </row>
    <row r="2443" spans="1:3" x14ac:dyDescent="0.35">
      <c r="A2443" s="6">
        <v>16881</v>
      </c>
      <c r="B2443" s="10">
        <v>7.2</v>
      </c>
      <c r="C2443" t="str">
        <f>IF(acs2015_county_data[[#This Row],[Unemployment]]&gt;='Описательные характеристики'!$I$5,"да","нет")</f>
        <v>нет</v>
      </c>
    </row>
    <row r="2444" spans="1:3" x14ac:dyDescent="0.35">
      <c r="A2444" s="4">
        <v>18691</v>
      </c>
      <c r="B2444" s="9">
        <v>11.1</v>
      </c>
      <c r="C2444" t="str">
        <f>IF(acs2015_county_data[[#This Row],[Unemployment]]&gt;='Описательные характеристики'!$I$5,"да","нет")</f>
        <v>да</v>
      </c>
    </row>
    <row r="2445" spans="1:3" x14ac:dyDescent="0.35">
      <c r="A2445" s="6">
        <v>21680</v>
      </c>
      <c r="B2445" s="10">
        <v>8.8000000000000007</v>
      </c>
      <c r="C2445" t="str">
        <f>IF(acs2015_county_data[[#This Row],[Unemployment]]&gt;='Описательные характеристики'!$I$5,"да","нет")</f>
        <v>да</v>
      </c>
    </row>
    <row r="2446" spans="1:3" x14ac:dyDescent="0.35">
      <c r="A2446" s="4">
        <v>19178</v>
      </c>
      <c r="B2446" s="9">
        <v>7.4</v>
      </c>
      <c r="C2446" t="str">
        <f>IF(acs2015_county_data[[#This Row],[Unemployment]]&gt;='Описательные характеристики'!$I$5,"да","нет")</f>
        <v>нет</v>
      </c>
    </row>
    <row r="2447" spans="1:3" x14ac:dyDescent="0.35">
      <c r="A2447" s="6">
        <v>21770</v>
      </c>
      <c r="B2447" s="10">
        <v>9</v>
      </c>
      <c r="C2447" t="str">
        <f>IF(acs2015_county_data[[#This Row],[Unemployment]]&gt;='Описательные характеристики'!$I$5,"да","нет")</f>
        <v>да</v>
      </c>
    </row>
    <row r="2448" spans="1:3" x14ac:dyDescent="0.35">
      <c r="A2448" s="4">
        <v>29589</v>
      </c>
      <c r="B2448" s="9">
        <v>7.2</v>
      </c>
      <c r="C2448" t="str">
        <f>IF(acs2015_county_data[[#This Row],[Unemployment]]&gt;='Описательные характеристики'!$I$5,"да","нет")</f>
        <v>нет</v>
      </c>
    </row>
    <row r="2449" spans="1:3" x14ac:dyDescent="0.35">
      <c r="A2449" s="6">
        <v>23715</v>
      </c>
      <c r="B2449" s="10">
        <v>10.1</v>
      </c>
      <c r="C2449" t="str">
        <f>IF(acs2015_county_data[[#This Row],[Unemployment]]&gt;='Описательные характеристики'!$I$5,"да","нет")</f>
        <v>да</v>
      </c>
    </row>
    <row r="2450" spans="1:3" x14ac:dyDescent="0.35">
      <c r="A2450" s="4">
        <v>25573</v>
      </c>
      <c r="B2450" s="9">
        <v>7.6</v>
      </c>
      <c r="C2450" t="str">
        <f>IF(acs2015_county_data[[#This Row],[Unemployment]]&gt;='Описательные характеристики'!$I$5,"да","нет")</f>
        <v>да</v>
      </c>
    </row>
    <row r="2451" spans="1:3" x14ac:dyDescent="0.35">
      <c r="A2451" s="6">
        <v>22369</v>
      </c>
      <c r="B2451" s="10">
        <v>7.5</v>
      </c>
      <c r="C2451" t="str">
        <f>IF(acs2015_county_data[[#This Row],[Unemployment]]&gt;='Описательные характеристики'!$I$5,"да","нет")</f>
        <v>нет</v>
      </c>
    </row>
    <row r="2452" spans="1:3" x14ac:dyDescent="0.35">
      <c r="A2452" s="4">
        <v>23044</v>
      </c>
      <c r="B2452" s="9">
        <v>6.6</v>
      </c>
      <c r="C2452" t="str">
        <f>IF(acs2015_county_data[[#This Row],[Unemployment]]&gt;='Описательные характеристики'!$I$5,"да","нет")</f>
        <v>нет</v>
      </c>
    </row>
    <row r="2453" spans="1:3" x14ac:dyDescent="0.35">
      <c r="A2453" s="6">
        <v>29431</v>
      </c>
      <c r="B2453" s="10">
        <v>8.5</v>
      </c>
      <c r="C2453" t="str">
        <f>IF(acs2015_county_data[[#This Row],[Unemployment]]&gt;='Описательные характеристики'!$I$5,"да","нет")</f>
        <v>да</v>
      </c>
    </row>
    <row r="2454" spans="1:3" x14ac:dyDescent="0.35">
      <c r="A2454" s="4">
        <v>16539</v>
      </c>
      <c r="B2454" s="9">
        <v>10.4</v>
      </c>
      <c r="C2454" t="str">
        <f>IF(acs2015_county_data[[#This Row],[Unemployment]]&gt;='Описательные характеристики'!$I$5,"да","нет")</f>
        <v>да</v>
      </c>
    </row>
    <row r="2455" spans="1:3" x14ac:dyDescent="0.35">
      <c r="A2455" s="6">
        <v>22889</v>
      </c>
      <c r="B2455" s="10">
        <v>9.5</v>
      </c>
      <c r="C2455" t="str">
        <f>IF(acs2015_county_data[[#This Row],[Unemployment]]&gt;='Описательные характеристики'!$I$5,"да","нет")</f>
        <v>да</v>
      </c>
    </row>
    <row r="2456" spans="1:3" x14ac:dyDescent="0.35">
      <c r="A2456" s="4">
        <v>20704</v>
      </c>
      <c r="B2456" s="9">
        <v>9.5</v>
      </c>
      <c r="C2456" t="str">
        <f>IF(acs2015_county_data[[#This Row],[Unemployment]]&gt;='Описательные характеристики'!$I$5,"да","нет")</f>
        <v>да</v>
      </c>
    </row>
    <row r="2457" spans="1:3" x14ac:dyDescent="0.35">
      <c r="A2457" s="6">
        <v>20765</v>
      </c>
      <c r="B2457" s="10">
        <v>9.9</v>
      </c>
      <c r="C2457" t="str">
        <f>IF(acs2015_county_data[[#This Row],[Unemployment]]&gt;='Описательные характеристики'!$I$5,"да","нет")</f>
        <v>да</v>
      </c>
    </row>
    <row r="2458" spans="1:3" x14ac:dyDescent="0.35">
      <c r="A2458" s="4">
        <v>18974</v>
      </c>
      <c r="B2458" s="9">
        <v>9.5</v>
      </c>
      <c r="C2458" t="str">
        <f>IF(acs2015_county_data[[#This Row],[Unemployment]]&gt;='Описательные характеристики'!$I$5,"да","нет")</f>
        <v>да</v>
      </c>
    </row>
    <row r="2459" spans="1:3" x14ac:dyDescent="0.35">
      <c r="A2459" s="6">
        <v>20398</v>
      </c>
      <c r="B2459" s="10">
        <v>8.6999999999999993</v>
      </c>
      <c r="C2459" t="str">
        <f>IF(acs2015_county_data[[#This Row],[Unemployment]]&gt;='Описательные характеристики'!$I$5,"да","нет")</f>
        <v>да</v>
      </c>
    </row>
    <row r="2460" spans="1:3" x14ac:dyDescent="0.35">
      <c r="A2460" s="4">
        <v>16356</v>
      </c>
      <c r="B2460" s="9">
        <v>10.199999999999999</v>
      </c>
      <c r="C2460" t="str">
        <f>IF(acs2015_county_data[[#This Row],[Unemployment]]&gt;='Описательные характеристики'!$I$5,"да","нет")</f>
        <v>да</v>
      </c>
    </row>
    <row r="2461" spans="1:3" x14ac:dyDescent="0.35">
      <c r="A2461" s="6">
        <v>20246</v>
      </c>
      <c r="B2461" s="10">
        <v>10.1</v>
      </c>
      <c r="C2461" t="str">
        <f>IF(acs2015_county_data[[#This Row],[Unemployment]]&gt;='Описательные характеристики'!$I$5,"да","нет")</f>
        <v>да</v>
      </c>
    </row>
    <row r="2462" spans="1:3" x14ac:dyDescent="0.35">
      <c r="A2462" s="4">
        <v>27518</v>
      </c>
      <c r="B2462" s="9">
        <v>8</v>
      </c>
      <c r="C2462" t="str">
        <f>IF(acs2015_county_data[[#This Row],[Unemployment]]&gt;='Описательные характеристики'!$I$5,"да","нет")</f>
        <v>да</v>
      </c>
    </row>
    <row r="2463" spans="1:3" x14ac:dyDescent="0.35">
      <c r="A2463" s="6">
        <v>15169</v>
      </c>
      <c r="B2463" s="10">
        <v>12.1</v>
      </c>
      <c r="C2463" t="str">
        <f>IF(acs2015_county_data[[#This Row],[Unemployment]]&gt;='Описательные характеристики'!$I$5,"да","нет")</f>
        <v>да</v>
      </c>
    </row>
    <row r="2464" spans="1:3" x14ac:dyDescent="0.35">
      <c r="A2464" s="4">
        <v>15671</v>
      </c>
      <c r="B2464" s="9">
        <v>18.7</v>
      </c>
      <c r="C2464" t="str">
        <f>IF(acs2015_county_data[[#This Row],[Unemployment]]&gt;='Описательные характеристики'!$I$5,"да","нет")</f>
        <v>да</v>
      </c>
    </row>
    <row r="2465" spans="1:3" x14ac:dyDescent="0.35">
      <c r="A2465" s="6">
        <v>20740</v>
      </c>
      <c r="B2465" s="10">
        <v>13.9</v>
      </c>
      <c r="C2465" t="str">
        <f>IF(acs2015_county_data[[#This Row],[Unemployment]]&gt;='Описательные характеристики'!$I$5,"да","нет")</f>
        <v>да</v>
      </c>
    </row>
    <row r="2466" spans="1:3" x14ac:dyDescent="0.35">
      <c r="A2466" s="4">
        <v>20338</v>
      </c>
      <c r="B2466" s="9">
        <v>10</v>
      </c>
      <c r="C2466" t="str">
        <f>IF(acs2015_county_data[[#This Row],[Unemployment]]&gt;='Описательные характеристики'!$I$5,"да","нет")</f>
        <v>да</v>
      </c>
    </row>
    <row r="2467" spans="1:3" x14ac:dyDescent="0.35">
      <c r="A2467" s="6">
        <v>19027</v>
      </c>
      <c r="B2467" s="10">
        <v>10.5</v>
      </c>
      <c r="C2467" t="str">
        <f>IF(acs2015_county_data[[#This Row],[Unemployment]]&gt;='Описательные характеристики'!$I$5,"да","нет")</f>
        <v>да</v>
      </c>
    </row>
    <row r="2468" spans="1:3" x14ac:dyDescent="0.35">
      <c r="A2468" s="4">
        <v>19269</v>
      </c>
      <c r="B2468" s="9">
        <v>9.4</v>
      </c>
      <c r="C2468" t="str">
        <f>IF(acs2015_county_data[[#This Row],[Unemployment]]&gt;='Описательные характеристики'!$I$5,"да","нет")</f>
        <v>да</v>
      </c>
    </row>
    <row r="2469" spans="1:3" x14ac:dyDescent="0.35">
      <c r="A2469" s="6">
        <v>22207</v>
      </c>
      <c r="B2469" s="10">
        <v>9.6999999999999993</v>
      </c>
      <c r="C2469" t="str">
        <f>IF(acs2015_county_data[[#This Row],[Unemployment]]&gt;='Описательные характеристики'!$I$5,"да","нет")</f>
        <v>да</v>
      </c>
    </row>
    <row r="2470" spans="1:3" x14ac:dyDescent="0.35">
      <c r="A2470" s="4">
        <v>17957</v>
      </c>
      <c r="B2470" s="9">
        <v>8.6</v>
      </c>
      <c r="C2470" t="str">
        <f>IF(acs2015_county_data[[#This Row],[Unemployment]]&gt;='Описательные характеристики'!$I$5,"да","нет")</f>
        <v>да</v>
      </c>
    </row>
    <row r="2471" spans="1:3" x14ac:dyDescent="0.35">
      <c r="A2471" s="6">
        <v>18234</v>
      </c>
      <c r="B2471" s="10">
        <v>8.1</v>
      </c>
      <c r="C2471" t="str">
        <f>IF(acs2015_county_data[[#This Row],[Unemployment]]&gt;='Описательные характеристики'!$I$5,"да","нет")</f>
        <v>да</v>
      </c>
    </row>
    <row r="2472" spans="1:3" x14ac:dyDescent="0.35">
      <c r="A2472" s="4">
        <v>22329</v>
      </c>
      <c r="B2472" s="9">
        <v>8.9</v>
      </c>
      <c r="C2472" t="str">
        <f>IF(acs2015_county_data[[#This Row],[Unemployment]]&gt;='Описательные характеристики'!$I$5,"да","нет")</f>
        <v>да</v>
      </c>
    </row>
    <row r="2473" spans="1:3" x14ac:dyDescent="0.35">
      <c r="A2473" s="6">
        <v>17788</v>
      </c>
      <c r="B2473" s="10">
        <v>14.5</v>
      </c>
      <c r="C2473" t="str">
        <f>IF(acs2015_county_data[[#This Row],[Unemployment]]&gt;='Описательные характеристики'!$I$5,"да","нет")</f>
        <v>да</v>
      </c>
    </row>
    <row r="2474" spans="1:3" x14ac:dyDescent="0.35">
      <c r="A2474" s="4">
        <v>22383</v>
      </c>
      <c r="B2474" s="9">
        <v>9.1</v>
      </c>
      <c r="C2474" t="str">
        <f>IF(acs2015_county_data[[#This Row],[Unemployment]]&gt;='Описательные характеристики'!$I$5,"да","нет")</f>
        <v>да</v>
      </c>
    </row>
    <row r="2475" spans="1:3" x14ac:dyDescent="0.35">
      <c r="A2475" s="6">
        <v>16916</v>
      </c>
      <c r="B2475" s="10">
        <v>9</v>
      </c>
      <c r="C2475" t="str">
        <f>IF(acs2015_county_data[[#This Row],[Unemployment]]&gt;='Описательные характеристики'!$I$5,"да","нет")</f>
        <v>да</v>
      </c>
    </row>
    <row r="2476" spans="1:3" x14ac:dyDescent="0.35">
      <c r="A2476" s="4">
        <v>28337</v>
      </c>
      <c r="B2476" s="9">
        <v>6.5</v>
      </c>
      <c r="C2476" t="str">
        <f>IF(acs2015_county_data[[#This Row],[Unemployment]]&gt;='Описательные характеристики'!$I$5,"да","нет")</f>
        <v>нет</v>
      </c>
    </row>
    <row r="2477" spans="1:3" x14ac:dyDescent="0.35">
      <c r="A2477" s="6">
        <v>12810</v>
      </c>
      <c r="B2477" s="10">
        <v>10.1</v>
      </c>
      <c r="C2477" t="str">
        <f>IF(acs2015_county_data[[#This Row],[Unemployment]]&gt;='Описательные характеристики'!$I$5,"да","нет")</f>
        <v>да</v>
      </c>
    </row>
    <row r="2478" spans="1:3" x14ac:dyDescent="0.35">
      <c r="A2478" s="4">
        <v>15769</v>
      </c>
      <c r="B2478" s="9">
        <v>13.4</v>
      </c>
      <c r="C2478" t="str">
        <f>IF(acs2015_county_data[[#This Row],[Unemployment]]&gt;='Описательные характеристики'!$I$5,"да","нет")</f>
        <v>да</v>
      </c>
    </row>
    <row r="2479" spans="1:3" x14ac:dyDescent="0.35">
      <c r="A2479" s="6">
        <v>19214</v>
      </c>
      <c r="B2479" s="10">
        <v>10.8</v>
      </c>
      <c r="C2479" t="str">
        <f>IF(acs2015_county_data[[#This Row],[Unemployment]]&gt;='Описательные характеристики'!$I$5,"да","нет")</f>
        <v>да</v>
      </c>
    </row>
    <row r="2480" spans="1:3" x14ac:dyDescent="0.35">
      <c r="A2480" s="4">
        <v>18236</v>
      </c>
      <c r="B2480" s="9">
        <v>7.7</v>
      </c>
      <c r="C2480" t="str">
        <f>IF(acs2015_county_data[[#This Row],[Unemployment]]&gt;='Описательные характеристики'!$I$5,"да","нет")</f>
        <v>да</v>
      </c>
    </row>
    <row r="2481" spans="1:3" x14ac:dyDescent="0.35">
      <c r="A2481" s="6">
        <v>21655</v>
      </c>
      <c r="B2481" s="10">
        <v>7.6</v>
      </c>
      <c r="C2481" t="str">
        <f>IF(acs2015_county_data[[#This Row],[Unemployment]]&gt;='Описательные характеристики'!$I$5,"да","нет")</f>
        <v>да</v>
      </c>
    </row>
    <row r="2482" spans="1:3" x14ac:dyDescent="0.35">
      <c r="A2482" s="4">
        <v>27466</v>
      </c>
      <c r="B2482" s="9">
        <v>8.9</v>
      </c>
      <c r="C2482" t="str">
        <f>IF(acs2015_county_data[[#This Row],[Unemployment]]&gt;='Описательные характеристики'!$I$5,"да","нет")</f>
        <v>да</v>
      </c>
    </row>
    <row r="2483" spans="1:3" x14ac:dyDescent="0.35">
      <c r="A2483" s="6">
        <v>20215</v>
      </c>
      <c r="B2483" s="10">
        <v>9.3000000000000007</v>
      </c>
      <c r="C2483" t="str">
        <f>IF(acs2015_county_data[[#This Row],[Unemployment]]&gt;='Описательные характеристики'!$I$5,"да","нет")</f>
        <v>да</v>
      </c>
    </row>
    <row r="2484" spans="1:3" x14ac:dyDescent="0.35">
      <c r="A2484" s="4">
        <v>17751</v>
      </c>
      <c r="B2484" s="9">
        <v>14.9</v>
      </c>
      <c r="C2484" t="str">
        <f>IF(acs2015_county_data[[#This Row],[Unemployment]]&gt;='Описательные характеристики'!$I$5,"да","нет")</f>
        <v>да</v>
      </c>
    </row>
    <row r="2485" spans="1:3" x14ac:dyDescent="0.35">
      <c r="A2485" s="6">
        <v>17882</v>
      </c>
      <c r="B2485" s="10">
        <v>7.4</v>
      </c>
      <c r="C2485" t="str">
        <f>IF(acs2015_county_data[[#This Row],[Unemployment]]&gt;='Описательные характеристики'!$I$5,"да","нет")</f>
        <v>нет</v>
      </c>
    </row>
    <row r="2486" spans="1:3" x14ac:dyDescent="0.35">
      <c r="A2486" s="4">
        <v>23467</v>
      </c>
      <c r="B2486" s="9">
        <v>8.4</v>
      </c>
      <c r="C2486" t="str">
        <f>IF(acs2015_county_data[[#This Row],[Unemployment]]&gt;='Описательные характеристики'!$I$5,"да","нет")</f>
        <v>да</v>
      </c>
    </row>
    <row r="2487" spans="1:3" x14ac:dyDescent="0.35">
      <c r="A2487" s="6">
        <v>21784</v>
      </c>
      <c r="B2487" s="10">
        <v>6.7</v>
      </c>
      <c r="C2487" t="str">
        <f>IF(acs2015_county_data[[#This Row],[Unemployment]]&gt;='Описательные характеристики'!$I$5,"да","нет")</f>
        <v>нет</v>
      </c>
    </row>
    <row r="2488" spans="1:3" x14ac:dyDescent="0.35">
      <c r="A2488" s="4">
        <v>21962</v>
      </c>
      <c r="B2488" s="9">
        <v>8.4</v>
      </c>
      <c r="C2488" t="str">
        <f>IF(acs2015_county_data[[#This Row],[Unemployment]]&gt;='Описательные характеристики'!$I$5,"да","нет")</f>
        <v>да</v>
      </c>
    </row>
    <row r="2489" spans="1:3" x14ac:dyDescent="0.35">
      <c r="A2489" s="6">
        <v>24155</v>
      </c>
      <c r="B2489" s="10">
        <v>7.7</v>
      </c>
      <c r="C2489" t="str">
        <f>IF(acs2015_county_data[[#This Row],[Unemployment]]&gt;='Описательные характеристики'!$I$5,"да","нет")</f>
        <v>да</v>
      </c>
    </row>
    <row r="2490" spans="1:3" x14ac:dyDescent="0.35">
      <c r="A2490" s="4">
        <v>19212</v>
      </c>
      <c r="B2490" s="9">
        <v>15</v>
      </c>
      <c r="C2490" t="str">
        <f>IF(acs2015_county_data[[#This Row],[Unemployment]]&gt;='Описательные характеристики'!$I$5,"да","нет")</f>
        <v>да</v>
      </c>
    </row>
    <row r="2491" spans="1:3" x14ac:dyDescent="0.35">
      <c r="A2491" s="6">
        <v>19351</v>
      </c>
      <c r="B2491" s="10">
        <v>12.5</v>
      </c>
      <c r="C2491" t="str">
        <f>IF(acs2015_county_data[[#This Row],[Unemployment]]&gt;='Описательные характеристики'!$I$5,"да","нет")</f>
        <v>да</v>
      </c>
    </row>
    <row r="2492" spans="1:3" x14ac:dyDescent="0.35">
      <c r="A2492" s="4">
        <v>22916</v>
      </c>
      <c r="B2492" s="9">
        <v>9.6999999999999993</v>
      </c>
      <c r="C2492" t="str">
        <f>IF(acs2015_county_data[[#This Row],[Unemployment]]&gt;='Описательные характеристики'!$I$5,"да","нет")</f>
        <v>да</v>
      </c>
    </row>
    <row r="2493" spans="1:3" x14ac:dyDescent="0.35">
      <c r="A2493" s="6">
        <v>28841</v>
      </c>
      <c r="B2493" s="10">
        <v>6.5</v>
      </c>
      <c r="C2493" t="str">
        <f>IF(acs2015_county_data[[#This Row],[Unemployment]]&gt;='Описательные характеристики'!$I$5,"да","нет")</f>
        <v>нет</v>
      </c>
    </row>
    <row r="2494" spans="1:3" x14ac:dyDescent="0.35">
      <c r="A2494" s="4">
        <v>17646</v>
      </c>
      <c r="B2494" s="9">
        <v>8.5</v>
      </c>
      <c r="C2494" t="str">
        <f>IF(acs2015_county_data[[#This Row],[Unemployment]]&gt;='Описательные характеристики'!$I$5,"да","нет")</f>
        <v>да</v>
      </c>
    </row>
    <row r="2495" spans="1:3" x14ac:dyDescent="0.35">
      <c r="A2495" s="6">
        <v>21829</v>
      </c>
      <c r="B2495" s="10">
        <v>11.2</v>
      </c>
      <c r="C2495" t="str">
        <f>IF(acs2015_county_data[[#This Row],[Unemployment]]&gt;='Описательные характеристики'!$I$5,"да","нет")</f>
        <v>да</v>
      </c>
    </row>
    <row r="2496" spans="1:3" x14ac:dyDescent="0.35">
      <c r="A2496" s="4">
        <v>19244</v>
      </c>
      <c r="B2496" s="9">
        <v>7.7</v>
      </c>
      <c r="C2496" t="str">
        <f>IF(acs2015_county_data[[#This Row],[Unemployment]]&gt;='Описательные характеристики'!$I$5,"да","нет")</f>
        <v>да</v>
      </c>
    </row>
    <row r="2497" spans="1:3" x14ac:dyDescent="0.35">
      <c r="A2497" s="6">
        <v>18340</v>
      </c>
      <c r="B2497" s="10">
        <v>9.5</v>
      </c>
      <c r="C2497" t="str">
        <f>IF(acs2015_county_data[[#This Row],[Unemployment]]&gt;='Описательные характеристики'!$I$5,"да","нет")</f>
        <v>да</v>
      </c>
    </row>
    <row r="2498" spans="1:3" x14ac:dyDescent="0.35">
      <c r="A2498" s="4">
        <v>20526</v>
      </c>
      <c r="B2498" s="9">
        <v>4.9000000000000004</v>
      </c>
      <c r="C2498" t="str">
        <f>IF(acs2015_county_data[[#This Row],[Unemployment]]&gt;='Описательные характеристики'!$I$5,"да","нет")</f>
        <v>нет</v>
      </c>
    </row>
    <row r="2499" spans="1:3" x14ac:dyDescent="0.35">
      <c r="A2499" s="6">
        <v>21404</v>
      </c>
      <c r="B2499" s="10">
        <v>10.9</v>
      </c>
      <c r="C2499" t="str">
        <f>IF(acs2015_county_data[[#This Row],[Unemployment]]&gt;='Описательные характеристики'!$I$5,"да","нет")</f>
        <v>да</v>
      </c>
    </row>
    <row r="2500" spans="1:3" x14ac:dyDescent="0.35">
      <c r="A2500" s="4">
        <v>21835</v>
      </c>
      <c r="B2500" s="9">
        <v>8.4</v>
      </c>
      <c r="C2500" t="str">
        <f>IF(acs2015_county_data[[#This Row],[Unemployment]]&gt;='Описательные характеристики'!$I$5,"да","нет")</f>
        <v>да</v>
      </c>
    </row>
    <row r="2501" spans="1:3" x14ac:dyDescent="0.35">
      <c r="A2501" s="6">
        <v>19927</v>
      </c>
      <c r="B2501" s="10">
        <v>11.1</v>
      </c>
      <c r="C2501" t="str">
        <f>IF(acs2015_county_data[[#This Row],[Unemployment]]&gt;='Описательные характеристики'!$I$5,"да","нет")</f>
        <v>да</v>
      </c>
    </row>
    <row r="2502" spans="1:3" x14ac:dyDescent="0.35">
      <c r="A2502" s="4">
        <v>23287</v>
      </c>
      <c r="B2502" s="9">
        <v>9.8000000000000007</v>
      </c>
      <c r="C2502" t="str">
        <f>IF(acs2015_county_data[[#This Row],[Unemployment]]&gt;='Описательные характеристики'!$I$5,"да","нет")</f>
        <v>да</v>
      </c>
    </row>
    <row r="2503" spans="1:3" x14ac:dyDescent="0.35">
      <c r="A2503" s="6">
        <v>24340</v>
      </c>
      <c r="B2503" s="10">
        <v>8.4</v>
      </c>
      <c r="C2503" t="str">
        <f>IF(acs2015_county_data[[#This Row],[Unemployment]]&gt;='Описательные характеристики'!$I$5,"да","нет")</f>
        <v>да</v>
      </c>
    </row>
    <row r="2504" spans="1:3" x14ac:dyDescent="0.35">
      <c r="A2504" s="4">
        <v>25663</v>
      </c>
      <c r="B2504" s="9">
        <v>6.8</v>
      </c>
      <c r="C2504" t="str">
        <f>IF(acs2015_county_data[[#This Row],[Unemployment]]&gt;='Описательные характеристики'!$I$5,"да","нет")</f>
        <v>нет</v>
      </c>
    </row>
    <row r="2505" spans="1:3" x14ac:dyDescent="0.35">
      <c r="A2505" s="6">
        <v>18709</v>
      </c>
      <c r="B2505" s="10">
        <v>14.1</v>
      </c>
      <c r="C2505" t="str">
        <f>IF(acs2015_county_data[[#This Row],[Unemployment]]&gt;='Описательные характеристики'!$I$5,"да","нет")</f>
        <v>да</v>
      </c>
    </row>
    <row r="2506" spans="1:3" x14ac:dyDescent="0.35">
      <c r="A2506" s="4">
        <v>21818</v>
      </c>
      <c r="B2506" s="9">
        <v>9</v>
      </c>
      <c r="C2506" t="str">
        <f>IF(acs2015_county_data[[#This Row],[Unemployment]]&gt;='Описательные характеристики'!$I$5,"да","нет")</f>
        <v>да</v>
      </c>
    </row>
    <row r="2507" spans="1:3" x14ac:dyDescent="0.35">
      <c r="A2507" s="6">
        <v>22483</v>
      </c>
      <c r="B2507" s="10">
        <v>7.4</v>
      </c>
      <c r="C2507" t="str">
        <f>IF(acs2015_county_data[[#This Row],[Unemployment]]&gt;='Описательные характеристики'!$I$5,"да","нет")</f>
        <v>нет</v>
      </c>
    </row>
    <row r="2508" spans="1:3" x14ac:dyDescent="0.35">
      <c r="A2508" s="4">
        <v>26285</v>
      </c>
      <c r="B2508" s="9">
        <v>10.3</v>
      </c>
      <c r="C2508" t="str">
        <f>IF(acs2015_county_data[[#This Row],[Unemployment]]&gt;='Описательные характеристики'!$I$5,"да","нет")</f>
        <v>да</v>
      </c>
    </row>
    <row r="2509" spans="1:3" x14ac:dyDescent="0.35">
      <c r="A2509" s="6">
        <v>22854</v>
      </c>
      <c r="B2509" s="10">
        <v>5.2</v>
      </c>
      <c r="C2509" t="str">
        <f>IF(acs2015_county_data[[#This Row],[Unemployment]]&gt;='Описательные характеристики'!$I$5,"да","нет")</f>
        <v>нет</v>
      </c>
    </row>
    <row r="2510" spans="1:3" x14ac:dyDescent="0.35">
      <c r="A2510" s="4">
        <v>21475</v>
      </c>
      <c r="B2510" s="9">
        <v>10.1</v>
      </c>
      <c r="C2510" t="str">
        <f>IF(acs2015_county_data[[#This Row],[Unemployment]]&gt;='Описательные характеристики'!$I$5,"да","нет")</f>
        <v>да</v>
      </c>
    </row>
    <row r="2511" spans="1:3" x14ac:dyDescent="0.35">
      <c r="A2511" s="6">
        <v>24544</v>
      </c>
      <c r="B2511" s="10">
        <v>8.1999999999999993</v>
      </c>
      <c r="C2511" t="str">
        <f>IF(acs2015_county_data[[#This Row],[Unemployment]]&gt;='Описательные характеристики'!$I$5,"да","нет")</f>
        <v>да</v>
      </c>
    </row>
    <row r="2512" spans="1:3" x14ac:dyDescent="0.35">
      <c r="A2512" s="4">
        <v>28883</v>
      </c>
      <c r="B2512" s="9">
        <v>6</v>
      </c>
      <c r="C2512" t="str">
        <f>IF(acs2015_county_data[[#This Row],[Unemployment]]&gt;='Описательные характеристики'!$I$5,"да","нет")</f>
        <v>нет</v>
      </c>
    </row>
    <row r="2513" spans="1:3" x14ac:dyDescent="0.35">
      <c r="A2513" s="6">
        <v>23572</v>
      </c>
      <c r="B2513" s="10">
        <v>10.6</v>
      </c>
      <c r="C2513" t="str">
        <f>IF(acs2015_county_data[[#This Row],[Unemployment]]&gt;='Описательные характеристики'!$I$5,"да","нет")</f>
        <v>да</v>
      </c>
    </row>
    <row r="2514" spans="1:3" x14ac:dyDescent="0.35">
      <c r="A2514" s="4">
        <v>20937</v>
      </c>
      <c r="B2514" s="9">
        <v>10.5</v>
      </c>
      <c r="C2514" t="str">
        <f>IF(acs2015_county_data[[#This Row],[Unemployment]]&gt;='Описательные характеристики'!$I$5,"да","нет")</f>
        <v>да</v>
      </c>
    </row>
    <row r="2515" spans="1:3" x14ac:dyDescent="0.35">
      <c r="A2515" s="6">
        <v>20187</v>
      </c>
      <c r="B2515" s="10">
        <v>13.7</v>
      </c>
      <c r="C2515" t="str">
        <f>IF(acs2015_county_data[[#This Row],[Unemployment]]&gt;='Описательные характеристики'!$I$5,"да","нет")</f>
        <v>да</v>
      </c>
    </row>
    <row r="2516" spans="1:3" x14ac:dyDescent="0.35">
      <c r="A2516" s="4">
        <v>18654</v>
      </c>
      <c r="B2516" s="9">
        <v>9.5</v>
      </c>
      <c r="C2516" t="str">
        <f>IF(acs2015_county_data[[#This Row],[Unemployment]]&gt;='Описательные характеристики'!$I$5,"да","нет")</f>
        <v>да</v>
      </c>
    </row>
    <row r="2517" spans="1:3" x14ac:dyDescent="0.35">
      <c r="A2517" s="6">
        <v>20351</v>
      </c>
      <c r="B2517" s="10">
        <v>11.2</v>
      </c>
      <c r="C2517" t="str">
        <f>IF(acs2015_county_data[[#This Row],[Unemployment]]&gt;='Описательные характеристики'!$I$5,"да","нет")</f>
        <v>да</v>
      </c>
    </row>
    <row r="2518" spans="1:3" x14ac:dyDescent="0.35">
      <c r="A2518" s="4">
        <v>20534</v>
      </c>
      <c r="B2518" s="9">
        <v>8</v>
      </c>
      <c r="C2518" t="str">
        <f>IF(acs2015_county_data[[#This Row],[Unemployment]]&gt;='Описательные характеристики'!$I$5,"да","нет")</f>
        <v>да</v>
      </c>
    </row>
    <row r="2519" spans="1:3" x14ac:dyDescent="0.35">
      <c r="A2519" s="6">
        <v>26176</v>
      </c>
      <c r="B2519" s="10">
        <v>6.2</v>
      </c>
      <c r="C2519" t="str">
        <f>IF(acs2015_county_data[[#This Row],[Unemployment]]&gt;='Описательные характеристики'!$I$5,"да","нет")</f>
        <v>нет</v>
      </c>
    </row>
    <row r="2520" spans="1:3" x14ac:dyDescent="0.35">
      <c r="A2520" s="4">
        <v>16333</v>
      </c>
      <c r="B2520" s="9">
        <v>12.2</v>
      </c>
      <c r="C2520" t="str">
        <f>IF(acs2015_county_data[[#This Row],[Unemployment]]&gt;='Описательные характеристики'!$I$5,"да","нет")</f>
        <v>да</v>
      </c>
    </row>
    <row r="2521" spans="1:3" x14ac:dyDescent="0.35">
      <c r="A2521" s="6">
        <v>19694</v>
      </c>
      <c r="B2521" s="10">
        <v>11.2</v>
      </c>
      <c r="C2521" t="str">
        <f>IF(acs2015_county_data[[#This Row],[Unemployment]]&gt;='Описательные характеристики'!$I$5,"да","нет")</f>
        <v>да</v>
      </c>
    </row>
    <row r="2522" spans="1:3" x14ac:dyDescent="0.35">
      <c r="A2522" s="4">
        <v>17451</v>
      </c>
      <c r="B2522" s="9">
        <v>10.5</v>
      </c>
      <c r="C2522" t="str">
        <f>IF(acs2015_county_data[[#This Row],[Unemployment]]&gt;='Описательные характеристики'!$I$5,"да","нет")</f>
        <v>да</v>
      </c>
    </row>
    <row r="2523" spans="1:3" x14ac:dyDescent="0.35">
      <c r="A2523" s="6">
        <v>44671</v>
      </c>
      <c r="B2523" s="10">
        <v>4.2</v>
      </c>
      <c r="C2523" t="str">
        <f>IF(acs2015_county_data[[#This Row],[Unemployment]]&gt;='Описательные характеристики'!$I$5,"да","нет")</f>
        <v>нет</v>
      </c>
    </row>
    <row r="2524" spans="1:3" x14ac:dyDescent="0.35">
      <c r="A2524" s="4">
        <v>28994</v>
      </c>
      <c r="B2524" s="9">
        <v>6.5</v>
      </c>
      <c r="C2524" t="str">
        <f>IF(acs2015_county_data[[#This Row],[Unemployment]]&gt;='Описательные характеристики'!$I$5,"да","нет")</f>
        <v>нет</v>
      </c>
    </row>
    <row r="2525" spans="1:3" x14ac:dyDescent="0.35">
      <c r="A2525" s="6">
        <v>17876</v>
      </c>
      <c r="B2525" s="10">
        <v>4.3</v>
      </c>
      <c r="C2525" t="str">
        <f>IF(acs2015_county_data[[#This Row],[Unemployment]]&gt;='Описательные характеристики'!$I$5,"да","нет")</f>
        <v>нет</v>
      </c>
    </row>
    <row r="2526" spans="1:3" x14ac:dyDescent="0.35">
      <c r="A2526" s="4">
        <v>29423</v>
      </c>
      <c r="B2526" s="9">
        <v>3.9</v>
      </c>
      <c r="C2526" t="str">
        <f>IF(acs2015_county_data[[#This Row],[Unemployment]]&gt;='Описательные характеристики'!$I$5,"да","нет")</f>
        <v>нет</v>
      </c>
    </row>
    <row r="2527" spans="1:3" x14ac:dyDescent="0.35">
      <c r="A2527" s="6">
        <v>21688</v>
      </c>
      <c r="B2527" s="10">
        <v>9.1</v>
      </c>
      <c r="C2527" t="str">
        <f>IF(acs2015_county_data[[#This Row],[Unemployment]]&gt;='Описательные характеристики'!$I$5,"да","нет")</f>
        <v>да</v>
      </c>
    </row>
    <row r="2528" spans="1:3" x14ac:dyDescent="0.35">
      <c r="A2528" s="4">
        <v>28472</v>
      </c>
      <c r="B2528" s="9">
        <v>6.8</v>
      </c>
      <c r="C2528" t="str">
        <f>IF(acs2015_county_data[[#This Row],[Unemployment]]&gt;='Описательные характеристики'!$I$5,"да","нет")</f>
        <v>нет</v>
      </c>
    </row>
    <row r="2529" spans="1:3" x14ac:dyDescent="0.35">
      <c r="A2529" s="6">
        <v>29380</v>
      </c>
      <c r="B2529" s="10">
        <v>3</v>
      </c>
      <c r="C2529" t="str">
        <f>IF(acs2015_county_data[[#This Row],[Unemployment]]&gt;='Описательные характеристики'!$I$5,"да","нет")</f>
        <v>нет</v>
      </c>
    </row>
    <row r="2530" spans="1:3" x14ac:dyDescent="0.35">
      <c r="A2530" s="4">
        <v>28669</v>
      </c>
      <c r="B2530" s="9">
        <v>1.1000000000000001</v>
      </c>
      <c r="C2530" t="str">
        <f>IF(acs2015_county_data[[#This Row],[Unemployment]]&gt;='Описательные характеристики'!$I$5,"да","нет")</f>
        <v>нет</v>
      </c>
    </row>
    <row r="2531" spans="1:3" x14ac:dyDescent="0.35">
      <c r="A2531" s="6">
        <v>22493</v>
      </c>
      <c r="B2531" s="10">
        <v>6.5</v>
      </c>
      <c r="C2531" t="str">
        <f>IF(acs2015_county_data[[#This Row],[Unemployment]]&gt;='Описательные характеристики'!$I$5,"да","нет")</f>
        <v>нет</v>
      </c>
    </row>
    <row r="2532" spans="1:3" x14ac:dyDescent="0.35">
      <c r="A2532" s="4">
        <v>27658</v>
      </c>
      <c r="B2532" s="9">
        <v>6.2</v>
      </c>
      <c r="C2532" t="str">
        <f>IF(acs2015_county_data[[#This Row],[Unemployment]]&gt;='Описательные характеристики'!$I$5,"да","нет")</f>
        <v>нет</v>
      </c>
    </row>
    <row r="2533" spans="1:3" x14ac:dyDescent="0.35">
      <c r="A2533" s="6">
        <v>17007</v>
      </c>
      <c r="B2533" s="10">
        <v>4.3</v>
      </c>
      <c r="C2533" t="str">
        <f>IF(acs2015_county_data[[#This Row],[Unemployment]]&gt;='Описательные характеристики'!$I$5,"да","нет")</f>
        <v>нет</v>
      </c>
    </row>
    <row r="2534" spans="1:3" x14ac:dyDescent="0.35">
      <c r="A2534" s="4">
        <v>26663</v>
      </c>
      <c r="B2534" s="9">
        <v>4.8</v>
      </c>
      <c r="C2534" t="str">
        <f>IF(acs2015_county_data[[#This Row],[Unemployment]]&gt;='Описательные характеристики'!$I$5,"да","нет")</f>
        <v>нет</v>
      </c>
    </row>
    <row r="2535" spans="1:3" x14ac:dyDescent="0.35">
      <c r="A2535" s="6">
        <v>24812</v>
      </c>
      <c r="B2535" s="10">
        <v>9.8000000000000007</v>
      </c>
      <c r="C2535" t="str">
        <f>IF(acs2015_county_data[[#This Row],[Unemployment]]&gt;='Описательные характеристики'!$I$5,"да","нет")</f>
        <v>да</v>
      </c>
    </row>
    <row r="2536" spans="1:3" x14ac:dyDescent="0.35">
      <c r="A2536" s="4">
        <v>32907</v>
      </c>
      <c r="B2536" s="9">
        <v>1.4</v>
      </c>
      <c r="C2536" t="str">
        <f>IF(acs2015_county_data[[#This Row],[Unemployment]]&gt;='Описательные характеристики'!$I$5,"да","нет")</f>
        <v>нет</v>
      </c>
    </row>
    <row r="2537" spans="1:3" x14ac:dyDescent="0.35">
      <c r="A2537" s="6">
        <v>17209</v>
      </c>
      <c r="B2537" s="10">
        <v>7</v>
      </c>
      <c r="C2537" t="str">
        <f>IF(acs2015_county_data[[#This Row],[Unemployment]]&gt;='Описательные характеристики'!$I$5,"да","нет")</f>
        <v>нет</v>
      </c>
    </row>
    <row r="2538" spans="1:3" x14ac:dyDescent="0.35">
      <c r="A2538" s="4">
        <v>23535</v>
      </c>
      <c r="B2538" s="9">
        <v>9.5</v>
      </c>
      <c r="C2538" t="str">
        <f>IF(acs2015_county_data[[#This Row],[Unemployment]]&gt;='Описательные характеристики'!$I$5,"да","нет")</f>
        <v>да</v>
      </c>
    </row>
    <row r="2539" spans="1:3" x14ac:dyDescent="0.35">
      <c r="A2539" s="6">
        <v>24735</v>
      </c>
      <c r="B2539" s="10">
        <v>7.4</v>
      </c>
      <c r="C2539" t="str">
        <f>IF(acs2015_county_data[[#This Row],[Unemployment]]&gt;='Описательные характеристики'!$I$5,"да","нет")</f>
        <v>нет</v>
      </c>
    </row>
    <row r="2540" spans="1:3" x14ac:dyDescent="0.35">
      <c r="A2540" s="4">
        <v>29148</v>
      </c>
      <c r="B2540" s="9">
        <v>6.4</v>
      </c>
      <c r="C2540" t="str">
        <f>IF(acs2015_county_data[[#This Row],[Unemployment]]&gt;='Описательные характеристики'!$I$5,"да","нет")</f>
        <v>нет</v>
      </c>
    </row>
    <row r="2541" spans="1:3" x14ac:dyDescent="0.35">
      <c r="A2541" s="6">
        <v>44591</v>
      </c>
      <c r="B2541" s="10">
        <v>0.7</v>
      </c>
      <c r="C2541" t="str">
        <f>IF(acs2015_county_data[[#This Row],[Unemployment]]&gt;='Описательные характеристики'!$I$5,"да","нет")</f>
        <v>нет</v>
      </c>
    </row>
    <row r="2542" spans="1:3" x14ac:dyDescent="0.35">
      <c r="A2542" s="4">
        <v>24658</v>
      </c>
      <c r="B2542" s="9">
        <v>7.9</v>
      </c>
      <c r="C2542" t="str">
        <f>IF(acs2015_county_data[[#This Row],[Unemployment]]&gt;='Описательные характеристики'!$I$5,"да","нет")</f>
        <v>да</v>
      </c>
    </row>
    <row r="2543" spans="1:3" x14ac:dyDescent="0.35">
      <c r="A2543" s="6">
        <v>22685</v>
      </c>
      <c r="B2543" s="10">
        <v>8.5</v>
      </c>
      <c r="C2543" t="str">
        <f>IF(acs2015_county_data[[#This Row],[Unemployment]]&gt;='Описательные характеристики'!$I$5,"да","нет")</f>
        <v>да</v>
      </c>
    </row>
    <row r="2544" spans="1:3" x14ac:dyDescent="0.35">
      <c r="A2544" s="4">
        <v>30634</v>
      </c>
      <c r="B2544" s="9">
        <v>5.4</v>
      </c>
      <c r="C2544" t="str">
        <f>IF(acs2015_county_data[[#This Row],[Unemployment]]&gt;='Описательные характеристики'!$I$5,"да","нет")</f>
        <v>нет</v>
      </c>
    </row>
    <row r="2545" spans="1:3" x14ac:dyDescent="0.35">
      <c r="A2545" s="6">
        <v>22648</v>
      </c>
      <c r="B2545" s="10">
        <v>6.4</v>
      </c>
      <c r="C2545" t="str">
        <f>IF(acs2015_county_data[[#This Row],[Unemployment]]&gt;='Описательные характеристики'!$I$5,"да","нет")</f>
        <v>нет</v>
      </c>
    </row>
    <row r="2546" spans="1:3" x14ac:dyDescent="0.35">
      <c r="A2546" s="4">
        <v>27265</v>
      </c>
      <c r="B2546" s="9">
        <v>4.9000000000000004</v>
      </c>
      <c r="C2546" t="str">
        <f>IF(acs2015_county_data[[#This Row],[Unemployment]]&gt;='Описательные характеристики'!$I$5,"да","нет")</f>
        <v>нет</v>
      </c>
    </row>
    <row r="2547" spans="1:3" x14ac:dyDescent="0.35">
      <c r="A2547" s="6">
        <v>22323</v>
      </c>
      <c r="B2547" s="10">
        <v>4.7</v>
      </c>
      <c r="C2547" t="str">
        <f>IF(acs2015_county_data[[#This Row],[Unemployment]]&gt;='Описательные характеристики'!$I$5,"да","нет")</f>
        <v>нет</v>
      </c>
    </row>
    <row r="2548" spans="1:3" x14ac:dyDescent="0.35">
      <c r="A2548" s="4">
        <v>13179</v>
      </c>
      <c r="B2548" s="9">
        <v>19.8</v>
      </c>
      <c r="C2548" t="str">
        <f>IF(acs2015_county_data[[#This Row],[Unemployment]]&gt;='Описательные характеристики'!$I$5,"да","нет")</f>
        <v>да</v>
      </c>
    </row>
    <row r="2549" spans="1:3" x14ac:dyDescent="0.35">
      <c r="A2549" s="6">
        <v>21916</v>
      </c>
      <c r="B2549" s="10">
        <v>4.3</v>
      </c>
      <c r="C2549" t="str">
        <f>IF(acs2015_county_data[[#This Row],[Unemployment]]&gt;='Описательные характеристики'!$I$5,"да","нет")</f>
        <v>нет</v>
      </c>
    </row>
    <row r="2550" spans="1:3" x14ac:dyDescent="0.35">
      <c r="A2550" s="4">
        <v>24894</v>
      </c>
      <c r="B2550" s="9">
        <v>7.5</v>
      </c>
      <c r="C2550" t="str">
        <f>IF(acs2015_county_data[[#This Row],[Unemployment]]&gt;='Описательные характеристики'!$I$5,"да","нет")</f>
        <v>нет</v>
      </c>
    </row>
    <row r="2551" spans="1:3" x14ac:dyDescent="0.35">
      <c r="A2551" s="6">
        <v>26578</v>
      </c>
      <c r="B2551" s="10">
        <v>5.0999999999999996</v>
      </c>
      <c r="C2551" t="str">
        <f>IF(acs2015_county_data[[#This Row],[Unemployment]]&gt;='Описательные характеристики'!$I$5,"да","нет")</f>
        <v>нет</v>
      </c>
    </row>
    <row r="2552" spans="1:3" x14ac:dyDescent="0.35">
      <c r="A2552" s="4">
        <v>20667</v>
      </c>
      <c r="B2552" s="9">
        <v>5.2</v>
      </c>
      <c r="C2552" t="str">
        <f>IF(acs2015_county_data[[#This Row],[Unemployment]]&gt;='Описательные характеристики'!$I$5,"да","нет")</f>
        <v>нет</v>
      </c>
    </row>
    <row r="2553" spans="1:3" x14ac:dyDescent="0.35">
      <c r="A2553" s="6">
        <v>24372</v>
      </c>
      <c r="B2553" s="10">
        <v>7.2</v>
      </c>
      <c r="C2553" t="str">
        <f>IF(acs2015_county_data[[#This Row],[Unemployment]]&gt;='Описательные характеристики'!$I$5,"да","нет")</f>
        <v>нет</v>
      </c>
    </row>
    <row r="2554" spans="1:3" x14ac:dyDescent="0.35">
      <c r="A2554" s="4">
        <v>22387</v>
      </c>
      <c r="B2554" s="9">
        <v>5.4</v>
      </c>
      <c r="C2554" t="str">
        <f>IF(acs2015_county_data[[#This Row],[Unemployment]]&gt;='Описательные характеристики'!$I$5,"да","нет")</f>
        <v>нет</v>
      </c>
    </row>
    <row r="2555" spans="1:3" x14ac:dyDescent="0.35">
      <c r="A2555" s="6">
        <v>15105</v>
      </c>
      <c r="B2555" s="10">
        <v>10</v>
      </c>
      <c r="C2555" t="str">
        <f>IF(acs2015_county_data[[#This Row],[Unemployment]]&gt;='Описательные характеристики'!$I$5,"да","нет")</f>
        <v>да</v>
      </c>
    </row>
    <row r="2556" spans="1:3" x14ac:dyDescent="0.35">
      <c r="A2556" s="4">
        <v>19738</v>
      </c>
      <c r="B2556" s="9">
        <v>8.5</v>
      </c>
      <c r="C2556" t="str">
        <f>IF(acs2015_county_data[[#This Row],[Unemployment]]&gt;='Описательные характеристики'!$I$5,"да","нет")</f>
        <v>да</v>
      </c>
    </row>
    <row r="2557" spans="1:3" x14ac:dyDescent="0.35">
      <c r="A2557" s="6">
        <v>28400</v>
      </c>
      <c r="B2557" s="10">
        <v>1.7</v>
      </c>
      <c r="C2557" t="str">
        <f>IF(acs2015_county_data[[#This Row],[Unemployment]]&gt;='Описательные характеристики'!$I$5,"да","нет")</f>
        <v>нет</v>
      </c>
    </row>
    <row r="2558" spans="1:3" x14ac:dyDescent="0.35">
      <c r="A2558" s="4">
        <v>20991</v>
      </c>
      <c r="B2558" s="9">
        <v>9.1999999999999993</v>
      </c>
      <c r="C2558" t="str">
        <f>IF(acs2015_county_data[[#This Row],[Unemployment]]&gt;='Описательные характеристики'!$I$5,"да","нет")</f>
        <v>да</v>
      </c>
    </row>
    <row r="2559" spans="1:3" x14ac:dyDescent="0.35">
      <c r="A2559" s="6">
        <v>21068</v>
      </c>
      <c r="B2559" s="10">
        <v>4.7</v>
      </c>
      <c r="C2559" t="str">
        <f>IF(acs2015_county_data[[#This Row],[Unemployment]]&gt;='Описательные характеристики'!$I$5,"да","нет")</f>
        <v>нет</v>
      </c>
    </row>
    <row r="2560" spans="1:3" x14ac:dyDescent="0.35">
      <c r="A2560" s="4">
        <v>30572</v>
      </c>
      <c r="B2560" s="9">
        <v>7.8</v>
      </c>
      <c r="C2560" t="str">
        <f>IF(acs2015_county_data[[#This Row],[Unemployment]]&gt;='Описательные характеристики'!$I$5,"да","нет")</f>
        <v>да</v>
      </c>
    </row>
    <row r="2561" spans="1:3" x14ac:dyDescent="0.35">
      <c r="A2561" s="6">
        <v>19420</v>
      </c>
      <c r="B2561" s="10">
        <v>6.4</v>
      </c>
      <c r="C2561" t="str">
        <f>IF(acs2015_county_data[[#This Row],[Unemployment]]&gt;='Описательные характеристики'!$I$5,"да","нет")</f>
        <v>нет</v>
      </c>
    </row>
    <row r="2562" spans="1:3" x14ac:dyDescent="0.35">
      <c r="A2562" s="4">
        <v>19861</v>
      </c>
      <c r="B2562" s="9">
        <v>5.2</v>
      </c>
      <c r="C2562" t="str">
        <f>IF(acs2015_county_data[[#This Row],[Unemployment]]&gt;='Описательные характеристики'!$I$5,"да","нет")</f>
        <v>нет</v>
      </c>
    </row>
    <row r="2563" spans="1:3" x14ac:dyDescent="0.35">
      <c r="A2563" s="6">
        <v>26339</v>
      </c>
      <c r="B2563" s="10">
        <v>6.8</v>
      </c>
      <c r="C2563" t="str">
        <f>IF(acs2015_county_data[[#This Row],[Unemployment]]&gt;='Описательные характеристики'!$I$5,"да","нет")</f>
        <v>нет</v>
      </c>
    </row>
    <row r="2564" spans="1:3" x14ac:dyDescent="0.35">
      <c r="A2564" s="4">
        <v>18968</v>
      </c>
      <c r="B2564" s="9">
        <v>8.5</v>
      </c>
      <c r="C2564" t="str">
        <f>IF(acs2015_county_data[[#This Row],[Unemployment]]&gt;='Описательные характеристики'!$I$5,"да","нет")</f>
        <v>да</v>
      </c>
    </row>
    <row r="2565" spans="1:3" x14ac:dyDescent="0.35">
      <c r="A2565" s="6">
        <v>29355</v>
      </c>
      <c r="B2565" s="10">
        <v>3.1</v>
      </c>
      <c r="C2565" t="str">
        <f>IF(acs2015_county_data[[#This Row],[Unemployment]]&gt;='Описательные характеристики'!$I$5,"да","нет")</f>
        <v>нет</v>
      </c>
    </row>
    <row r="2566" spans="1:3" x14ac:dyDescent="0.35">
      <c r="A2566" s="4">
        <v>20085</v>
      </c>
      <c r="B2566" s="9">
        <v>8.1999999999999993</v>
      </c>
      <c r="C2566" t="str">
        <f>IF(acs2015_county_data[[#This Row],[Unemployment]]&gt;='Описательные характеристики'!$I$5,"да","нет")</f>
        <v>да</v>
      </c>
    </row>
    <row r="2567" spans="1:3" x14ac:dyDescent="0.35">
      <c r="A2567" s="6">
        <v>38883</v>
      </c>
      <c r="B2567" s="10">
        <v>4.9000000000000004</v>
      </c>
      <c r="C2567" t="str">
        <f>IF(acs2015_county_data[[#This Row],[Unemployment]]&gt;='Описательные характеристики'!$I$5,"да","нет")</f>
        <v>нет</v>
      </c>
    </row>
    <row r="2568" spans="1:3" x14ac:dyDescent="0.35">
      <c r="A2568" s="4">
        <v>20269</v>
      </c>
      <c r="B2568" s="9">
        <v>5.2</v>
      </c>
      <c r="C2568" t="str">
        <f>IF(acs2015_county_data[[#This Row],[Unemployment]]&gt;='Описательные характеристики'!$I$5,"да","нет")</f>
        <v>нет</v>
      </c>
    </row>
    <row r="2569" spans="1:3" x14ac:dyDescent="0.35">
      <c r="A2569" s="6">
        <v>25578</v>
      </c>
      <c r="B2569" s="10">
        <v>4.2</v>
      </c>
      <c r="C2569" t="str">
        <f>IF(acs2015_county_data[[#This Row],[Unemployment]]&gt;='Описательные характеристики'!$I$5,"да","нет")</f>
        <v>нет</v>
      </c>
    </row>
    <row r="2570" spans="1:3" x14ac:dyDescent="0.35">
      <c r="A2570" s="4">
        <v>32838</v>
      </c>
      <c r="B2570" s="9">
        <v>4.9000000000000004</v>
      </c>
      <c r="C2570" t="str">
        <f>IF(acs2015_county_data[[#This Row],[Unemployment]]&gt;='Описательные характеристики'!$I$5,"да","нет")</f>
        <v>нет</v>
      </c>
    </row>
    <row r="2571" spans="1:3" x14ac:dyDescent="0.35">
      <c r="A2571" s="6">
        <v>19743</v>
      </c>
      <c r="B2571" s="10">
        <v>4.5</v>
      </c>
      <c r="C2571" t="str">
        <f>IF(acs2015_county_data[[#This Row],[Unemployment]]&gt;='Описательные характеристики'!$I$5,"да","нет")</f>
        <v>нет</v>
      </c>
    </row>
    <row r="2572" spans="1:3" x14ac:dyDescent="0.35">
      <c r="A2572" s="4">
        <v>15820</v>
      </c>
      <c r="B2572" s="9">
        <v>2.8</v>
      </c>
      <c r="C2572" t="str">
        <f>IF(acs2015_county_data[[#This Row],[Unemployment]]&gt;='Описательные характеристики'!$I$5,"да","нет")</f>
        <v>нет</v>
      </c>
    </row>
    <row r="2573" spans="1:3" x14ac:dyDescent="0.35">
      <c r="A2573" s="6">
        <v>26742</v>
      </c>
      <c r="B2573" s="10">
        <v>7</v>
      </c>
      <c r="C2573" t="str">
        <f>IF(acs2015_county_data[[#This Row],[Unemployment]]&gt;='Описательные характеристики'!$I$5,"да","нет")</f>
        <v>нет</v>
      </c>
    </row>
    <row r="2574" spans="1:3" x14ac:dyDescent="0.35">
      <c r="A2574" s="4">
        <v>19760</v>
      </c>
      <c r="B2574" s="9">
        <v>9.5</v>
      </c>
      <c r="C2574" t="str">
        <f>IF(acs2015_county_data[[#This Row],[Unemployment]]&gt;='Описательные характеристики'!$I$5,"да","нет")</f>
        <v>да</v>
      </c>
    </row>
    <row r="2575" spans="1:3" x14ac:dyDescent="0.35">
      <c r="A2575" s="6">
        <v>18926</v>
      </c>
      <c r="B2575" s="10">
        <v>7.5</v>
      </c>
      <c r="C2575" t="str">
        <f>IF(acs2015_county_data[[#This Row],[Unemployment]]&gt;='Описательные характеристики'!$I$5,"да","нет")</f>
        <v>нет</v>
      </c>
    </row>
    <row r="2576" spans="1:3" x14ac:dyDescent="0.35">
      <c r="A2576" s="4">
        <v>23808</v>
      </c>
      <c r="B2576" s="9">
        <v>5.2</v>
      </c>
      <c r="C2576" t="str">
        <f>IF(acs2015_county_data[[#This Row],[Unemployment]]&gt;='Описательные характеристики'!$I$5,"да","нет")</f>
        <v>нет</v>
      </c>
    </row>
    <row r="2577" spans="1:3" x14ac:dyDescent="0.35">
      <c r="A2577" s="6">
        <v>26675</v>
      </c>
      <c r="B2577" s="10">
        <v>1.8</v>
      </c>
      <c r="C2577" t="str">
        <f>IF(acs2015_county_data[[#This Row],[Unemployment]]&gt;='Описательные характеристики'!$I$5,"да","нет")</f>
        <v>нет</v>
      </c>
    </row>
    <row r="2578" spans="1:3" x14ac:dyDescent="0.35">
      <c r="A2578" s="4">
        <v>18692</v>
      </c>
      <c r="B2578" s="9">
        <v>10</v>
      </c>
      <c r="C2578" t="str">
        <f>IF(acs2015_county_data[[#This Row],[Unemployment]]&gt;='Описательные характеристики'!$I$5,"да","нет")</f>
        <v>да</v>
      </c>
    </row>
    <row r="2579" spans="1:3" x14ac:dyDescent="0.35">
      <c r="A2579" s="6">
        <v>17340</v>
      </c>
      <c r="B2579" s="10">
        <v>6.5</v>
      </c>
      <c r="C2579" t="str">
        <f>IF(acs2015_county_data[[#This Row],[Unemployment]]&gt;='Описательные характеристики'!$I$5,"да","нет")</f>
        <v>нет</v>
      </c>
    </row>
    <row r="2580" spans="1:3" x14ac:dyDescent="0.35">
      <c r="A2580" s="4">
        <v>19997</v>
      </c>
      <c r="B2580" s="9">
        <v>5.6</v>
      </c>
      <c r="C2580" t="str">
        <f>IF(acs2015_county_data[[#This Row],[Unemployment]]&gt;='Описательные характеристики'!$I$5,"да","нет")</f>
        <v>нет</v>
      </c>
    </row>
    <row r="2581" spans="1:3" x14ac:dyDescent="0.35">
      <c r="A2581" s="6">
        <v>27605</v>
      </c>
      <c r="B2581" s="10">
        <v>7.6</v>
      </c>
      <c r="C2581" t="str">
        <f>IF(acs2015_county_data[[#This Row],[Unemployment]]&gt;='Описательные характеристики'!$I$5,"да","нет")</f>
        <v>да</v>
      </c>
    </row>
    <row r="2582" spans="1:3" x14ac:dyDescent="0.35">
      <c r="A2582" s="4">
        <v>19889</v>
      </c>
      <c r="B2582" s="9">
        <v>9.5</v>
      </c>
      <c r="C2582" t="str">
        <f>IF(acs2015_county_data[[#This Row],[Unemployment]]&gt;='Описательные характеристики'!$I$5,"да","нет")</f>
        <v>да</v>
      </c>
    </row>
    <row r="2583" spans="1:3" x14ac:dyDescent="0.35">
      <c r="A2583" s="6">
        <v>18846</v>
      </c>
      <c r="B2583" s="10">
        <v>5.4</v>
      </c>
      <c r="C2583" t="str">
        <f>IF(acs2015_county_data[[#This Row],[Unemployment]]&gt;='Описательные характеристики'!$I$5,"да","нет")</f>
        <v>нет</v>
      </c>
    </row>
    <row r="2584" spans="1:3" x14ac:dyDescent="0.35">
      <c r="A2584" s="4">
        <v>20704</v>
      </c>
      <c r="B2584" s="9">
        <v>13.6</v>
      </c>
      <c r="C2584" t="str">
        <f>IF(acs2015_county_data[[#This Row],[Unemployment]]&gt;='Описательные характеристики'!$I$5,"да","нет")</f>
        <v>да</v>
      </c>
    </row>
    <row r="2585" spans="1:3" x14ac:dyDescent="0.35">
      <c r="A2585" s="6">
        <v>34914</v>
      </c>
      <c r="B2585" s="10">
        <v>5.7</v>
      </c>
      <c r="C2585" t="str">
        <f>IF(acs2015_county_data[[#This Row],[Unemployment]]&gt;='Описательные характеристики'!$I$5,"да","нет")</f>
        <v>нет</v>
      </c>
    </row>
    <row r="2586" spans="1:3" x14ac:dyDescent="0.35">
      <c r="A2586" s="4">
        <v>28418</v>
      </c>
      <c r="B2586" s="9">
        <v>6.8</v>
      </c>
      <c r="C2586" t="str">
        <f>IF(acs2015_county_data[[#This Row],[Unemployment]]&gt;='Описательные характеристики'!$I$5,"да","нет")</f>
        <v>нет</v>
      </c>
    </row>
    <row r="2587" spans="1:3" x14ac:dyDescent="0.35">
      <c r="A2587" s="6">
        <v>20659</v>
      </c>
      <c r="B2587" s="10">
        <v>13.6</v>
      </c>
      <c r="C2587" t="str">
        <f>IF(acs2015_county_data[[#This Row],[Unemployment]]&gt;='Описательные характеристики'!$I$5,"да","нет")</f>
        <v>да</v>
      </c>
    </row>
    <row r="2588" spans="1:3" x14ac:dyDescent="0.35">
      <c r="A2588" s="4">
        <v>21174</v>
      </c>
      <c r="B2588" s="9">
        <v>10.3</v>
      </c>
      <c r="C2588" t="str">
        <f>IF(acs2015_county_data[[#This Row],[Unemployment]]&gt;='Описательные характеристики'!$I$5,"да","нет")</f>
        <v>да</v>
      </c>
    </row>
    <row r="2589" spans="1:3" x14ac:dyDescent="0.35">
      <c r="A2589" s="6">
        <v>20204</v>
      </c>
      <c r="B2589" s="10">
        <v>3.9</v>
      </c>
      <c r="C2589" t="str">
        <f>IF(acs2015_county_data[[#This Row],[Unemployment]]&gt;='Описательные характеристики'!$I$5,"да","нет")</f>
        <v>нет</v>
      </c>
    </row>
    <row r="2590" spans="1:3" x14ac:dyDescent="0.35">
      <c r="A2590" s="4">
        <v>20752</v>
      </c>
      <c r="B2590" s="9">
        <v>10.9</v>
      </c>
      <c r="C2590" t="str">
        <f>IF(acs2015_county_data[[#This Row],[Unemployment]]&gt;='Описательные характеристики'!$I$5,"да","нет")</f>
        <v>да</v>
      </c>
    </row>
    <row r="2591" spans="1:3" x14ac:dyDescent="0.35">
      <c r="A2591" s="6">
        <v>22135</v>
      </c>
      <c r="B2591" s="10">
        <v>4.4000000000000004</v>
      </c>
      <c r="C2591" t="str">
        <f>IF(acs2015_county_data[[#This Row],[Unemployment]]&gt;='Описательные характеристики'!$I$5,"да","нет")</f>
        <v>нет</v>
      </c>
    </row>
    <row r="2592" spans="1:3" x14ac:dyDescent="0.35">
      <c r="A2592" s="4">
        <v>26135</v>
      </c>
      <c r="B2592" s="9">
        <v>5.2</v>
      </c>
      <c r="C2592" t="str">
        <f>IF(acs2015_county_data[[#This Row],[Unemployment]]&gt;='Описательные характеристики'!$I$5,"да","нет")</f>
        <v>нет</v>
      </c>
    </row>
    <row r="2593" spans="1:3" x14ac:dyDescent="0.35">
      <c r="A2593" s="6">
        <v>27893</v>
      </c>
      <c r="B2593" s="10">
        <v>4.9000000000000004</v>
      </c>
      <c r="C2593" t="str">
        <f>IF(acs2015_county_data[[#This Row],[Unemployment]]&gt;='Описательные характеристики'!$I$5,"да","нет")</f>
        <v>нет</v>
      </c>
    </row>
    <row r="2594" spans="1:3" x14ac:dyDescent="0.35">
      <c r="A2594" s="4">
        <v>26357</v>
      </c>
      <c r="B2594" s="9">
        <v>6.5</v>
      </c>
      <c r="C2594" t="str">
        <f>IF(acs2015_county_data[[#This Row],[Unemployment]]&gt;='Описательные характеристики'!$I$5,"да","нет")</f>
        <v>нет</v>
      </c>
    </row>
    <row r="2595" spans="1:3" x14ac:dyDescent="0.35">
      <c r="A2595" s="6">
        <v>18880</v>
      </c>
      <c r="B2595" s="10">
        <v>8.4</v>
      </c>
      <c r="C2595" t="str">
        <f>IF(acs2015_county_data[[#This Row],[Unemployment]]&gt;='Описательные характеристики'!$I$5,"да","нет")</f>
        <v>да</v>
      </c>
    </row>
    <row r="2596" spans="1:3" x14ac:dyDescent="0.35">
      <c r="A2596" s="4">
        <v>21903</v>
      </c>
      <c r="B2596" s="9">
        <v>4.0999999999999996</v>
      </c>
      <c r="C2596" t="str">
        <f>IF(acs2015_county_data[[#This Row],[Unemployment]]&gt;='Описательные характеристики'!$I$5,"да","нет")</f>
        <v>нет</v>
      </c>
    </row>
    <row r="2597" spans="1:3" x14ac:dyDescent="0.35">
      <c r="A2597" s="6">
        <v>16739</v>
      </c>
      <c r="B2597" s="10">
        <v>7.2</v>
      </c>
      <c r="C2597" t="str">
        <f>IF(acs2015_county_data[[#This Row],[Unemployment]]&gt;='Описательные характеристики'!$I$5,"да","нет")</f>
        <v>нет</v>
      </c>
    </row>
    <row r="2598" spans="1:3" x14ac:dyDescent="0.35">
      <c r="A2598" s="4">
        <v>20545</v>
      </c>
      <c r="B2598" s="9">
        <v>6.7</v>
      </c>
      <c r="C2598" t="str">
        <f>IF(acs2015_county_data[[#This Row],[Unemployment]]&gt;='Описательные характеристики'!$I$5,"да","нет")</f>
        <v>нет</v>
      </c>
    </row>
    <row r="2599" spans="1:3" x14ac:dyDescent="0.35">
      <c r="A2599" s="6">
        <v>28458</v>
      </c>
      <c r="B2599" s="10">
        <v>1.8</v>
      </c>
      <c r="C2599" t="str">
        <f>IF(acs2015_county_data[[#This Row],[Unemployment]]&gt;='Описательные характеристики'!$I$5,"да","нет")</f>
        <v>нет</v>
      </c>
    </row>
    <row r="2600" spans="1:3" x14ac:dyDescent="0.35">
      <c r="A2600" s="4">
        <v>26855</v>
      </c>
      <c r="B2600" s="9">
        <v>7.2</v>
      </c>
      <c r="C2600" t="str">
        <f>IF(acs2015_county_data[[#This Row],[Unemployment]]&gt;='Описательные характеристики'!$I$5,"да","нет")</f>
        <v>нет</v>
      </c>
    </row>
    <row r="2601" spans="1:3" x14ac:dyDescent="0.35">
      <c r="A2601" s="6">
        <v>22195</v>
      </c>
      <c r="B2601" s="10">
        <v>8</v>
      </c>
      <c r="C2601" t="str">
        <f>IF(acs2015_county_data[[#This Row],[Unemployment]]&gt;='Описательные характеристики'!$I$5,"да","нет")</f>
        <v>да</v>
      </c>
    </row>
    <row r="2602" spans="1:3" x14ac:dyDescent="0.35">
      <c r="A2602" s="4">
        <v>22871</v>
      </c>
      <c r="B2602" s="9">
        <v>9.6999999999999993</v>
      </c>
      <c r="C2602" t="str">
        <f>IF(acs2015_county_data[[#This Row],[Unemployment]]&gt;='Описательные характеристики'!$I$5,"да","нет")</f>
        <v>да</v>
      </c>
    </row>
    <row r="2603" spans="1:3" x14ac:dyDescent="0.35">
      <c r="A2603" s="6">
        <v>35962</v>
      </c>
      <c r="B2603" s="10">
        <v>5.0999999999999996</v>
      </c>
      <c r="C2603" t="str">
        <f>IF(acs2015_county_data[[#This Row],[Unemployment]]&gt;='Описательные характеристики'!$I$5,"да","нет")</f>
        <v>нет</v>
      </c>
    </row>
    <row r="2604" spans="1:3" x14ac:dyDescent="0.35">
      <c r="A2604" s="4">
        <v>26653</v>
      </c>
      <c r="B2604" s="9">
        <v>6.6</v>
      </c>
      <c r="C2604" t="str">
        <f>IF(acs2015_county_data[[#This Row],[Unemployment]]&gt;='Описательные характеристики'!$I$5,"да","нет")</f>
        <v>нет</v>
      </c>
    </row>
    <row r="2605" spans="1:3" x14ac:dyDescent="0.35">
      <c r="A2605" s="6">
        <v>24087</v>
      </c>
      <c r="B2605" s="10">
        <v>4.9000000000000004</v>
      </c>
      <c r="C2605" t="str">
        <f>IF(acs2015_county_data[[#This Row],[Unemployment]]&gt;='Описательные характеристики'!$I$5,"да","нет")</f>
        <v>нет</v>
      </c>
    </row>
    <row r="2606" spans="1:3" x14ac:dyDescent="0.35">
      <c r="A2606" s="4">
        <v>17017</v>
      </c>
      <c r="B2606" s="9">
        <v>5.2</v>
      </c>
      <c r="C2606" t="str">
        <f>IF(acs2015_county_data[[#This Row],[Unemployment]]&gt;='Описательные характеристики'!$I$5,"да","нет")</f>
        <v>нет</v>
      </c>
    </row>
    <row r="2607" spans="1:3" x14ac:dyDescent="0.35">
      <c r="A2607" s="6">
        <v>22744</v>
      </c>
      <c r="B2607" s="10">
        <v>4</v>
      </c>
      <c r="C2607" t="str">
        <f>IF(acs2015_county_data[[#This Row],[Unemployment]]&gt;='Описательные характеристики'!$I$5,"да","нет")</f>
        <v>нет</v>
      </c>
    </row>
    <row r="2608" spans="1:3" x14ac:dyDescent="0.35">
      <c r="A2608" s="4">
        <v>31585</v>
      </c>
      <c r="B2608" s="9">
        <v>7.5</v>
      </c>
      <c r="C2608" t="str">
        <f>IF(acs2015_county_data[[#This Row],[Unemployment]]&gt;='Описательные характеристики'!$I$5,"да","нет")</f>
        <v>нет</v>
      </c>
    </row>
    <row r="2609" spans="1:3" x14ac:dyDescent="0.35">
      <c r="A2609" s="6">
        <v>18125</v>
      </c>
      <c r="B2609" s="10">
        <v>2</v>
      </c>
      <c r="C2609" t="str">
        <f>IF(acs2015_county_data[[#This Row],[Unemployment]]&gt;='Описательные характеристики'!$I$5,"да","нет")</f>
        <v>нет</v>
      </c>
    </row>
    <row r="2610" spans="1:3" x14ac:dyDescent="0.35">
      <c r="A2610" s="4">
        <v>30859</v>
      </c>
      <c r="B2610" s="9">
        <v>6.8</v>
      </c>
      <c r="C2610" t="str">
        <f>IF(acs2015_county_data[[#This Row],[Unemployment]]&gt;='Описательные характеристики'!$I$5,"да","нет")</f>
        <v>нет</v>
      </c>
    </row>
    <row r="2611" spans="1:3" x14ac:dyDescent="0.35">
      <c r="A2611" s="6">
        <v>35054</v>
      </c>
      <c r="B2611" s="10">
        <v>2.5</v>
      </c>
      <c r="C2611" t="str">
        <f>IF(acs2015_county_data[[#This Row],[Unemployment]]&gt;='Описательные характеристики'!$I$5,"да","нет")</f>
        <v>нет</v>
      </c>
    </row>
    <row r="2612" spans="1:3" x14ac:dyDescent="0.35">
      <c r="A2612" s="4">
        <v>29513</v>
      </c>
      <c r="B2612" s="9">
        <v>9.3000000000000007</v>
      </c>
      <c r="C2612" t="str">
        <f>IF(acs2015_county_data[[#This Row],[Unemployment]]&gt;='Описательные характеристики'!$I$5,"да","нет")</f>
        <v>да</v>
      </c>
    </row>
    <row r="2613" spans="1:3" x14ac:dyDescent="0.35">
      <c r="A2613" s="6">
        <v>21185</v>
      </c>
      <c r="B2613" s="10">
        <v>6.5</v>
      </c>
      <c r="C2613" t="str">
        <f>IF(acs2015_county_data[[#This Row],[Unemployment]]&gt;='Описательные характеристики'!$I$5,"да","нет")</f>
        <v>нет</v>
      </c>
    </row>
    <row r="2614" spans="1:3" x14ac:dyDescent="0.35">
      <c r="A2614" s="4">
        <v>21555</v>
      </c>
      <c r="B2614" s="9">
        <v>5.4</v>
      </c>
      <c r="C2614" t="str">
        <f>IF(acs2015_county_data[[#This Row],[Unemployment]]&gt;='Описательные характеристики'!$I$5,"да","нет")</f>
        <v>нет</v>
      </c>
    </row>
    <row r="2615" spans="1:3" x14ac:dyDescent="0.35">
      <c r="A2615" s="6">
        <v>25033</v>
      </c>
      <c r="B2615" s="10">
        <v>7.8</v>
      </c>
      <c r="C2615" t="str">
        <f>IF(acs2015_county_data[[#This Row],[Unemployment]]&gt;='Описательные характеристики'!$I$5,"да","нет")</f>
        <v>да</v>
      </c>
    </row>
    <row r="2616" spans="1:3" x14ac:dyDescent="0.35">
      <c r="A2616" s="4">
        <v>24364</v>
      </c>
      <c r="B2616" s="9">
        <v>5.9</v>
      </c>
      <c r="C2616" t="str">
        <f>IF(acs2015_county_data[[#This Row],[Unemployment]]&gt;='Описательные характеристики'!$I$5,"да","нет")</f>
        <v>нет</v>
      </c>
    </row>
    <row r="2617" spans="1:3" x14ac:dyDescent="0.35">
      <c r="A2617" s="6">
        <v>20891</v>
      </c>
      <c r="B2617" s="10">
        <v>6.2</v>
      </c>
      <c r="C2617" t="str">
        <f>IF(acs2015_county_data[[#This Row],[Unemployment]]&gt;='Описательные характеристики'!$I$5,"да","нет")</f>
        <v>нет</v>
      </c>
    </row>
    <row r="2618" spans="1:3" x14ac:dyDescent="0.35">
      <c r="A2618" s="4">
        <v>26928</v>
      </c>
      <c r="B2618" s="9">
        <v>5.7</v>
      </c>
      <c r="C2618" t="str">
        <f>IF(acs2015_county_data[[#This Row],[Unemployment]]&gt;='Описательные характеристики'!$I$5,"да","нет")</f>
        <v>нет</v>
      </c>
    </row>
    <row r="2619" spans="1:3" x14ac:dyDescent="0.35">
      <c r="A2619" s="6">
        <v>17910</v>
      </c>
      <c r="B2619" s="10">
        <v>8.1</v>
      </c>
      <c r="C2619" t="str">
        <f>IF(acs2015_county_data[[#This Row],[Unemployment]]&gt;='Описательные характеристики'!$I$5,"да","нет")</f>
        <v>да</v>
      </c>
    </row>
    <row r="2620" spans="1:3" x14ac:dyDescent="0.35">
      <c r="A2620" s="4">
        <v>17378</v>
      </c>
      <c r="B2620" s="9">
        <v>11.5</v>
      </c>
      <c r="C2620" t="str">
        <f>IF(acs2015_county_data[[#This Row],[Unemployment]]&gt;='Описательные характеристики'!$I$5,"да","нет")</f>
        <v>да</v>
      </c>
    </row>
    <row r="2621" spans="1:3" x14ac:dyDescent="0.35">
      <c r="A2621" s="6">
        <v>24518</v>
      </c>
      <c r="B2621" s="10">
        <v>5.9</v>
      </c>
      <c r="C2621" t="str">
        <f>IF(acs2015_county_data[[#This Row],[Unemployment]]&gt;='Описательные характеристики'!$I$5,"да","нет")</f>
        <v>нет</v>
      </c>
    </row>
    <row r="2622" spans="1:3" x14ac:dyDescent="0.35">
      <c r="A2622" s="4">
        <v>22867</v>
      </c>
      <c r="B2622" s="9">
        <v>2.2999999999999998</v>
      </c>
      <c r="C2622" t="str">
        <f>IF(acs2015_county_data[[#This Row],[Unemployment]]&gt;='Описательные характеристики'!$I$5,"да","нет")</f>
        <v>нет</v>
      </c>
    </row>
    <row r="2623" spans="1:3" x14ac:dyDescent="0.35">
      <c r="A2623" s="6">
        <v>20374</v>
      </c>
      <c r="B2623" s="10">
        <v>5.9</v>
      </c>
      <c r="C2623" t="str">
        <f>IF(acs2015_county_data[[#This Row],[Unemployment]]&gt;='Описательные характеристики'!$I$5,"да","нет")</f>
        <v>нет</v>
      </c>
    </row>
    <row r="2624" spans="1:3" x14ac:dyDescent="0.35">
      <c r="A2624" s="4">
        <v>26844</v>
      </c>
      <c r="B2624" s="9">
        <v>5.5</v>
      </c>
      <c r="C2624" t="str">
        <f>IF(acs2015_county_data[[#This Row],[Unemployment]]&gt;='Описательные характеристики'!$I$5,"да","нет")</f>
        <v>нет</v>
      </c>
    </row>
    <row r="2625" spans="1:3" x14ac:dyDescent="0.35">
      <c r="A2625" s="6">
        <v>29047</v>
      </c>
      <c r="B2625" s="10">
        <v>7.5</v>
      </c>
      <c r="C2625" t="str">
        <f>IF(acs2015_county_data[[#This Row],[Unemployment]]&gt;='Описательные характеристики'!$I$5,"да","нет")</f>
        <v>нет</v>
      </c>
    </row>
    <row r="2626" spans="1:3" x14ac:dyDescent="0.35">
      <c r="A2626" s="4">
        <v>24114</v>
      </c>
      <c r="B2626" s="9">
        <v>7.7</v>
      </c>
      <c r="C2626" t="str">
        <f>IF(acs2015_county_data[[#This Row],[Unemployment]]&gt;='Описательные характеристики'!$I$5,"да","нет")</f>
        <v>да</v>
      </c>
    </row>
    <row r="2627" spans="1:3" x14ac:dyDescent="0.35">
      <c r="A2627" s="6">
        <v>21740</v>
      </c>
      <c r="B2627" s="10">
        <v>2.1</v>
      </c>
      <c r="C2627" t="str">
        <f>IF(acs2015_county_data[[#This Row],[Unemployment]]&gt;='Описательные характеристики'!$I$5,"да","нет")</f>
        <v>нет</v>
      </c>
    </row>
    <row r="2628" spans="1:3" x14ac:dyDescent="0.35">
      <c r="A2628" s="4">
        <v>22140</v>
      </c>
      <c r="B2628" s="9">
        <v>6.9</v>
      </c>
      <c r="C2628" t="str">
        <f>IF(acs2015_county_data[[#This Row],[Unemployment]]&gt;='Описательные характеристики'!$I$5,"да","нет")</f>
        <v>нет</v>
      </c>
    </row>
    <row r="2629" spans="1:3" x14ac:dyDescent="0.35">
      <c r="A2629" s="6">
        <v>27398</v>
      </c>
      <c r="B2629" s="10">
        <v>6.7</v>
      </c>
      <c r="C2629" t="str">
        <f>IF(acs2015_county_data[[#This Row],[Unemployment]]&gt;='Описательные характеристики'!$I$5,"да","нет")</f>
        <v>нет</v>
      </c>
    </row>
    <row r="2630" spans="1:3" x14ac:dyDescent="0.35">
      <c r="A2630" s="4">
        <v>30082</v>
      </c>
      <c r="B2630" s="9">
        <v>3.7</v>
      </c>
      <c r="C2630" t="str">
        <f>IF(acs2015_county_data[[#This Row],[Unemployment]]&gt;='Описательные характеристики'!$I$5,"да","нет")</f>
        <v>нет</v>
      </c>
    </row>
    <row r="2631" spans="1:3" x14ac:dyDescent="0.35">
      <c r="A2631" s="6">
        <v>22613</v>
      </c>
      <c r="B2631" s="10">
        <v>7.8</v>
      </c>
      <c r="C2631" t="str">
        <f>IF(acs2015_county_data[[#This Row],[Unemployment]]&gt;='Описательные характеристики'!$I$5,"да","нет")</f>
        <v>да</v>
      </c>
    </row>
    <row r="2632" spans="1:3" x14ac:dyDescent="0.35">
      <c r="A2632" s="4">
        <v>14689</v>
      </c>
      <c r="B2632" s="9">
        <v>9.9</v>
      </c>
      <c r="C2632" t="str">
        <f>IF(acs2015_county_data[[#This Row],[Unemployment]]&gt;='Описательные характеристики'!$I$5,"да","нет")</f>
        <v>да</v>
      </c>
    </row>
    <row r="2633" spans="1:3" x14ac:dyDescent="0.35">
      <c r="A2633" s="6">
        <v>21281</v>
      </c>
      <c r="B2633" s="10">
        <v>8.9</v>
      </c>
      <c r="C2633" t="str">
        <f>IF(acs2015_county_data[[#This Row],[Unemployment]]&gt;='Описательные характеристики'!$I$5,"да","нет")</f>
        <v>да</v>
      </c>
    </row>
    <row r="2634" spans="1:3" x14ac:dyDescent="0.35">
      <c r="A2634" s="4">
        <v>22609</v>
      </c>
      <c r="B2634" s="9">
        <v>6.4</v>
      </c>
      <c r="C2634" t="str">
        <f>IF(acs2015_county_data[[#This Row],[Unemployment]]&gt;='Описательные характеристики'!$I$5,"да","нет")</f>
        <v>нет</v>
      </c>
    </row>
    <row r="2635" spans="1:3" x14ac:dyDescent="0.35">
      <c r="A2635" s="6">
        <v>30478</v>
      </c>
      <c r="B2635" s="10">
        <v>5</v>
      </c>
      <c r="C2635" t="str">
        <f>IF(acs2015_county_data[[#This Row],[Unemployment]]&gt;='Описательные характеристики'!$I$5,"да","нет")</f>
        <v>нет</v>
      </c>
    </row>
    <row r="2636" spans="1:3" x14ac:dyDescent="0.35">
      <c r="A2636" s="4">
        <v>22453</v>
      </c>
      <c r="B2636" s="9">
        <v>7.1</v>
      </c>
      <c r="C2636" t="str">
        <f>IF(acs2015_county_data[[#This Row],[Unemployment]]&gt;='Описательные характеристики'!$I$5,"да","нет")</f>
        <v>нет</v>
      </c>
    </row>
    <row r="2637" spans="1:3" x14ac:dyDescent="0.35">
      <c r="A2637" s="6">
        <v>17570</v>
      </c>
      <c r="B2637" s="10">
        <v>6.4</v>
      </c>
      <c r="C2637" t="str">
        <f>IF(acs2015_county_data[[#This Row],[Unemployment]]&gt;='Описательные характеристики'!$I$5,"да","нет")</f>
        <v>нет</v>
      </c>
    </row>
    <row r="2638" spans="1:3" x14ac:dyDescent="0.35">
      <c r="A2638" s="4">
        <v>22049</v>
      </c>
      <c r="B2638" s="9">
        <v>6.4</v>
      </c>
      <c r="C2638" t="str">
        <f>IF(acs2015_county_data[[#This Row],[Unemployment]]&gt;='Описательные характеристики'!$I$5,"да","нет")</f>
        <v>нет</v>
      </c>
    </row>
    <row r="2639" spans="1:3" x14ac:dyDescent="0.35">
      <c r="A2639" s="6">
        <v>15990</v>
      </c>
      <c r="B2639" s="10">
        <v>5.7</v>
      </c>
      <c r="C2639" t="str">
        <f>IF(acs2015_county_data[[#This Row],[Unemployment]]&gt;='Описательные характеристики'!$I$5,"да","нет")</f>
        <v>нет</v>
      </c>
    </row>
    <row r="2640" spans="1:3" x14ac:dyDescent="0.35">
      <c r="A2640" s="4">
        <v>21888</v>
      </c>
      <c r="B2640" s="9">
        <v>11.4</v>
      </c>
      <c r="C2640" t="str">
        <f>IF(acs2015_county_data[[#This Row],[Unemployment]]&gt;='Описательные характеристики'!$I$5,"да","нет")</f>
        <v>да</v>
      </c>
    </row>
    <row r="2641" spans="1:3" x14ac:dyDescent="0.35">
      <c r="A2641" s="6">
        <v>24875</v>
      </c>
      <c r="B2641" s="10">
        <v>5.3</v>
      </c>
      <c r="C2641" t="str">
        <f>IF(acs2015_county_data[[#This Row],[Unemployment]]&gt;='Описательные характеристики'!$I$5,"да","нет")</f>
        <v>нет</v>
      </c>
    </row>
    <row r="2642" spans="1:3" x14ac:dyDescent="0.35">
      <c r="A2642" s="4">
        <v>30963</v>
      </c>
      <c r="B2642" s="9">
        <v>4.4000000000000004</v>
      </c>
      <c r="C2642" t="str">
        <f>IF(acs2015_county_data[[#This Row],[Unemployment]]&gt;='Описательные характеристики'!$I$5,"да","нет")</f>
        <v>нет</v>
      </c>
    </row>
    <row r="2643" spans="1:3" x14ac:dyDescent="0.35">
      <c r="A2643" s="6">
        <v>23573</v>
      </c>
      <c r="B2643" s="10">
        <v>5.6</v>
      </c>
      <c r="C2643" t="str">
        <f>IF(acs2015_county_data[[#This Row],[Unemployment]]&gt;='Описательные характеристики'!$I$5,"да","нет")</f>
        <v>нет</v>
      </c>
    </row>
    <row r="2644" spans="1:3" x14ac:dyDescent="0.35">
      <c r="A2644" s="4">
        <v>25687</v>
      </c>
      <c r="B2644" s="9">
        <v>5.2</v>
      </c>
      <c r="C2644" t="str">
        <f>IF(acs2015_county_data[[#This Row],[Unemployment]]&gt;='Описательные характеристики'!$I$5,"да","нет")</f>
        <v>нет</v>
      </c>
    </row>
    <row r="2645" spans="1:3" x14ac:dyDescent="0.35">
      <c r="A2645" s="6">
        <v>20121</v>
      </c>
      <c r="B2645" s="10">
        <v>11.4</v>
      </c>
      <c r="C2645" t="str">
        <f>IF(acs2015_county_data[[#This Row],[Unemployment]]&gt;='Описательные характеристики'!$I$5,"да","нет")</f>
        <v>да</v>
      </c>
    </row>
    <row r="2646" spans="1:3" x14ac:dyDescent="0.35">
      <c r="A2646" s="4">
        <v>26693</v>
      </c>
      <c r="B2646" s="9">
        <v>7.1</v>
      </c>
      <c r="C2646" t="str">
        <f>IF(acs2015_county_data[[#This Row],[Unemployment]]&gt;='Описательные характеристики'!$I$5,"да","нет")</f>
        <v>нет</v>
      </c>
    </row>
    <row r="2647" spans="1:3" x14ac:dyDescent="0.35">
      <c r="A2647" s="6">
        <v>24154</v>
      </c>
      <c r="B2647" s="10">
        <v>8.8000000000000007</v>
      </c>
      <c r="C2647" t="str">
        <f>IF(acs2015_county_data[[#This Row],[Unemployment]]&gt;='Описательные характеристики'!$I$5,"да","нет")</f>
        <v>да</v>
      </c>
    </row>
    <row r="2648" spans="1:3" x14ac:dyDescent="0.35">
      <c r="A2648" s="4">
        <v>17122</v>
      </c>
      <c r="B2648" s="9">
        <v>16.5</v>
      </c>
      <c r="C2648" t="str">
        <f>IF(acs2015_county_data[[#This Row],[Unemployment]]&gt;='Описательные характеристики'!$I$5,"да","нет")</f>
        <v>да</v>
      </c>
    </row>
    <row r="2649" spans="1:3" x14ac:dyDescent="0.35">
      <c r="A2649" s="6">
        <v>21798</v>
      </c>
      <c r="B2649" s="10">
        <v>6.6</v>
      </c>
      <c r="C2649" t="str">
        <f>IF(acs2015_county_data[[#This Row],[Unemployment]]&gt;='Описательные характеристики'!$I$5,"да","нет")</f>
        <v>нет</v>
      </c>
    </row>
    <row r="2650" spans="1:3" x14ac:dyDescent="0.35">
      <c r="A2650" s="4">
        <v>25310</v>
      </c>
      <c r="B2650" s="9">
        <v>7.3</v>
      </c>
      <c r="C2650" t="str">
        <f>IF(acs2015_county_data[[#This Row],[Unemployment]]&gt;='Описательные характеристики'!$I$5,"да","нет")</f>
        <v>нет</v>
      </c>
    </row>
    <row r="2651" spans="1:3" x14ac:dyDescent="0.35">
      <c r="A2651" s="6">
        <v>15006</v>
      </c>
      <c r="B2651" s="10">
        <v>4.2</v>
      </c>
      <c r="C2651" t="str">
        <f>IF(acs2015_county_data[[#This Row],[Unemployment]]&gt;='Описательные характеристики'!$I$5,"да","нет")</f>
        <v>нет</v>
      </c>
    </row>
    <row r="2652" spans="1:3" x14ac:dyDescent="0.35">
      <c r="A2652" s="4">
        <v>25868</v>
      </c>
      <c r="B2652" s="9">
        <v>4.8</v>
      </c>
      <c r="C2652" t="str">
        <f>IF(acs2015_county_data[[#This Row],[Unemployment]]&gt;='Описательные характеристики'!$I$5,"да","нет")</f>
        <v>нет</v>
      </c>
    </row>
    <row r="2653" spans="1:3" x14ac:dyDescent="0.35">
      <c r="A2653" s="6">
        <v>24944</v>
      </c>
      <c r="B2653" s="10">
        <v>8.6999999999999993</v>
      </c>
      <c r="C2653" t="str">
        <f>IF(acs2015_county_data[[#This Row],[Unemployment]]&gt;='Описательные характеристики'!$I$5,"да","нет")</f>
        <v>да</v>
      </c>
    </row>
    <row r="2654" spans="1:3" x14ac:dyDescent="0.35">
      <c r="A2654" s="4">
        <v>36126</v>
      </c>
      <c r="B2654" s="9">
        <v>4.5</v>
      </c>
      <c r="C2654" t="str">
        <f>IF(acs2015_county_data[[#This Row],[Unemployment]]&gt;='Описательные характеристики'!$I$5,"да","нет")</f>
        <v>нет</v>
      </c>
    </row>
    <row r="2655" spans="1:3" x14ac:dyDescent="0.35">
      <c r="A2655" s="6">
        <v>14251</v>
      </c>
      <c r="B2655" s="10">
        <v>0</v>
      </c>
      <c r="C2655" t="str">
        <f>IF(acs2015_county_data[[#This Row],[Unemployment]]&gt;='Описательные характеристики'!$I$5,"да","нет")</f>
        <v>нет</v>
      </c>
    </row>
    <row r="2656" spans="1:3" x14ac:dyDescent="0.35">
      <c r="A2656" s="4">
        <v>27962</v>
      </c>
      <c r="B2656" s="9">
        <v>1.5</v>
      </c>
      <c r="C2656" t="str">
        <f>IF(acs2015_county_data[[#This Row],[Unemployment]]&gt;='Описательные характеристики'!$I$5,"да","нет")</f>
        <v>нет</v>
      </c>
    </row>
    <row r="2657" spans="1:3" x14ac:dyDescent="0.35">
      <c r="A2657" s="6">
        <v>26265</v>
      </c>
      <c r="B2657" s="10">
        <v>8</v>
      </c>
      <c r="C2657" t="str">
        <f>IF(acs2015_county_data[[#This Row],[Unemployment]]&gt;='Описательные характеристики'!$I$5,"да","нет")</f>
        <v>да</v>
      </c>
    </row>
    <row r="2658" spans="1:3" x14ac:dyDescent="0.35">
      <c r="A2658" s="4">
        <v>26749</v>
      </c>
      <c r="B2658" s="9">
        <v>7.6</v>
      </c>
      <c r="C2658" t="str">
        <f>IF(acs2015_county_data[[#This Row],[Unemployment]]&gt;='Описательные характеристики'!$I$5,"да","нет")</f>
        <v>да</v>
      </c>
    </row>
    <row r="2659" spans="1:3" x14ac:dyDescent="0.35">
      <c r="A2659" s="6">
        <v>30269</v>
      </c>
      <c r="B2659" s="10">
        <v>5.0999999999999996</v>
      </c>
      <c r="C2659" t="str">
        <f>IF(acs2015_county_data[[#This Row],[Unemployment]]&gt;='Описательные характеристики'!$I$5,"да","нет")</f>
        <v>нет</v>
      </c>
    </row>
    <row r="2660" spans="1:3" x14ac:dyDescent="0.35">
      <c r="A2660" s="4">
        <v>17299</v>
      </c>
      <c r="B2660" s="9">
        <v>13.2</v>
      </c>
      <c r="C2660" t="str">
        <f>IF(acs2015_county_data[[#This Row],[Unemployment]]&gt;='Описательные характеристики'!$I$5,"да","нет")</f>
        <v>да</v>
      </c>
    </row>
    <row r="2661" spans="1:3" x14ac:dyDescent="0.35">
      <c r="A2661" s="6">
        <v>18722</v>
      </c>
      <c r="B2661" s="10">
        <v>11.7</v>
      </c>
      <c r="C2661" t="str">
        <f>IF(acs2015_county_data[[#This Row],[Unemployment]]&gt;='Описательные характеристики'!$I$5,"да","нет")</f>
        <v>да</v>
      </c>
    </row>
    <row r="2662" spans="1:3" x14ac:dyDescent="0.35">
      <c r="A2662" s="4">
        <v>20124</v>
      </c>
      <c r="B2662" s="9">
        <v>7.1</v>
      </c>
      <c r="C2662" t="str">
        <f>IF(acs2015_county_data[[#This Row],[Unemployment]]&gt;='Описательные характеристики'!$I$5,"да","нет")</f>
        <v>нет</v>
      </c>
    </row>
    <row r="2663" spans="1:3" x14ac:dyDescent="0.35">
      <c r="A2663" s="6">
        <v>22344</v>
      </c>
      <c r="B2663" s="10">
        <v>7.4</v>
      </c>
      <c r="C2663" t="str">
        <f>IF(acs2015_county_data[[#This Row],[Unemployment]]&gt;='Описательные характеристики'!$I$5,"да","нет")</f>
        <v>нет</v>
      </c>
    </row>
    <row r="2664" spans="1:3" x14ac:dyDescent="0.35">
      <c r="A2664" s="4">
        <v>20863</v>
      </c>
      <c r="B2664" s="9">
        <v>6.2</v>
      </c>
      <c r="C2664" t="str">
        <f>IF(acs2015_county_data[[#This Row],[Unemployment]]&gt;='Описательные характеристики'!$I$5,"да","нет")</f>
        <v>нет</v>
      </c>
    </row>
    <row r="2665" spans="1:3" x14ac:dyDescent="0.35">
      <c r="A2665" s="6">
        <v>23772</v>
      </c>
      <c r="B2665" s="10">
        <v>8.6</v>
      </c>
      <c r="C2665" t="str">
        <f>IF(acs2015_county_data[[#This Row],[Unemployment]]&gt;='Описательные характеристики'!$I$5,"да","нет")</f>
        <v>да</v>
      </c>
    </row>
    <row r="2666" spans="1:3" x14ac:dyDescent="0.35">
      <c r="A2666" s="4">
        <v>22127</v>
      </c>
      <c r="B2666" s="9">
        <v>8.1</v>
      </c>
      <c r="C2666" t="str">
        <f>IF(acs2015_county_data[[#This Row],[Unemployment]]&gt;='Описательные характеристики'!$I$5,"да","нет")</f>
        <v>да</v>
      </c>
    </row>
    <row r="2667" spans="1:3" x14ac:dyDescent="0.35">
      <c r="A2667" s="6">
        <v>27288</v>
      </c>
      <c r="B2667" s="10">
        <v>4</v>
      </c>
      <c r="C2667" t="str">
        <f>IF(acs2015_county_data[[#This Row],[Unemployment]]&gt;='Описательные характеристики'!$I$5,"да","нет")</f>
        <v>нет</v>
      </c>
    </row>
    <row r="2668" spans="1:3" x14ac:dyDescent="0.35">
      <c r="A2668" s="4">
        <v>25006</v>
      </c>
      <c r="B2668" s="9">
        <v>5.7</v>
      </c>
      <c r="C2668" t="str">
        <f>IF(acs2015_county_data[[#This Row],[Unemployment]]&gt;='Описательные характеристики'!$I$5,"да","нет")</f>
        <v>нет</v>
      </c>
    </row>
    <row r="2669" spans="1:3" x14ac:dyDescent="0.35">
      <c r="A2669" s="6">
        <v>27535</v>
      </c>
      <c r="B2669" s="10">
        <v>7.5</v>
      </c>
      <c r="C2669" t="str">
        <f>IF(acs2015_county_data[[#This Row],[Unemployment]]&gt;='Описательные характеристики'!$I$5,"да","нет")</f>
        <v>нет</v>
      </c>
    </row>
    <row r="2670" spans="1:3" x14ac:dyDescent="0.35">
      <c r="A2670" s="4">
        <v>21194</v>
      </c>
      <c r="B2670" s="9">
        <v>11.5</v>
      </c>
      <c r="C2670" t="str">
        <f>IF(acs2015_county_data[[#This Row],[Unemployment]]&gt;='Описательные характеристики'!$I$5,"да","нет")</f>
        <v>да</v>
      </c>
    </row>
    <row r="2671" spans="1:3" x14ac:dyDescent="0.35">
      <c r="A2671" s="6">
        <v>20430</v>
      </c>
      <c r="B2671" s="10">
        <v>8.1999999999999993</v>
      </c>
      <c r="C2671" t="str">
        <f>IF(acs2015_county_data[[#This Row],[Unemployment]]&gt;='Описательные характеристики'!$I$5,"да","нет")</f>
        <v>да</v>
      </c>
    </row>
    <row r="2672" spans="1:3" x14ac:dyDescent="0.35">
      <c r="A2672" s="4">
        <v>30237</v>
      </c>
      <c r="B2672" s="9">
        <v>5</v>
      </c>
      <c r="C2672" t="str">
        <f>IF(acs2015_county_data[[#This Row],[Unemployment]]&gt;='Описательные характеристики'!$I$5,"да","нет")</f>
        <v>нет</v>
      </c>
    </row>
    <row r="2673" spans="1:3" x14ac:dyDescent="0.35">
      <c r="A2673" s="6">
        <v>21231</v>
      </c>
      <c r="B2673" s="10">
        <v>4.3</v>
      </c>
      <c r="C2673" t="str">
        <f>IF(acs2015_county_data[[#This Row],[Unemployment]]&gt;='Описательные характеристики'!$I$5,"да","нет")</f>
        <v>нет</v>
      </c>
    </row>
    <row r="2674" spans="1:3" x14ac:dyDescent="0.35">
      <c r="A2674" s="4">
        <v>36279</v>
      </c>
      <c r="B2674" s="9">
        <v>5.8</v>
      </c>
      <c r="C2674" t="str">
        <f>IF(acs2015_county_data[[#This Row],[Unemployment]]&gt;='Описательные характеристики'!$I$5,"да","нет")</f>
        <v>нет</v>
      </c>
    </row>
    <row r="2675" spans="1:3" x14ac:dyDescent="0.35">
      <c r="A2675" s="6">
        <v>25877</v>
      </c>
      <c r="B2675" s="10">
        <v>15.1</v>
      </c>
      <c r="C2675" t="str">
        <f>IF(acs2015_county_data[[#This Row],[Unemployment]]&gt;='Описательные характеристики'!$I$5,"да","нет")</f>
        <v>да</v>
      </c>
    </row>
    <row r="2676" spans="1:3" x14ac:dyDescent="0.35">
      <c r="A2676" s="4">
        <v>24510</v>
      </c>
      <c r="B2676" s="9">
        <v>6.2</v>
      </c>
      <c r="C2676" t="str">
        <f>IF(acs2015_county_data[[#This Row],[Unemployment]]&gt;='Описательные характеристики'!$I$5,"да","нет")</f>
        <v>нет</v>
      </c>
    </row>
    <row r="2677" spans="1:3" x14ac:dyDescent="0.35">
      <c r="A2677" s="6">
        <v>23341</v>
      </c>
      <c r="B2677" s="10">
        <v>10.9</v>
      </c>
      <c r="C2677" t="str">
        <f>IF(acs2015_county_data[[#This Row],[Unemployment]]&gt;='Описательные характеристики'!$I$5,"да","нет")</f>
        <v>да</v>
      </c>
    </row>
    <row r="2678" spans="1:3" x14ac:dyDescent="0.35">
      <c r="A2678" s="4">
        <v>22194</v>
      </c>
      <c r="B2678" s="9">
        <v>4.3</v>
      </c>
      <c r="C2678" t="str">
        <f>IF(acs2015_county_data[[#This Row],[Unemployment]]&gt;='Описательные характеристики'!$I$5,"да","нет")</f>
        <v>нет</v>
      </c>
    </row>
    <row r="2679" spans="1:3" x14ac:dyDescent="0.35">
      <c r="A2679" s="6">
        <v>22221</v>
      </c>
      <c r="B2679" s="10">
        <v>6.2</v>
      </c>
      <c r="C2679" t="str">
        <f>IF(acs2015_county_data[[#This Row],[Unemployment]]&gt;='Описательные характеристики'!$I$5,"да","нет")</f>
        <v>нет</v>
      </c>
    </row>
    <row r="2680" spans="1:3" x14ac:dyDescent="0.35">
      <c r="A2680" s="4">
        <v>27608</v>
      </c>
      <c r="B2680" s="9">
        <v>14.1</v>
      </c>
      <c r="C2680" t="str">
        <f>IF(acs2015_county_data[[#This Row],[Unemployment]]&gt;='Описательные характеристики'!$I$5,"да","нет")</f>
        <v>да</v>
      </c>
    </row>
    <row r="2681" spans="1:3" x14ac:dyDescent="0.35">
      <c r="A2681" s="6">
        <v>15894</v>
      </c>
      <c r="B2681" s="10">
        <v>5.7</v>
      </c>
      <c r="C2681" t="str">
        <f>IF(acs2015_county_data[[#This Row],[Unemployment]]&gt;='Описательные характеристики'!$I$5,"да","нет")</f>
        <v>нет</v>
      </c>
    </row>
    <row r="2682" spans="1:3" x14ac:dyDescent="0.35">
      <c r="A2682" s="4">
        <v>22755</v>
      </c>
      <c r="B2682" s="9">
        <v>8</v>
      </c>
      <c r="C2682" t="str">
        <f>IF(acs2015_county_data[[#This Row],[Unemployment]]&gt;='Описательные характеристики'!$I$5,"да","нет")</f>
        <v>да</v>
      </c>
    </row>
    <row r="2683" spans="1:3" x14ac:dyDescent="0.35">
      <c r="A2683" s="6">
        <v>26130</v>
      </c>
      <c r="B2683" s="10">
        <v>3.5</v>
      </c>
      <c r="C2683" t="str">
        <f>IF(acs2015_county_data[[#This Row],[Unemployment]]&gt;='Описательные характеристики'!$I$5,"да","нет")</f>
        <v>нет</v>
      </c>
    </row>
    <row r="2684" spans="1:3" x14ac:dyDescent="0.35">
      <c r="A2684" s="4">
        <v>25585</v>
      </c>
      <c r="B2684" s="9">
        <v>6.8</v>
      </c>
      <c r="C2684" t="str">
        <f>IF(acs2015_county_data[[#This Row],[Unemployment]]&gt;='Описательные характеристики'!$I$5,"да","нет")</f>
        <v>нет</v>
      </c>
    </row>
    <row r="2685" spans="1:3" x14ac:dyDescent="0.35">
      <c r="A2685" s="6">
        <v>21693</v>
      </c>
      <c r="B2685" s="10">
        <v>6.4</v>
      </c>
      <c r="C2685" t="str">
        <f>IF(acs2015_county_data[[#This Row],[Unemployment]]&gt;='Описательные характеристики'!$I$5,"да","нет")</f>
        <v>нет</v>
      </c>
    </row>
    <row r="2686" spans="1:3" x14ac:dyDescent="0.35">
      <c r="A2686" s="4">
        <v>15249</v>
      </c>
      <c r="B2686" s="9">
        <v>13.1</v>
      </c>
      <c r="C2686" t="str">
        <f>IF(acs2015_county_data[[#This Row],[Unemployment]]&gt;='Описательные характеристики'!$I$5,"да","нет")</f>
        <v>да</v>
      </c>
    </row>
    <row r="2687" spans="1:3" x14ac:dyDescent="0.35">
      <c r="A2687" s="6">
        <v>23830</v>
      </c>
      <c r="B2687" s="10">
        <v>6.6</v>
      </c>
      <c r="C2687" t="str">
        <f>IF(acs2015_county_data[[#This Row],[Unemployment]]&gt;='Описательные характеристики'!$I$5,"да","нет")</f>
        <v>нет</v>
      </c>
    </row>
    <row r="2688" spans="1:3" x14ac:dyDescent="0.35">
      <c r="A2688" s="4">
        <v>22016</v>
      </c>
      <c r="B2688" s="9">
        <v>8.3000000000000007</v>
      </c>
      <c r="C2688" t="str">
        <f>IF(acs2015_county_data[[#This Row],[Unemployment]]&gt;='Описательные характеристики'!$I$5,"да","нет")</f>
        <v>да</v>
      </c>
    </row>
    <row r="2689" spans="1:3" x14ac:dyDescent="0.35">
      <c r="A2689" s="6">
        <v>35537</v>
      </c>
      <c r="B2689" s="10">
        <v>3.4</v>
      </c>
      <c r="C2689" t="str">
        <f>IF(acs2015_county_data[[#This Row],[Unemployment]]&gt;='Описательные характеристики'!$I$5,"да","нет")</f>
        <v>нет</v>
      </c>
    </row>
    <row r="2690" spans="1:3" x14ac:dyDescent="0.35">
      <c r="A2690" s="4">
        <v>22130</v>
      </c>
      <c r="B2690" s="9">
        <v>9.6</v>
      </c>
      <c r="C2690" t="str">
        <f>IF(acs2015_county_data[[#This Row],[Unemployment]]&gt;='Описательные характеристики'!$I$5,"да","нет")</f>
        <v>да</v>
      </c>
    </row>
    <row r="2691" spans="1:3" x14ac:dyDescent="0.35">
      <c r="A2691" s="6">
        <v>22804</v>
      </c>
      <c r="B2691" s="10">
        <v>3.6</v>
      </c>
      <c r="C2691" t="str">
        <f>IF(acs2015_county_data[[#This Row],[Unemployment]]&gt;='Описательные характеристики'!$I$5,"да","нет")</f>
        <v>нет</v>
      </c>
    </row>
    <row r="2692" spans="1:3" x14ac:dyDescent="0.35">
      <c r="A2692" s="4">
        <v>18764</v>
      </c>
      <c r="B2692" s="9">
        <v>5.5</v>
      </c>
      <c r="C2692" t="str">
        <f>IF(acs2015_county_data[[#This Row],[Unemployment]]&gt;='Описательные характеристики'!$I$5,"да","нет")</f>
        <v>нет</v>
      </c>
    </row>
    <row r="2693" spans="1:3" x14ac:dyDescent="0.35">
      <c r="A2693" s="6">
        <v>25846</v>
      </c>
      <c r="B2693" s="10">
        <v>6.6</v>
      </c>
      <c r="C2693" t="str">
        <f>IF(acs2015_county_data[[#This Row],[Unemployment]]&gt;='Описательные характеристики'!$I$5,"да","нет")</f>
        <v>нет</v>
      </c>
    </row>
    <row r="2694" spans="1:3" x14ac:dyDescent="0.35">
      <c r="A2694" s="4">
        <v>34215</v>
      </c>
      <c r="B2694" s="9">
        <v>6.1</v>
      </c>
      <c r="C2694" t="str">
        <f>IF(acs2015_county_data[[#This Row],[Unemployment]]&gt;='Описательные характеристики'!$I$5,"да","нет")</f>
        <v>нет</v>
      </c>
    </row>
    <row r="2695" spans="1:3" x14ac:dyDescent="0.35">
      <c r="A2695" s="6">
        <v>19495</v>
      </c>
      <c r="B2695" s="10">
        <v>4.0999999999999996</v>
      </c>
      <c r="C2695" t="str">
        <f>IF(acs2015_county_data[[#This Row],[Unemployment]]&gt;='Описательные характеристики'!$I$5,"да","нет")</f>
        <v>нет</v>
      </c>
    </row>
    <row r="2696" spans="1:3" x14ac:dyDescent="0.35">
      <c r="A2696" s="4">
        <v>20900</v>
      </c>
      <c r="B2696" s="9">
        <v>12.7</v>
      </c>
      <c r="C2696" t="str">
        <f>IF(acs2015_county_data[[#This Row],[Unemployment]]&gt;='Описательные характеристики'!$I$5,"да","нет")</f>
        <v>да</v>
      </c>
    </row>
    <row r="2697" spans="1:3" x14ac:dyDescent="0.35">
      <c r="A2697" s="6">
        <v>20322</v>
      </c>
      <c r="B2697" s="10">
        <v>11</v>
      </c>
      <c r="C2697" t="str">
        <f>IF(acs2015_county_data[[#This Row],[Unemployment]]&gt;='Описательные характеристики'!$I$5,"да","нет")</f>
        <v>да</v>
      </c>
    </row>
    <row r="2698" spans="1:3" x14ac:dyDescent="0.35">
      <c r="A2698" s="4">
        <v>21113</v>
      </c>
      <c r="B2698" s="9">
        <v>8.6</v>
      </c>
      <c r="C2698" t="str">
        <f>IF(acs2015_county_data[[#This Row],[Unemployment]]&gt;='Описательные характеристики'!$I$5,"да","нет")</f>
        <v>да</v>
      </c>
    </row>
    <row r="2699" spans="1:3" x14ac:dyDescent="0.35">
      <c r="A2699" s="6">
        <v>20697</v>
      </c>
      <c r="B2699" s="10">
        <v>10.9</v>
      </c>
      <c r="C2699" t="str">
        <f>IF(acs2015_county_data[[#This Row],[Unemployment]]&gt;='Описательные характеристики'!$I$5,"да","нет")</f>
        <v>да</v>
      </c>
    </row>
    <row r="2700" spans="1:3" x14ac:dyDescent="0.35">
      <c r="A2700" s="4">
        <v>20428</v>
      </c>
      <c r="B2700" s="9">
        <v>12.1</v>
      </c>
      <c r="C2700" t="str">
        <f>IF(acs2015_county_data[[#This Row],[Unemployment]]&gt;='Описательные характеристики'!$I$5,"да","нет")</f>
        <v>да</v>
      </c>
    </row>
    <row r="2701" spans="1:3" x14ac:dyDescent="0.35">
      <c r="A2701" s="6">
        <v>20444</v>
      </c>
      <c r="B2701" s="10">
        <v>7.7</v>
      </c>
      <c r="C2701" t="str">
        <f>IF(acs2015_county_data[[#This Row],[Unemployment]]&gt;='Описательные характеристики'!$I$5,"да","нет")</f>
        <v>да</v>
      </c>
    </row>
    <row r="2702" spans="1:3" x14ac:dyDescent="0.35">
      <c r="A2702" s="4">
        <v>25176</v>
      </c>
      <c r="B2702" s="9">
        <v>6.6</v>
      </c>
      <c r="C2702" t="str">
        <f>IF(acs2015_county_data[[#This Row],[Unemployment]]&gt;='Описательные характеристики'!$I$5,"да","нет")</f>
        <v>нет</v>
      </c>
    </row>
    <row r="2703" spans="1:3" x14ac:dyDescent="0.35">
      <c r="A2703" s="6">
        <v>25995</v>
      </c>
      <c r="B2703" s="10">
        <v>5.2</v>
      </c>
      <c r="C2703" t="str">
        <f>IF(acs2015_county_data[[#This Row],[Unemployment]]&gt;='Описательные характеристики'!$I$5,"да","нет")</f>
        <v>нет</v>
      </c>
    </row>
    <row r="2704" spans="1:3" x14ac:dyDescent="0.35">
      <c r="A2704" s="4">
        <v>23452</v>
      </c>
      <c r="B2704" s="9">
        <v>7.4</v>
      </c>
      <c r="C2704" t="str">
        <f>IF(acs2015_county_data[[#This Row],[Unemployment]]&gt;='Описательные характеристики'!$I$5,"да","нет")</f>
        <v>нет</v>
      </c>
    </row>
    <row r="2705" spans="1:3" x14ac:dyDescent="0.35">
      <c r="A2705" s="6">
        <v>25489</v>
      </c>
      <c r="B2705" s="10">
        <v>8.4</v>
      </c>
      <c r="C2705" t="str">
        <f>IF(acs2015_county_data[[#This Row],[Unemployment]]&gt;='Описательные характеристики'!$I$5,"да","нет")</f>
        <v>да</v>
      </c>
    </row>
    <row r="2706" spans="1:3" x14ac:dyDescent="0.35">
      <c r="A2706" s="4">
        <v>23013</v>
      </c>
      <c r="B2706" s="9">
        <v>8.3000000000000007</v>
      </c>
      <c r="C2706" t="str">
        <f>IF(acs2015_county_data[[#This Row],[Unemployment]]&gt;='Описательные характеристики'!$I$5,"да","нет")</f>
        <v>да</v>
      </c>
    </row>
    <row r="2707" spans="1:3" x14ac:dyDescent="0.35">
      <c r="A2707" s="6">
        <v>25693</v>
      </c>
      <c r="B2707" s="10">
        <v>5.7</v>
      </c>
      <c r="C2707" t="str">
        <f>IF(acs2015_county_data[[#This Row],[Unemployment]]&gt;='Описательные характеристики'!$I$5,"да","нет")</f>
        <v>нет</v>
      </c>
    </row>
    <row r="2708" spans="1:3" x14ac:dyDescent="0.35">
      <c r="A2708" s="4">
        <v>31923</v>
      </c>
      <c r="B2708" s="9">
        <v>6.1</v>
      </c>
      <c r="C2708" t="str">
        <f>IF(acs2015_county_data[[#This Row],[Unemployment]]&gt;='Описательные характеристики'!$I$5,"да","нет")</f>
        <v>нет</v>
      </c>
    </row>
    <row r="2709" spans="1:3" x14ac:dyDescent="0.35">
      <c r="A2709" s="6">
        <v>20381</v>
      </c>
      <c r="B2709" s="10">
        <v>3.6</v>
      </c>
      <c r="C2709" t="str">
        <f>IF(acs2015_county_data[[#This Row],[Unemployment]]&gt;='Описательные характеристики'!$I$5,"да","нет")</f>
        <v>нет</v>
      </c>
    </row>
    <row r="2710" spans="1:3" x14ac:dyDescent="0.35">
      <c r="A2710" s="4">
        <v>19772</v>
      </c>
      <c r="B2710" s="9">
        <v>4.8</v>
      </c>
      <c r="C2710" t="str">
        <f>IF(acs2015_county_data[[#This Row],[Unemployment]]&gt;='Описательные характеристики'!$I$5,"да","нет")</f>
        <v>нет</v>
      </c>
    </row>
    <row r="2711" spans="1:3" x14ac:dyDescent="0.35">
      <c r="A2711" s="6">
        <v>21010</v>
      </c>
      <c r="B2711" s="10">
        <v>10</v>
      </c>
      <c r="C2711" t="str">
        <f>IF(acs2015_county_data[[#This Row],[Unemployment]]&gt;='Описательные характеристики'!$I$5,"да","нет")</f>
        <v>да</v>
      </c>
    </row>
    <row r="2712" spans="1:3" x14ac:dyDescent="0.35">
      <c r="A2712" s="4">
        <v>20283</v>
      </c>
      <c r="B2712" s="9">
        <v>5.3</v>
      </c>
      <c r="C2712" t="str">
        <f>IF(acs2015_county_data[[#This Row],[Unemployment]]&gt;='Описательные характеристики'!$I$5,"да","нет")</f>
        <v>нет</v>
      </c>
    </row>
    <row r="2713" spans="1:3" x14ac:dyDescent="0.35">
      <c r="A2713" s="6">
        <v>16507</v>
      </c>
      <c r="B2713" s="10">
        <v>9.6</v>
      </c>
      <c r="C2713" t="str">
        <f>IF(acs2015_county_data[[#This Row],[Unemployment]]&gt;='Описательные характеристики'!$I$5,"да","нет")</f>
        <v>да</v>
      </c>
    </row>
    <row r="2714" spans="1:3" x14ac:dyDescent="0.35">
      <c r="A2714" s="4">
        <v>23443</v>
      </c>
      <c r="B2714" s="9">
        <v>7.9</v>
      </c>
      <c r="C2714" t="str">
        <f>IF(acs2015_county_data[[#This Row],[Unemployment]]&gt;='Описательные характеристики'!$I$5,"да","нет")</f>
        <v>да</v>
      </c>
    </row>
    <row r="2715" spans="1:3" x14ac:dyDescent="0.35">
      <c r="A2715" s="6">
        <v>30480</v>
      </c>
      <c r="B2715" s="10">
        <v>3.9</v>
      </c>
      <c r="C2715" t="str">
        <f>IF(acs2015_county_data[[#This Row],[Unemployment]]&gt;='Описательные характеристики'!$I$5,"да","нет")</f>
        <v>нет</v>
      </c>
    </row>
    <row r="2716" spans="1:3" x14ac:dyDescent="0.35">
      <c r="A2716" s="4">
        <v>25238</v>
      </c>
      <c r="B2716" s="9">
        <v>2.2000000000000002</v>
      </c>
      <c r="C2716" t="str">
        <f>IF(acs2015_county_data[[#This Row],[Unemployment]]&gt;='Описательные характеристики'!$I$5,"да","нет")</f>
        <v>нет</v>
      </c>
    </row>
    <row r="2717" spans="1:3" x14ac:dyDescent="0.35">
      <c r="A2717" s="6">
        <v>19549</v>
      </c>
      <c r="B2717" s="10">
        <v>12</v>
      </c>
      <c r="C2717" t="str">
        <f>IF(acs2015_county_data[[#This Row],[Unemployment]]&gt;='Описательные характеристики'!$I$5,"да","нет")</f>
        <v>да</v>
      </c>
    </row>
    <row r="2718" spans="1:3" x14ac:dyDescent="0.35">
      <c r="A2718" s="4">
        <v>19482</v>
      </c>
      <c r="B2718" s="9">
        <v>7.2</v>
      </c>
      <c r="C2718" t="str">
        <f>IF(acs2015_county_data[[#This Row],[Unemployment]]&gt;='Описательные характеристики'!$I$5,"да","нет")</f>
        <v>нет</v>
      </c>
    </row>
    <row r="2719" spans="1:3" x14ac:dyDescent="0.35">
      <c r="A2719" s="6">
        <v>17893</v>
      </c>
      <c r="B2719" s="10">
        <v>6.7</v>
      </c>
      <c r="C2719" t="str">
        <f>IF(acs2015_county_data[[#This Row],[Unemployment]]&gt;='Описательные характеристики'!$I$5,"да","нет")</f>
        <v>нет</v>
      </c>
    </row>
    <row r="2720" spans="1:3" x14ac:dyDescent="0.35">
      <c r="A2720" s="4">
        <v>24902</v>
      </c>
      <c r="B2720" s="9">
        <v>6.7</v>
      </c>
      <c r="C2720" t="str">
        <f>IF(acs2015_county_data[[#This Row],[Unemployment]]&gt;='Описательные характеристики'!$I$5,"да","нет")</f>
        <v>нет</v>
      </c>
    </row>
    <row r="2721" spans="1:3" x14ac:dyDescent="0.35">
      <c r="A2721" s="6">
        <v>31314</v>
      </c>
      <c r="B2721" s="10">
        <v>1.9</v>
      </c>
      <c r="C2721" t="str">
        <f>IF(acs2015_county_data[[#This Row],[Unemployment]]&gt;='Описательные характеристики'!$I$5,"да","нет")</f>
        <v>нет</v>
      </c>
    </row>
    <row r="2722" spans="1:3" x14ac:dyDescent="0.35">
      <c r="A2722" s="4">
        <v>21781</v>
      </c>
      <c r="B2722" s="9">
        <v>9.1999999999999993</v>
      </c>
      <c r="C2722" t="str">
        <f>IF(acs2015_county_data[[#This Row],[Unemployment]]&gt;='Описательные характеристики'!$I$5,"да","нет")</f>
        <v>да</v>
      </c>
    </row>
    <row r="2723" spans="1:3" x14ac:dyDescent="0.35">
      <c r="A2723" s="6">
        <v>36163</v>
      </c>
      <c r="B2723" s="10">
        <v>5.9</v>
      </c>
      <c r="C2723" t="str">
        <f>IF(acs2015_county_data[[#This Row],[Unemployment]]&gt;='Описательные характеристики'!$I$5,"да","нет")</f>
        <v>нет</v>
      </c>
    </row>
    <row r="2724" spans="1:3" x14ac:dyDescent="0.35">
      <c r="A2724" s="4">
        <v>21803</v>
      </c>
      <c r="B2724" s="9">
        <v>3.4</v>
      </c>
      <c r="C2724" t="str">
        <f>IF(acs2015_county_data[[#This Row],[Unemployment]]&gt;='Описательные характеристики'!$I$5,"да","нет")</f>
        <v>нет</v>
      </c>
    </row>
    <row r="2725" spans="1:3" x14ac:dyDescent="0.35">
      <c r="A2725" s="6">
        <v>22272</v>
      </c>
      <c r="B2725" s="10">
        <v>4.9000000000000004</v>
      </c>
      <c r="C2725" t="str">
        <f>IF(acs2015_county_data[[#This Row],[Unemployment]]&gt;='Описательные характеристики'!$I$5,"да","нет")</f>
        <v>нет</v>
      </c>
    </row>
    <row r="2726" spans="1:3" x14ac:dyDescent="0.35">
      <c r="A2726" s="4">
        <v>19511</v>
      </c>
      <c r="B2726" s="9">
        <v>12.1</v>
      </c>
      <c r="C2726" t="str">
        <f>IF(acs2015_county_data[[#This Row],[Unemployment]]&gt;='Описательные характеристики'!$I$5,"да","нет")</f>
        <v>да</v>
      </c>
    </row>
    <row r="2727" spans="1:3" x14ac:dyDescent="0.35">
      <c r="A2727" s="6">
        <v>19213</v>
      </c>
      <c r="B2727" s="10">
        <v>16.3</v>
      </c>
      <c r="C2727" t="str">
        <f>IF(acs2015_county_data[[#This Row],[Unemployment]]&gt;='Описательные характеристики'!$I$5,"да","нет")</f>
        <v>да</v>
      </c>
    </row>
    <row r="2728" spans="1:3" x14ac:dyDescent="0.35">
      <c r="A2728" s="4">
        <v>22363</v>
      </c>
      <c r="B2728" s="9">
        <v>12.6</v>
      </c>
      <c r="C2728" t="str">
        <f>IF(acs2015_county_data[[#This Row],[Unemployment]]&gt;='Описательные характеристики'!$I$5,"да","нет")</f>
        <v>да</v>
      </c>
    </row>
    <row r="2729" spans="1:3" x14ac:dyDescent="0.35">
      <c r="A2729" s="6">
        <v>24211</v>
      </c>
      <c r="B2729" s="10">
        <v>5.2</v>
      </c>
      <c r="C2729" t="str">
        <f>IF(acs2015_county_data[[#This Row],[Unemployment]]&gt;='Описательные характеристики'!$I$5,"да","нет")</f>
        <v>нет</v>
      </c>
    </row>
    <row r="2730" spans="1:3" x14ac:dyDescent="0.35">
      <c r="A2730" s="4">
        <v>19743</v>
      </c>
      <c r="B2730" s="9">
        <v>4.9000000000000004</v>
      </c>
      <c r="C2730" t="str">
        <f>IF(acs2015_county_data[[#This Row],[Unemployment]]&gt;='Описательные характеристики'!$I$5,"да","нет")</f>
        <v>нет</v>
      </c>
    </row>
    <row r="2731" spans="1:3" x14ac:dyDescent="0.35">
      <c r="A2731" s="6">
        <v>25199</v>
      </c>
      <c r="B2731" s="10">
        <v>4.0999999999999996</v>
      </c>
      <c r="C2731" t="str">
        <f>IF(acs2015_county_data[[#This Row],[Unemployment]]&gt;='Описательные характеристики'!$I$5,"да","нет")</f>
        <v>нет</v>
      </c>
    </row>
    <row r="2732" spans="1:3" x14ac:dyDescent="0.35">
      <c r="A2732" s="4">
        <v>24584</v>
      </c>
      <c r="B2732" s="9">
        <v>3.3</v>
      </c>
      <c r="C2732" t="str">
        <f>IF(acs2015_county_data[[#This Row],[Unemployment]]&gt;='Описательные характеристики'!$I$5,"да","нет")</f>
        <v>нет</v>
      </c>
    </row>
    <row r="2733" spans="1:3" x14ac:dyDescent="0.35">
      <c r="A2733" s="6">
        <v>23826</v>
      </c>
      <c r="B2733" s="10">
        <v>3.8</v>
      </c>
      <c r="C2733" t="str">
        <f>IF(acs2015_county_data[[#This Row],[Unemployment]]&gt;='Описательные характеристики'!$I$5,"да","нет")</f>
        <v>нет</v>
      </c>
    </row>
    <row r="2734" spans="1:3" x14ac:dyDescent="0.35">
      <c r="A2734" s="4">
        <v>20753</v>
      </c>
      <c r="B2734" s="9">
        <v>7.9</v>
      </c>
      <c r="C2734" t="str">
        <f>IF(acs2015_county_data[[#This Row],[Unemployment]]&gt;='Описательные характеристики'!$I$5,"да","нет")</f>
        <v>да</v>
      </c>
    </row>
    <row r="2735" spans="1:3" x14ac:dyDescent="0.35">
      <c r="A2735" s="6">
        <v>22436</v>
      </c>
      <c r="B2735" s="10">
        <v>3.7</v>
      </c>
      <c r="C2735" t="str">
        <f>IF(acs2015_county_data[[#This Row],[Unemployment]]&gt;='Описательные характеристики'!$I$5,"да","нет")</f>
        <v>нет</v>
      </c>
    </row>
    <row r="2736" spans="1:3" x14ac:dyDescent="0.35">
      <c r="A2736" s="4">
        <v>24964</v>
      </c>
      <c r="B2736" s="9">
        <v>7.2</v>
      </c>
      <c r="C2736" t="str">
        <f>IF(acs2015_county_data[[#This Row],[Unemployment]]&gt;='Описательные характеристики'!$I$5,"да","нет")</f>
        <v>нет</v>
      </c>
    </row>
    <row r="2737" spans="1:3" x14ac:dyDescent="0.35">
      <c r="A2737" s="6">
        <v>26946</v>
      </c>
      <c r="B2737" s="10">
        <v>2.1</v>
      </c>
      <c r="C2737" t="str">
        <f>IF(acs2015_county_data[[#This Row],[Unemployment]]&gt;='Описательные характеристики'!$I$5,"да","нет")</f>
        <v>нет</v>
      </c>
    </row>
    <row r="2738" spans="1:3" x14ac:dyDescent="0.35">
      <c r="A2738" s="4">
        <v>12483</v>
      </c>
      <c r="B2738" s="9">
        <v>13.8</v>
      </c>
      <c r="C2738" t="str">
        <f>IF(acs2015_county_data[[#This Row],[Unemployment]]&gt;='Описательные характеристики'!$I$5,"да","нет")</f>
        <v>да</v>
      </c>
    </row>
    <row r="2739" spans="1:3" x14ac:dyDescent="0.35">
      <c r="A2739" s="6">
        <v>22241</v>
      </c>
      <c r="B2739" s="10">
        <v>3.9</v>
      </c>
      <c r="C2739" t="str">
        <f>IF(acs2015_county_data[[#This Row],[Unemployment]]&gt;='Описательные характеристики'!$I$5,"да","нет")</f>
        <v>нет</v>
      </c>
    </row>
    <row r="2740" spans="1:3" x14ac:dyDescent="0.35">
      <c r="A2740" s="4">
        <v>21386</v>
      </c>
      <c r="B2740" s="9">
        <v>0.3</v>
      </c>
      <c r="C2740" t="str">
        <f>IF(acs2015_county_data[[#This Row],[Unemployment]]&gt;='Описательные характеристики'!$I$5,"да","нет")</f>
        <v>нет</v>
      </c>
    </row>
    <row r="2741" spans="1:3" x14ac:dyDescent="0.35">
      <c r="A2741" s="6">
        <v>22416</v>
      </c>
      <c r="B2741" s="10">
        <v>6.9</v>
      </c>
      <c r="C2741" t="str">
        <f>IF(acs2015_county_data[[#This Row],[Unemployment]]&gt;='Описательные характеристики'!$I$5,"да","нет")</f>
        <v>нет</v>
      </c>
    </row>
    <row r="2742" spans="1:3" x14ac:dyDescent="0.35">
      <c r="A2742" s="4">
        <v>25650</v>
      </c>
      <c r="B2742" s="9">
        <v>4.3</v>
      </c>
      <c r="C2742" t="str">
        <f>IF(acs2015_county_data[[#This Row],[Unemployment]]&gt;='Описательные характеристики'!$I$5,"да","нет")</f>
        <v>нет</v>
      </c>
    </row>
    <row r="2743" spans="1:3" x14ac:dyDescent="0.35">
      <c r="A2743" s="6">
        <v>18437</v>
      </c>
      <c r="B2743" s="10">
        <v>6.4</v>
      </c>
      <c r="C2743" t="str">
        <f>IF(acs2015_county_data[[#This Row],[Unemployment]]&gt;='Описательные характеристики'!$I$5,"да","нет")</f>
        <v>нет</v>
      </c>
    </row>
    <row r="2744" spans="1:3" x14ac:dyDescent="0.35">
      <c r="A2744" s="4">
        <v>29058</v>
      </c>
      <c r="B2744" s="9">
        <v>6.9</v>
      </c>
      <c r="C2744" t="str">
        <f>IF(acs2015_county_data[[#This Row],[Unemployment]]&gt;='Описательные характеристики'!$I$5,"да","нет")</f>
        <v>нет</v>
      </c>
    </row>
    <row r="2745" spans="1:3" x14ac:dyDescent="0.35">
      <c r="A2745" s="6">
        <v>23896</v>
      </c>
      <c r="B2745" s="10">
        <v>5.9</v>
      </c>
      <c r="C2745" t="str">
        <f>IF(acs2015_county_data[[#This Row],[Unemployment]]&gt;='Описательные характеристики'!$I$5,"да","нет")</f>
        <v>нет</v>
      </c>
    </row>
    <row r="2746" spans="1:3" x14ac:dyDescent="0.35">
      <c r="A2746" s="4">
        <v>27062</v>
      </c>
      <c r="B2746" s="9">
        <v>3.7</v>
      </c>
      <c r="C2746" t="str">
        <f>IF(acs2015_county_data[[#This Row],[Unemployment]]&gt;='Описательные характеристики'!$I$5,"да","нет")</f>
        <v>нет</v>
      </c>
    </row>
    <row r="2747" spans="1:3" x14ac:dyDescent="0.35">
      <c r="A2747" s="6">
        <v>21705</v>
      </c>
      <c r="B2747" s="10">
        <v>6.5</v>
      </c>
      <c r="C2747" t="str">
        <f>IF(acs2015_county_data[[#This Row],[Unemployment]]&gt;='Описательные характеристики'!$I$5,"да","нет")</f>
        <v>нет</v>
      </c>
    </row>
    <row r="2748" spans="1:3" x14ac:dyDescent="0.35">
      <c r="A2748" s="4">
        <v>28305</v>
      </c>
      <c r="B2748" s="9">
        <v>2.6</v>
      </c>
      <c r="C2748" t="str">
        <f>IF(acs2015_county_data[[#This Row],[Unemployment]]&gt;='Описательные характеристики'!$I$5,"да","нет")</f>
        <v>нет</v>
      </c>
    </row>
    <row r="2749" spans="1:3" x14ac:dyDescent="0.35">
      <c r="A2749" s="6">
        <v>19472</v>
      </c>
      <c r="B2749" s="10">
        <v>7.5</v>
      </c>
      <c r="C2749" t="str">
        <f>IF(acs2015_county_data[[#This Row],[Unemployment]]&gt;='Описательные характеристики'!$I$5,"да","нет")</f>
        <v>нет</v>
      </c>
    </row>
    <row r="2750" spans="1:3" x14ac:dyDescent="0.35">
      <c r="A2750" s="4">
        <v>25274</v>
      </c>
      <c r="B2750" s="9">
        <v>4.7</v>
      </c>
      <c r="C2750" t="str">
        <f>IF(acs2015_county_data[[#This Row],[Unemployment]]&gt;='Описательные характеристики'!$I$5,"да","нет")</f>
        <v>нет</v>
      </c>
    </row>
    <row r="2751" spans="1:3" x14ac:dyDescent="0.35">
      <c r="A2751" s="6">
        <v>35168</v>
      </c>
      <c r="B2751" s="10">
        <v>6</v>
      </c>
      <c r="C2751" t="str">
        <f>IF(acs2015_county_data[[#This Row],[Unemployment]]&gt;='Описательные характеристики'!$I$5,"да","нет")</f>
        <v>нет</v>
      </c>
    </row>
    <row r="2752" spans="1:3" x14ac:dyDescent="0.35">
      <c r="A2752" s="4">
        <v>19766</v>
      </c>
      <c r="B2752" s="9">
        <v>9.9</v>
      </c>
      <c r="C2752" t="str">
        <f>IF(acs2015_county_data[[#This Row],[Unemployment]]&gt;='Описательные характеристики'!$I$5,"да","нет")</f>
        <v>да</v>
      </c>
    </row>
    <row r="2753" spans="1:3" x14ac:dyDescent="0.35">
      <c r="A2753" s="6">
        <v>20242</v>
      </c>
      <c r="B2753" s="10">
        <v>11.5</v>
      </c>
      <c r="C2753" t="str">
        <f>IF(acs2015_county_data[[#This Row],[Unemployment]]&gt;='Описательные характеристики'!$I$5,"да","нет")</f>
        <v>да</v>
      </c>
    </row>
    <row r="2754" spans="1:3" x14ac:dyDescent="0.35">
      <c r="A2754" s="4">
        <v>22692</v>
      </c>
      <c r="B2754" s="9">
        <v>7.9</v>
      </c>
      <c r="C2754" t="str">
        <f>IF(acs2015_county_data[[#This Row],[Unemployment]]&gt;='Описательные характеристики'!$I$5,"да","нет")</f>
        <v>да</v>
      </c>
    </row>
    <row r="2755" spans="1:3" x14ac:dyDescent="0.35">
      <c r="A2755" s="6">
        <v>22751</v>
      </c>
      <c r="B2755" s="10">
        <v>4.3</v>
      </c>
      <c r="C2755" t="str">
        <f>IF(acs2015_county_data[[#This Row],[Unemployment]]&gt;='Описательные характеристики'!$I$5,"да","нет")</f>
        <v>нет</v>
      </c>
    </row>
    <row r="2756" spans="1:3" x14ac:dyDescent="0.35">
      <c r="A2756" s="4">
        <v>18135</v>
      </c>
      <c r="B2756" s="9">
        <v>8.1</v>
      </c>
      <c r="C2756" t="str">
        <f>IF(acs2015_county_data[[#This Row],[Unemployment]]&gt;='Описательные характеристики'!$I$5,"да","нет")</f>
        <v>да</v>
      </c>
    </row>
    <row r="2757" spans="1:3" x14ac:dyDescent="0.35">
      <c r="A2757" s="6">
        <v>18632</v>
      </c>
      <c r="B2757" s="10">
        <v>9.3000000000000007</v>
      </c>
      <c r="C2757" t="str">
        <f>IF(acs2015_county_data[[#This Row],[Unemployment]]&gt;='Описательные характеристики'!$I$5,"да","нет")</f>
        <v>да</v>
      </c>
    </row>
    <row r="2758" spans="1:3" x14ac:dyDescent="0.35">
      <c r="A2758" s="4">
        <v>23257</v>
      </c>
      <c r="B2758" s="9">
        <v>6.1</v>
      </c>
      <c r="C2758" t="str">
        <f>IF(acs2015_county_data[[#This Row],[Unemployment]]&gt;='Описательные характеристики'!$I$5,"да","нет")</f>
        <v>нет</v>
      </c>
    </row>
    <row r="2759" spans="1:3" x14ac:dyDescent="0.35">
      <c r="A2759" s="6">
        <v>25987</v>
      </c>
      <c r="B2759" s="10">
        <v>6.5</v>
      </c>
      <c r="C2759" t="str">
        <f>IF(acs2015_county_data[[#This Row],[Unemployment]]&gt;='Описательные характеристики'!$I$5,"да","нет")</f>
        <v>нет</v>
      </c>
    </row>
    <row r="2760" spans="1:3" x14ac:dyDescent="0.35">
      <c r="A2760" s="4">
        <v>16135</v>
      </c>
      <c r="B2760" s="9">
        <v>4.4000000000000004</v>
      </c>
      <c r="C2760" t="str">
        <f>IF(acs2015_county_data[[#This Row],[Unemployment]]&gt;='Описательные характеристики'!$I$5,"да","нет")</f>
        <v>нет</v>
      </c>
    </row>
    <row r="2761" spans="1:3" x14ac:dyDescent="0.35">
      <c r="A2761" s="6">
        <v>22849</v>
      </c>
      <c r="B2761" s="10">
        <v>8.3000000000000007</v>
      </c>
      <c r="C2761" t="str">
        <f>IF(acs2015_county_data[[#This Row],[Unemployment]]&gt;='Описательные характеристики'!$I$5,"да","нет")</f>
        <v>да</v>
      </c>
    </row>
    <row r="2762" spans="1:3" x14ac:dyDescent="0.35">
      <c r="A2762" s="4">
        <v>24234</v>
      </c>
      <c r="B2762" s="9">
        <v>4.4000000000000004</v>
      </c>
      <c r="C2762" t="str">
        <f>IF(acs2015_county_data[[#This Row],[Unemployment]]&gt;='Описательные характеристики'!$I$5,"да","нет")</f>
        <v>нет</v>
      </c>
    </row>
    <row r="2763" spans="1:3" x14ac:dyDescent="0.35">
      <c r="A2763" s="6">
        <v>25057</v>
      </c>
      <c r="B2763" s="10">
        <v>5.0999999999999996</v>
      </c>
      <c r="C2763" t="str">
        <f>IF(acs2015_county_data[[#This Row],[Unemployment]]&gt;='Описательные характеристики'!$I$5,"да","нет")</f>
        <v>нет</v>
      </c>
    </row>
    <row r="2764" spans="1:3" x14ac:dyDescent="0.35">
      <c r="A2764" s="4">
        <v>15096</v>
      </c>
      <c r="B2764" s="9">
        <v>6</v>
      </c>
      <c r="C2764" t="str">
        <f>IF(acs2015_county_data[[#This Row],[Unemployment]]&gt;='Описательные характеристики'!$I$5,"да","нет")</f>
        <v>нет</v>
      </c>
    </row>
    <row r="2765" spans="1:3" x14ac:dyDescent="0.35">
      <c r="A2765" s="6">
        <v>21581</v>
      </c>
      <c r="B2765" s="10">
        <v>6.6</v>
      </c>
      <c r="C2765" t="str">
        <f>IF(acs2015_county_data[[#This Row],[Unemployment]]&gt;='Описательные характеристики'!$I$5,"да","нет")</f>
        <v>нет</v>
      </c>
    </row>
    <row r="2766" spans="1:3" x14ac:dyDescent="0.35">
      <c r="A2766" s="4">
        <v>26184</v>
      </c>
      <c r="B2766" s="9">
        <v>3.9</v>
      </c>
      <c r="C2766" t="str">
        <f>IF(acs2015_county_data[[#This Row],[Unemployment]]&gt;='Описательные характеристики'!$I$5,"да","нет")</f>
        <v>нет</v>
      </c>
    </row>
    <row r="2767" spans="1:3" x14ac:dyDescent="0.35">
      <c r="A2767" s="6">
        <v>22861</v>
      </c>
      <c r="B2767" s="10">
        <v>6.1</v>
      </c>
      <c r="C2767" t="str">
        <f>IF(acs2015_county_data[[#This Row],[Unemployment]]&gt;='Описательные характеристики'!$I$5,"да","нет")</f>
        <v>нет</v>
      </c>
    </row>
    <row r="2768" spans="1:3" x14ac:dyDescent="0.35">
      <c r="A2768" s="4">
        <v>20752</v>
      </c>
      <c r="B2768" s="9">
        <v>7.5</v>
      </c>
      <c r="C2768" t="str">
        <f>IF(acs2015_county_data[[#This Row],[Unemployment]]&gt;='Описательные характеристики'!$I$5,"да","нет")</f>
        <v>нет</v>
      </c>
    </row>
    <row r="2769" spans="1:3" x14ac:dyDescent="0.35">
      <c r="A2769" s="6">
        <v>11413</v>
      </c>
      <c r="B2769" s="10">
        <v>11.5</v>
      </c>
      <c r="C2769" t="str">
        <f>IF(acs2015_county_data[[#This Row],[Unemployment]]&gt;='Описательные характеристики'!$I$5,"да","нет")</f>
        <v>да</v>
      </c>
    </row>
    <row r="2770" spans="1:3" x14ac:dyDescent="0.35">
      <c r="A2770" s="4">
        <v>31876</v>
      </c>
      <c r="B2770" s="9">
        <v>6</v>
      </c>
      <c r="C2770" t="str">
        <f>IF(acs2015_county_data[[#This Row],[Unemployment]]&gt;='Описательные характеристики'!$I$5,"да","нет")</f>
        <v>нет</v>
      </c>
    </row>
    <row r="2771" spans="1:3" x14ac:dyDescent="0.35">
      <c r="A2771" s="6">
        <v>28887</v>
      </c>
      <c r="B2771" s="10">
        <v>5.8</v>
      </c>
      <c r="C2771" t="str">
        <f>IF(acs2015_county_data[[#This Row],[Unemployment]]&gt;='Описательные характеристики'!$I$5,"да","нет")</f>
        <v>нет</v>
      </c>
    </row>
    <row r="2772" spans="1:3" x14ac:dyDescent="0.35">
      <c r="A2772" s="4">
        <v>22656</v>
      </c>
      <c r="B2772" s="9">
        <v>2.5</v>
      </c>
      <c r="C2772" t="str">
        <f>IF(acs2015_county_data[[#This Row],[Unemployment]]&gt;='Описательные характеристики'!$I$5,"да","нет")</f>
        <v>нет</v>
      </c>
    </row>
    <row r="2773" spans="1:3" x14ac:dyDescent="0.35">
      <c r="A2773" s="6">
        <v>27208</v>
      </c>
      <c r="B2773" s="10">
        <v>7.5</v>
      </c>
      <c r="C2773" t="str">
        <f>IF(acs2015_county_data[[#This Row],[Unemployment]]&gt;='Описательные характеристики'!$I$5,"да","нет")</f>
        <v>нет</v>
      </c>
    </row>
    <row r="2774" spans="1:3" x14ac:dyDescent="0.35">
      <c r="A2774" s="4">
        <v>24561</v>
      </c>
      <c r="B2774" s="9">
        <v>8.9</v>
      </c>
      <c r="C2774" t="str">
        <f>IF(acs2015_county_data[[#This Row],[Unemployment]]&gt;='Описательные характеристики'!$I$5,"да","нет")</f>
        <v>да</v>
      </c>
    </row>
    <row r="2775" spans="1:3" x14ac:dyDescent="0.35">
      <c r="A2775" s="6">
        <v>23125</v>
      </c>
      <c r="B2775" s="10">
        <v>8.1</v>
      </c>
      <c r="C2775" t="str">
        <f>IF(acs2015_county_data[[#This Row],[Unemployment]]&gt;='Описательные характеристики'!$I$5,"да","нет")</f>
        <v>да</v>
      </c>
    </row>
    <row r="2776" spans="1:3" x14ac:dyDescent="0.35">
      <c r="A2776" s="4">
        <v>25524</v>
      </c>
      <c r="B2776" s="9">
        <v>5.6</v>
      </c>
      <c r="C2776" t="str">
        <f>IF(acs2015_county_data[[#This Row],[Unemployment]]&gt;='Описательные характеристики'!$I$5,"да","нет")</f>
        <v>нет</v>
      </c>
    </row>
    <row r="2777" spans="1:3" x14ac:dyDescent="0.35">
      <c r="A2777" s="6">
        <v>16619</v>
      </c>
      <c r="B2777" s="10">
        <v>12.2</v>
      </c>
      <c r="C2777" t="str">
        <f>IF(acs2015_county_data[[#This Row],[Unemployment]]&gt;='Описательные характеристики'!$I$5,"да","нет")</f>
        <v>да</v>
      </c>
    </row>
    <row r="2778" spans="1:3" x14ac:dyDescent="0.35">
      <c r="A2778" s="4">
        <v>13813</v>
      </c>
      <c r="B2778" s="9">
        <v>12.2</v>
      </c>
      <c r="C2778" t="str">
        <f>IF(acs2015_county_data[[#This Row],[Unemployment]]&gt;='Описательные характеристики'!$I$5,"да","нет")</f>
        <v>да</v>
      </c>
    </row>
    <row r="2779" spans="1:3" x14ac:dyDescent="0.35">
      <c r="A2779" s="6">
        <v>21405</v>
      </c>
      <c r="B2779" s="10">
        <v>3.8</v>
      </c>
      <c r="C2779" t="str">
        <f>IF(acs2015_county_data[[#This Row],[Unemployment]]&gt;='Описательные характеристики'!$I$5,"да","нет")</f>
        <v>нет</v>
      </c>
    </row>
    <row r="2780" spans="1:3" x14ac:dyDescent="0.35">
      <c r="A2780" s="4">
        <v>21748</v>
      </c>
      <c r="B2780" s="9">
        <v>6.3</v>
      </c>
      <c r="C2780" t="str">
        <f>IF(acs2015_county_data[[#This Row],[Unemployment]]&gt;='Описательные характеристики'!$I$5,"да","нет")</f>
        <v>нет</v>
      </c>
    </row>
    <row r="2781" spans="1:3" x14ac:dyDescent="0.35">
      <c r="A2781" s="6">
        <v>20223</v>
      </c>
      <c r="B2781" s="10">
        <v>5.5</v>
      </c>
      <c r="C2781" t="str">
        <f>IF(acs2015_county_data[[#This Row],[Unemployment]]&gt;='Описательные характеристики'!$I$5,"да","нет")</f>
        <v>нет</v>
      </c>
    </row>
    <row r="2782" spans="1:3" x14ac:dyDescent="0.35">
      <c r="A2782" s="4">
        <v>21287</v>
      </c>
      <c r="B2782" s="9">
        <v>7.4</v>
      </c>
      <c r="C2782" t="str">
        <f>IF(acs2015_county_data[[#This Row],[Unemployment]]&gt;='Описательные характеристики'!$I$5,"да","нет")</f>
        <v>нет</v>
      </c>
    </row>
    <row r="2783" spans="1:3" x14ac:dyDescent="0.35">
      <c r="A2783" s="6">
        <v>22149</v>
      </c>
      <c r="B2783" s="10">
        <v>4.3</v>
      </c>
      <c r="C2783" t="str">
        <f>IF(acs2015_county_data[[#This Row],[Unemployment]]&gt;='Описательные характеристики'!$I$5,"да","нет")</f>
        <v>нет</v>
      </c>
    </row>
    <row r="2784" spans="1:3" x14ac:dyDescent="0.35">
      <c r="A2784" s="4">
        <v>26411</v>
      </c>
      <c r="B2784" s="9">
        <v>4.2</v>
      </c>
      <c r="C2784" t="str">
        <f>IF(acs2015_county_data[[#This Row],[Unemployment]]&gt;='Описательные характеристики'!$I$5,"да","нет")</f>
        <v>нет</v>
      </c>
    </row>
    <row r="2785" spans="1:3" x14ac:dyDescent="0.35">
      <c r="A2785" s="6">
        <v>23576</v>
      </c>
      <c r="B2785" s="10">
        <v>5.2</v>
      </c>
      <c r="C2785" t="str">
        <f>IF(acs2015_county_data[[#This Row],[Unemployment]]&gt;='Описательные характеристики'!$I$5,"да","нет")</f>
        <v>нет</v>
      </c>
    </row>
    <row r="2786" spans="1:3" x14ac:dyDescent="0.35">
      <c r="A2786" s="4">
        <v>19717</v>
      </c>
      <c r="B2786" s="9">
        <v>5.7</v>
      </c>
      <c r="C2786" t="str">
        <f>IF(acs2015_county_data[[#This Row],[Unemployment]]&gt;='Описательные характеристики'!$I$5,"да","нет")</f>
        <v>нет</v>
      </c>
    </row>
    <row r="2787" spans="1:3" x14ac:dyDescent="0.35">
      <c r="A2787" s="6">
        <v>19971</v>
      </c>
      <c r="B2787" s="10">
        <v>8.6</v>
      </c>
      <c r="C2787" t="str">
        <f>IF(acs2015_county_data[[#This Row],[Unemployment]]&gt;='Описательные характеристики'!$I$5,"да","нет")</f>
        <v>да</v>
      </c>
    </row>
    <row r="2788" spans="1:3" x14ac:dyDescent="0.35">
      <c r="A2788" s="4">
        <v>22635</v>
      </c>
      <c r="B2788" s="9">
        <v>7.1</v>
      </c>
      <c r="C2788" t="str">
        <f>IF(acs2015_county_data[[#This Row],[Unemployment]]&gt;='Описательные характеристики'!$I$5,"да","нет")</f>
        <v>нет</v>
      </c>
    </row>
    <row r="2789" spans="1:3" x14ac:dyDescent="0.35">
      <c r="A2789" s="6">
        <v>18995</v>
      </c>
      <c r="B2789" s="10">
        <v>10.5</v>
      </c>
      <c r="C2789" t="str">
        <f>IF(acs2015_county_data[[#This Row],[Unemployment]]&gt;='Описательные характеристики'!$I$5,"да","нет")</f>
        <v>да</v>
      </c>
    </row>
    <row r="2790" spans="1:3" x14ac:dyDescent="0.35">
      <c r="A2790" s="4">
        <v>18447</v>
      </c>
      <c r="B2790" s="9">
        <v>3.8</v>
      </c>
      <c r="C2790" t="str">
        <f>IF(acs2015_county_data[[#This Row],[Unemployment]]&gt;='Описательные характеристики'!$I$5,"да","нет")</f>
        <v>нет</v>
      </c>
    </row>
    <row r="2791" spans="1:3" x14ac:dyDescent="0.35">
      <c r="A2791" s="6">
        <v>24729</v>
      </c>
      <c r="B2791" s="10">
        <v>7</v>
      </c>
      <c r="C2791" t="str">
        <f>IF(acs2015_county_data[[#This Row],[Unemployment]]&gt;='Описательные характеристики'!$I$5,"да","нет")</f>
        <v>нет</v>
      </c>
    </row>
    <row r="2792" spans="1:3" x14ac:dyDescent="0.35">
      <c r="A2792" s="4">
        <v>20602</v>
      </c>
      <c r="B2792" s="9">
        <v>4.3</v>
      </c>
      <c r="C2792" t="str">
        <f>IF(acs2015_county_data[[#This Row],[Unemployment]]&gt;='Описательные характеристики'!$I$5,"да","нет")</f>
        <v>нет</v>
      </c>
    </row>
    <row r="2793" spans="1:3" x14ac:dyDescent="0.35">
      <c r="A2793" s="6">
        <v>27312</v>
      </c>
      <c r="B2793" s="10">
        <v>6</v>
      </c>
      <c r="C2793" t="str">
        <f>IF(acs2015_county_data[[#This Row],[Unemployment]]&gt;='Описательные характеристики'!$I$5,"да","нет")</f>
        <v>нет</v>
      </c>
    </row>
    <row r="2794" spans="1:3" x14ac:dyDescent="0.35">
      <c r="A2794" s="4">
        <v>17493</v>
      </c>
      <c r="B2794" s="9">
        <v>6.8</v>
      </c>
      <c r="C2794" t="str">
        <f>IF(acs2015_county_data[[#This Row],[Unemployment]]&gt;='Описательные характеристики'!$I$5,"да","нет")</f>
        <v>нет</v>
      </c>
    </row>
    <row r="2795" spans="1:3" x14ac:dyDescent="0.35">
      <c r="A2795" s="6">
        <v>19168</v>
      </c>
      <c r="B2795" s="10">
        <v>6.2</v>
      </c>
      <c r="C2795" t="str">
        <f>IF(acs2015_county_data[[#This Row],[Unemployment]]&gt;='Описательные характеристики'!$I$5,"да","нет")</f>
        <v>нет</v>
      </c>
    </row>
    <row r="2796" spans="1:3" x14ac:dyDescent="0.35">
      <c r="A2796" s="4">
        <v>27314</v>
      </c>
      <c r="B2796" s="9">
        <v>5.8</v>
      </c>
      <c r="C2796" t="str">
        <f>IF(acs2015_county_data[[#This Row],[Unemployment]]&gt;='Описательные характеристики'!$I$5,"да","нет")</f>
        <v>нет</v>
      </c>
    </row>
    <row r="2797" spans="1:3" x14ac:dyDescent="0.35">
      <c r="A2797" s="6">
        <v>15654</v>
      </c>
      <c r="B2797" s="10">
        <v>8.4</v>
      </c>
      <c r="C2797" t="str">
        <f>IF(acs2015_county_data[[#This Row],[Unemployment]]&gt;='Описательные характеристики'!$I$5,"да","нет")</f>
        <v>да</v>
      </c>
    </row>
    <row r="2798" spans="1:3" x14ac:dyDescent="0.35">
      <c r="A2798" s="4">
        <v>16965</v>
      </c>
      <c r="B2798" s="9">
        <v>8.3000000000000007</v>
      </c>
      <c r="C2798" t="str">
        <f>IF(acs2015_county_data[[#This Row],[Unemployment]]&gt;='Описательные характеристики'!$I$5,"да","нет")</f>
        <v>да</v>
      </c>
    </row>
    <row r="2799" spans="1:3" x14ac:dyDescent="0.35">
      <c r="A2799" s="6">
        <v>19261</v>
      </c>
      <c r="B2799" s="10">
        <v>5.9</v>
      </c>
      <c r="C2799" t="str">
        <f>IF(acs2015_county_data[[#This Row],[Unemployment]]&gt;='Описательные характеристики'!$I$5,"да","нет")</f>
        <v>нет</v>
      </c>
    </row>
    <row r="2800" spans="1:3" x14ac:dyDescent="0.35">
      <c r="A2800" s="4">
        <v>47733</v>
      </c>
      <c r="B2800" s="9">
        <v>3.2</v>
      </c>
      <c r="C2800" t="str">
        <f>IF(acs2015_county_data[[#This Row],[Unemployment]]&gt;='Описательные характеристики'!$I$5,"да","нет")</f>
        <v>нет</v>
      </c>
    </row>
    <row r="2801" spans="1:3" x14ac:dyDescent="0.35">
      <c r="A2801" s="6">
        <v>22643</v>
      </c>
      <c r="B2801" s="10">
        <v>7.1</v>
      </c>
      <c r="C2801" t="str">
        <f>IF(acs2015_county_data[[#This Row],[Unemployment]]&gt;='Описательные характеристики'!$I$5,"да","нет")</f>
        <v>нет</v>
      </c>
    </row>
    <row r="2802" spans="1:3" x14ac:dyDescent="0.35">
      <c r="A2802" s="4">
        <v>24720</v>
      </c>
      <c r="B2802" s="9">
        <v>5.0999999999999996</v>
      </c>
      <c r="C2802" t="str">
        <f>IF(acs2015_county_data[[#This Row],[Unemployment]]&gt;='Описательные характеристики'!$I$5,"да","нет")</f>
        <v>нет</v>
      </c>
    </row>
    <row r="2803" spans="1:3" x14ac:dyDescent="0.35">
      <c r="A2803" s="6">
        <v>21335</v>
      </c>
      <c r="B2803" s="10">
        <v>5.5</v>
      </c>
      <c r="C2803" t="str">
        <f>IF(acs2015_county_data[[#This Row],[Unemployment]]&gt;='Описательные характеристики'!$I$5,"да","нет")</f>
        <v>нет</v>
      </c>
    </row>
    <row r="2804" spans="1:3" x14ac:dyDescent="0.35">
      <c r="A2804" s="4">
        <v>26397</v>
      </c>
      <c r="B2804" s="9">
        <v>4.7</v>
      </c>
      <c r="C2804" t="str">
        <f>IF(acs2015_county_data[[#This Row],[Unemployment]]&gt;='Описательные характеристики'!$I$5,"да","нет")</f>
        <v>нет</v>
      </c>
    </row>
    <row r="2805" spans="1:3" x14ac:dyDescent="0.35">
      <c r="A2805" s="6">
        <v>22459</v>
      </c>
      <c r="B2805" s="10">
        <v>7.7</v>
      </c>
      <c r="C2805" t="str">
        <f>IF(acs2015_county_data[[#This Row],[Unemployment]]&gt;='Описательные характеристики'!$I$5,"да","нет")</f>
        <v>да</v>
      </c>
    </row>
    <row r="2806" spans="1:3" x14ac:dyDescent="0.35">
      <c r="A2806" s="4">
        <v>20121</v>
      </c>
      <c r="B2806" s="9">
        <v>2.1</v>
      </c>
      <c r="C2806" t="str">
        <f>IF(acs2015_county_data[[#This Row],[Unemployment]]&gt;='Описательные характеристики'!$I$5,"да","нет")</f>
        <v>нет</v>
      </c>
    </row>
    <row r="2807" spans="1:3" x14ac:dyDescent="0.35">
      <c r="A2807" s="6">
        <v>23545</v>
      </c>
      <c r="B2807" s="10">
        <v>6.3</v>
      </c>
      <c r="C2807" t="str">
        <f>IF(acs2015_county_data[[#This Row],[Unemployment]]&gt;='Описательные характеристики'!$I$5,"да","нет")</f>
        <v>нет</v>
      </c>
    </row>
    <row r="2808" spans="1:3" x14ac:dyDescent="0.35">
      <c r="A2808" s="4">
        <v>29561</v>
      </c>
      <c r="B2808" s="9">
        <v>5.8</v>
      </c>
      <c r="C2808" t="str">
        <f>IF(acs2015_county_data[[#This Row],[Unemployment]]&gt;='Описательные характеристики'!$I$5,"да","нет")</f>
        <v>нет</v>
      </c>
    </row>
    <row r="2809" spans="1:3" x14ac:dyDescent="0.35">
      <c r="A2809" s="6">
        <v>29296</v>
      </c>
      <c r="B2809" s="10">
        <v>5.7</v>
      </c>
      <c r="C2809" t="str">
        <f>IF(acs2015_county_data[[#This Row],[Unemployment]]&gt;='Описательные характеристики'!$I$5,"да","нет")</f>
        <v>нет</v>
      </c>
    </row>
    <row r="2810" spans="1:3" x14ac:dyDescent="0.35">
      <c r="A2810" s="4">
        <v>23919</v>
      </c>
      <c r="B2810" s="9">
        <v>7.2</v>
      </c>
      <c r="C2810" t="str">
        <f>IF(acs2015_county_data[[#This Row],[Unemployment]]&gt;='Описательные характеристики'!$I$5,"да","нет")</f>
        <v>нет</v>
      </c>
    </row>
    <row r="2811" spans="1:3" x14ac:dyDescent="0.35">
      <c r="A2811" s="6">
        <v>33977</v>
      </c>
      <c r="B2811" s="10">
        <v>5</v>
      </c>
      <c r="C2811" t="str">
        <f>IF(acs2015_county_data[[#This Row],[Unemployment]]&gt;='Описательные характеристики'!$I$5,"да","нет")</f>
        <v>нет</v>
      </c>
    </row>
    <row r="2812" spans="1:3" x14ac:dyDescent="0.35">
      <c r="A2812" s="4">
        <v>21338</v>
      </c>
      <c r="B2812" s="9">
        <v>9.4</v>
      </c>
      <c r="C2812" t="str">
        <f>IF(acs2015_county_data[[#This Row],[Unemployment]]&gt;='Описательные характеристики'!$I$5,"да","нет")</f>
        <v>да</v>
      </c>
    </row>
    <row r="2813" spans="1:3" x14ac:dyDescent="0.35">
      <c r="A2813" s="6">
        <v>28394</v>
      </c>
      <c r="B2813" s="10">
        <v>4.9000000000000004</v>
      </c>
      <c r="C2813" t="str">
        <f>IF(acs2015_county_data[[#This Row],[Unemployment]]&gt;='Описательные характеристики'!$I$5,"да","нет")</f>
        <v>нет</v>
      </c>
    </row>
    <row r="2814" spans="1:3" x14ac:dyDescent="0.35">
      <c r="A2814" s="4">
        <v>35214</v>
      </c>
      <c r="B2814" s="9">
        <v>7.4</v>
      </c>
      <c r="C2814" t="str">
        <f>IF(acs2015_county_data[[#This Row],[Unemployment]]&gt;='Описательные характеристики'!$I$5,"да","нет")</f>
        <v>нет</v>
      </c>
    </row>
    <row r="2815" spans="1:3" x14ac:dyDescent="0.35">
      <c r="A2815" s="6">
        <v>27390</v>
      </c>
      <c r="B2815" s="10">
        <v>4.3</v>
      </c>
      <c r="C2815" t="str">
        <f>IF(acs2015_county_data[[#This Row],[Unemployment]]&gt;='Описательные характеристики'!$I$5,"да","нет")</f>
        <v>нет</v>
      </c>
    </row>
    <row r="2816" spans="1:3" x14ac:dyDescent="0.35">
      <c r="A2816" s="4">
        <v>27755</v>
      </c>
      <c r="B2816" s="9">
        <v>4.5</v>
      </c>
      <c r="C2816" t="str">
        <f>IF(acs2015_county_data[[#This Row],[Unemployment]]&gt;='Описательные характеристики'!$I$5,"да","нет")</f>
        <v>нет</v>
      </c>
    </row>
    <row r="2817" spans="1:3" x14ac:dyDescent="0.35">
      <c r="A2817" s="6">
        <v>23213</v>
      </c>
      <c r="B2817" s="10">
        <v>5.6</v>
      </c>
      <c r="C2817" t="str">
        <f>IF(acs2015_county_data[[#This Row],[Unemployment]]&gt;='Описательные характеристики'!$I$5,"да","нет")</f>
        <v>нет</v>
      </c>
    </row>
    <row r="2818" spans="1:3" x14ac:dyDescent="0.35">
      <c r="A2818" s="4">
        <v>27219</v>
      </c>
      <c r="B2818" s="9">
        <v>6.6</v>
      </c>
      <c r="C2818" t="str">
        <f>IF(acs2015_county_data[[#This Row],[Unemployment]]&gt;='Описательные характеристики'!$I$5,"да","нет")</f>
        <v>нет</v>
      </c>
    </row>
    <row r="2819" spans="1:3" x14ac:dyDescent="0.35">
      <c r="A2819" s="6">
        <v>30598</v>
      </c>
      <c r="B2819" s="10">
        <v>4.8</v>
      </c>
      <c r="C2819" t="str">
        <f>IF(acs2015_county_data[[#This Row],[Unemployment]]&gt;='Описательные характеристики'!$I$5,"да","нет")</f>
        <v>нет</v>
      </c>
    </row>
    <row r="2820" spans="1:3" x14ac:dyDescent="0.35">
      <c r="A2820" s="4">
        <v>28473</v>
      </c>
      <c r="B2820" s="9">
        <v>6.8</v>
      </c>
      <c r="C2820" t="str">
        <f>IF(acs2015_county_data[[#This Row],[Unemployment]]&gt;='Описательные характеристики'!$I$5,"да","нет")</f>
        <v>нет</v>
      </c>
    </row>
    <row r="2821" spans="1:3" x14ac:dyDescent="0.35">
      <c r="A2821" s="6">
        <v>32474</v>
      </c>
      <c r="B2821" s="10">
        <v>5.0999999999999996</v>
      </c>
      <c r="C2821" t="str">
        <f>IF(acs2015_county_data[[#This Row],[Unemployment]]&gt;='Описательные характеристики'!$I$5,"да","нет")</f>
        <v>нет</v>
      </c>
    </row>
    <row r="2822" spans="1:3" x14ac:dyDescent="0.35">
      <c r="A2822" s="4">
        <v>23231</v>
      </c>
      <c r="B2822" s="9">
        <v>6.8</v>
      </c>
      <c r="C2822" t="str">
        <f>IF(acs2015_county_data[[#This Row],[Unemployment]]&gt;='Описательные характеристики'!$I$5,"да","нет")</f>
        <v>нет</v>
      </c>
    </row>
    <row r="2823" spans="1:3" x14ac:dyDescent="0.35">
      <c r="A2823" s="6">
        <v>37474</v>
      </c>
      <c r="B2823" s="10">
        <v>3.8</v>
      </c>
      <c r="C2823" t="str">
        <f>IF(acs2015_county_data[[#This Row],[Unemployment]]&gt;='Описательные характеристики'!$I$5,"да","нет")</f>
        <v>нет</v>
      </c>
    </row>
    <row r="2824" spans="1:3" x14ac:dyDescent="0.35">
      <c r="A2824" s="4">
        <v>24118</v>
      </c>
      <c r="B2824" s="9">
        <v>5.0999999999999996</v>
      </c>
      <c r="C2824" t="str">
        <f>IF(acs2015_county_data[[#This Row],[Unemployment]]&gt;='Описательные характеристики'!$I$5,"да","нет")</f>
        <v>нет</v>
      </c>
    </row>
    <row r="2825" spans="1:3" x14ac:dyDescent="0.35">
      <c r="A2825" s="6">
        <v>24868</v>
      </c>
      <c r="B2825" s="10">
        <v>5</v>
      </c>
      <c r="C2825" t="str">
        <f>IF(acs2015_county_data[[#This Row],[Unemployment]]&gt;='Описательные характеристики'!$I$5,"да","нет")</f>
        <v>нет</v>
      </c>
    </row>
    <row r="2826" spans="1:3" x14ac:dyDescent="0.35">
      <c r="A2826" s="4">
        <v>23469</v>
      </c>
      <c r="B2826" s="9">
        <v>6.6</v>
      </c>
      <c r="C2826" t="str">
        <f>IF(acs2015_county_data[[#This Row],[Unemployment]]&gt;='Описательные характеристики'!$I$5,"да","нет")</f>
        <v>нет</v>
      </c>
    </row>
    <row r="2827" spans="1:3" x14ac:dyDescent="0.35">
      <c r="A2827" s="6">
        <v>23941</v>
      </c>
      <c r="B2827" s="10">
        <v>6.6</v>
      </c>
      <c r="C2827" t="str">
        <f>IF(acs2015_county_data[[#This Row],[Unemployment]]&gt;='Описательные характеристики'!$I$5,"да","нет")</f>
        <v>нет</v>
      </c>
    </row>
    <row r="2828" spans="1:3" x14ac:dyDescent="0.35">
      <c r="A2828" s="4">
        <v>63579</v>
      </c>
      <c r="B2828" s="9">
        <v>3.7</v>
      </c>
      <c r="C2828" t="str">
        <f>IF(acs2015_county_data[[#This Row],[Unemployment]]&gt;='Описательные характеристики'!$I$5,"да","нет")</f>
        <v>нет</v>
      </c>
    </row>
    <row r="2829" spans="1:3" x14ac:dyDescent="0.35">
      <c r="A2829" s="6">
        <v>27000</v>
      </c>
      <c r="B2829" s="10">
        <v>4.7</v>
      </c>
      <c r="C2829" t="str">
        <f>IF(acs2015_county_data[[#This Row],[Unemployment]]&gt;='Описательные характеристики'!$I$5,"да","нет")</f>
        <v>нет</v>
      </c>
    </row>
    <row r="2830" spans="1:3" x14ac:dyDescent="0.35">
      <c r="A2830" s="4">
        <v>32166</v>
      </c>
      <c r="B2830" s="9">
        <v>6</v>
      </c>
      <c r="C2830" t="str">
        <f>IF(acs2015_county_data[[#This Row],[Unemployment]]&gt;='Описательные характеристики'!$I$5,"да","нет")</f>
        <v>нет</v>
      </c>
    </row>
    <row r="2831" spans="1:3" x14ac:dyDescent="0.35">
      <c r="A2831" s="6">
        <v>28524</v>
      </c>
      <c r="B2831" s="10">
        <v>5.8</v>
      </c>
      <c r="C2831" t="str">
        <f>IF(acs2015_county_data[[#This Row],[Unemployment]]&gt;='Описательные характеристики'!$I$5,"да","нет")</f>
        <v>нет</v>
      </c>
    </row>
    <row r="2832" spans="1:3" x14ac:dyDescent="0.35">
      <c r="A2832" s="4">
        <v>20169</v>
      </c>
      <c r="B2832" s="9">
        <v>8.6999999999999993</v>
      </c>
      <c r="C2832" t="str">
        <f>IF(acs2015_county_data[[#This Row],[Unemployment]]&gt;='Описательные характеристики'!$I$5,"да","нет")</f>
        <v>да</v>
      </c>
    </row>
    <row r="2833" spans="1:3" x14ac:dyDescent="0.35">
      <c r="A2833" s="6">
        <v>31160</v>
      </c>
      <c r="B2833" s="10">
        <v>4.5999999999999996</v>
      </c>
      <c r="C2833" t="str">
        <f>IF(acs2015_county_data[[#This Row],[Unemployment]]&gt;='Описательные характеристики'!$I$5,"да","нет")</f>
        <v>нет</v>
      </c>
    </row>
    <row r="2834" spans="1:3" x14ac:dyDescent="0.35">
      <c r="A2834" s="4">
        <v>18245</v>
      </c>
      <c r="B2834" s="9">
        <v>10.5</v>
      </c>
      <c r="C2834" t="str">
        <f>IF(acs2015_county_data[[#This Row],[Unemployment]]&gt;='Описательные характеристики'!$I$5,"да","нет")</f>
        <v>да</v>
      </c>
    </row>
    <row r="2835" spans="1:3" x14ac:dyDescent="0.35">
      <c r="A2835" s="6">
        <v>17883</v>
      </c>
      <c r="B2835" s="10">
        <v>10.6</v>
      </c>
      <c r="C2835" t="str">
        <f>IF(acs2015_county_data[[#This Row],[Unemployment]]&gt;='Описательные характеристики'!$I$5,"да","нет")</f>
        <v>да</v>
      </c>
    </row>
    <row r="2836" spans="1:3" x14ac:dyDescent="0.35">
      <c r="A2836" s="4">
        <v>18204</v>
      </c>
      <c r="B2836" s="9">
        <v>11.2</v>
      </c>
      <c r="C2836" t="str">
        <f>IF(acs2015_county_data[[#This Row],[Unemployment]]&gt;='Описательные характеристики'!$I$5,"да","нет")</f>
        <v>да</v>
      </c>
    </row>
    <row r="2837" spans="1:3" x14ac:dyDescent="0.35">
      <c r="A2837" s="6">
        <v>24192</v>
      </c>
      <c r="B2837" s="10">
        <v>6</v>
      </c>
      <c r="C2837" t="str">
        <f>IF(acs2015_county_data[[#This Row],[Unemployment]]&gt;='Описательные характеристики'!$I$5,"да","нет")</f>
        <v>нет</v>
      </c>
    </row>
    <row r="2838" spans="1:3" x14ac:dyDescent="0.35">
      <c r="A2838" s="4">
        <v>26761</v>
      </c>
      <c r="B2838" s="9">
        <v>8.6</v>
      </c>
      <c r="C2838" t="str">
        <f>IF(acs2015_county_data[[#This Row],[Unemployment]]&gt;='Описательные характеристики'!$I$5,"да","нет")</f>
        <v>да</v>
      </c>
    </row>
    <row r="2839" spans="1:3" x14ac:dyDescent="0.35">
      <c r="A2839" s="6">
        <v>21145</v>
      </c>
      <c r="B2839" s="10">
        <v>6.7</v>
      </c>
      <c r="C2839" t="str">
        <f>IF(acs2015_county_data[[#This Row],[Unemployment]]&gt;='Описательные характеристики'!$I$5,"да","нет")</f>
        <v>нет</v>
      </c>
    </row>
    <row r="2840" spans="1:3" x14ac:dyDescent="0.35">
      <c r="A2840" s="4">
        <v>29018</v>
      </c>
      <c r="B2840" s="9">
        <v>8.1999999999999993</v>
      </c>
      <c r="C2840" t="str">
        <f>IF(acs2015_county_data[[#This Row],[Unemployment]]&gt;='Описательные характеристики'!$I$5,"да","нет")</f>
        <v>да</v>
      </c>
    </row>
    <row r="2841" spans="1:3" x14ac:dyDescent="0.35">
      <c r="A2841" s="6">
        <v>18719</v>
      </c>
      <c r="B2841" s="10">
        <v>4.9000000000000004</v>
      </c>
      <c r="C2841" t="str">
        <f>IF(acs2015_county_data[[#This Row],[Unemployment]]&gt;='Описательные характеристики'!$I$5,"да","нет")</f>
        <v>нет</v>
      </c>
    </row>
    <row r="2842" spans="1:3" x14ac:dyDescent="0.35">
      <c r="A2842" s="4">
        <v>33220</v>
      </c>
      <c r="B2842" s="9">
        <v>6.8</v>
      </c>
      <c r="C2842" t="str">
        <f>IF(acs2015_county_data[[#This Row],[Unemployment]]&gt;='Описательные характеристики'!$I$5,"да","нет")</f>
        <v>нет</v>
      </c>
    </row>
    <row r="2843" spans="1:3" x14ac:dyDescent="0.35">
      <c r="A2843" s="6">
        <v>37558</v>
      </c>
      <c r="B2843" s="10">
        <v>6</v>
      </c>
      <c r="C2843" t="str">
        <f>IF(acs2015_county_data[[#This Row],[Unemployment]]&gt;='Описательные характеристики'!$I$5,"да","нет")</f>
        <v>нет</v>
      </c>
    </row>
    <row r="2844" spans="1:3" x14ac:dyDescent="0.35">
      <c r="A2844" s="4">
        <v>22456</v>
      </c>
      <c r="B2844" s="9">
        <v>4.0999999999999996</v>
      </c>
      <c r="C2844" t="str">
        <f>IF(acs2015_county_data[[#This Row],[Unemployment]]&gt;='Описательные характеристики'!$I$5,"да","нет")</f>
        <v>нет</v>
      </c>
    </row>
    <row r="2845" spans="1:3" x14ac:dyDescent="0.35">
      <c r="A2845" s="6">
        <v>28104</v>
      </c>
      <c r="B2845" s="10">
        <v>7.3</v>
      </c>
      <c r="C2845" t="str">
        <f>IF(acs2015_county_data[[#This Row],[Unemployment]]&gt;='Описательные характеристики'!$I$5,"да","нет")</f>
        <v>нет</v>
      </c>
    </row>
    <row r="2846" spans="1:3" x14ac:dyDescent="0.35">
      <c r="A2846" s="4">
        <v>22860</v>
      </c>
      <c r="B2846" s="9">
        <v>10.1</v>
      </c>
      <c r="C2846" t="str">
        <f>IF(acs2015_county_data[[#This Row],[Unemployment]]&gt;='Описательные характеристики'!$I$5,"да","нет")</f>
        <v>да</v>
      </c>
    </row>
    <row r="2847" spans="1:3" x14ac:dyDescent="0.35">
      <c r="A2847" s="6">
        <v>20275</v>
      </c>
      <c r="B2847" s="10">
        <v>8.4</v>
      </c>
      <c r="C2847" t="str">
        <f>IF(acs2015_county_data[[#This Row],[Unemployment]]&gt;='Описательные характеристики'!$I$5,"да","нет")</f>
        <v>да</v>
      </c>
    </row>
    <row r="2848" spans="1:3" x14ac:dyDescent="0.35">
      <c r="A2848" s="4">
        <v>23395</v>
      </c>
      <c r="B2848" s="9">
        <v>9.6999999999999993</v>
      </c>
      <c r="C2848" t="str">
        <f>IF(acs2015_county_data[[#This Row],[Unemployment]]&gt;='Описательные характеристики'!$I$5,"да","нет")</f>
        <v>да</v>
      </c>
    </row>
    <row r="2849" spans="1:3" x14ac:dyDescent="0.35">
      <c r="A2849" s="6">
        <v>23448</v>
      </c>
      <c r="B2849" s="10">
        <v>8.5</v>
      </c>
      <c r="C2849" t="str">
        <f>IF(acs2015_county_data[[#This Row],[Unemployment]]&gt;='Описательные характеристики'!$I$5,"да","нет")</f>
        <v>да</v>
      </c>
    </row>
    <row r="2850" spans="1:3" x14ac:dyDescent="0.35">
      <c r="A2850" s="4">
        <v>51025</v>
      </c>
      <c r="B2850" s="9">
        <v>4.9000000000000004</v>
      </c>
      <c r="C2850" t="str">
        <f>IF(acs2015_county_data[[#This Row],[Unemployment]]&gt;='Описательные характеристики'!$I$5,"да","нет")</f>
        <v>нет</v>
      </c>
    </row>
    <row r="2851" spans="1:3" x14ac:dyDescent="0.35">
      <c r="A2851" s="6">
        <v>41255</v>
      </c>
      <c r="B2851" s="10">
        <v>5</v>
      </c>
      <c r="C2851" t="str">
        <f>IF(acs2015_county_data[[#This Row],[Unemployment]]&gt;='Описательные характеристики'!$I$5,"да","нет")</f>
        <v>нет</v>
      </c>
    </row>
    <row r="2852" spans="1:3" x14ac:dyDescent="0.35">
      <c r="A2852" s="4">
        <v>23885</v>
      </c>
      <c r="B2852" s="9">
        <v>5.7</v>
      </c>
      <c r="C2852" t="str">
        <f>IF(acs2015_county_data[[#This Row],[Unemployment]]&gt;='Описательные характеристики'!$I$5,"да","нет")</f>
        <v>нет</v>
      </c>
    </row>
    <row r="2853" spans="1:3" x14ac:dyDescent="0.35">
      <c r="A2853" s="6">
        <v>28669</v>
      </c>
      <c r="B2853" s="10">
        <v>5.2</v>
      </c>
      <c r="C2853" t="str">
        <f>IF(acs2015_county_data[[#This Row],[Unemployment]]&gt;='Описательные характеристики'!$I$5,"да","нет")</f>
        <v>нет</v>
      </c>
    </row>
    <row r="2854" spans="1:3" x14ac:dyDescent="0.35">
      <c r="A2854" s="4">
        <v>25219</v>
      </c>
      <c r="B2854" s="9">
        <v>6.2</v>
      </c>
      <c r="C2854" t="str">
        <f>IF(acs2015_county_data[[#This Row],[Unemployment]]&gt;='Описательные характеристики'!$I$5,"да","нет")</f>
        <v>нет</v>
      </c>
    </row>
    <row r="2855" spans="1:3" x14ac:dyDescent="0.35">
      <c r="A2855" s="6">
        <v>30769</v>
      </c>
      <c r="B2855" s="10">
        <v>5.2</v>
      </c>
      <c r="C2855" t="str">
        <f>IF(acs2015_county_data[[#This Row],[Unemployment]]&gt;='Описательные характеристики'!$I$5,"да","нет")</f>
        <v>нет</v>
      </c>
    </row>
    <row r="2856" spans="1:3" x14ac:dyDescent="0.35">
      <c r="A2856" s="4">
        <v>25241</v>
      </c>
      <c r="B2856" s="9">
        <v>4.8</v>
      </c>
      <c r="C2856" t="str">
        <f>IF(acs2015_county_data[[#This Row],[Unemployment]]&gt;='Описательные характеристики'!$I$5,"да","нет")</f>
        <v>нет</v>
      </c>
    </row>
    <row r="2857" spans="1:3" x14ac:dyDescent="0.35">
      <c r="A2857" s="6">
        <v>29867</v>
      </c>
      <c r="B2857" s="10">
        <v>4.7</v>
      </c>
      <c r="C2857" t="str">
        <f>IF(acs2015_county_data[[#This Row],[Unemployment]]&gt;='Описательные характеристики'!$I$5,"да","нет")</f>
        <v>нет</v>
      </c>
    </row>
    <row r="2858" spans="1:3" x14ac:dyDescent="0.35">
      <c r="A2858" s="4">
        <v>46366</v>
      </c>
      <c r="B2858" s="9">
        <v>5</v>
      </c>
      <c r="C2858" t="str">
        <f>IF(acs2015_county_data[[#This Row],[Unemployment]]&gt;='Описательные характеристики'!$I$5,"да","нет")</f>
        <v>нет</v>
      </c>
    </row>
    <row r="2859" spans="1:3" x14ac:dyDescent="0.35">
      <c r="A2859" s="6">
        <v>19742</v>
      </c>
      <c r="B2859" s="10">
        <v>9</v>
      </c>
      <c r="C2859" t="str">
        <f>IF(acs2015_county_data[[#This Row],[Unemployment]]&gt;='Описательные характеристики'!$I$5,"да","нет")</f>
        <v>да</v>
      </c>
    </row>
    <row r="2860" spans="1:3" x14ac:dyDescent="0.35">
      <c r="A2860" s="4">
        <v>28209</v>
      </c>
      <c r="B2860" s="9">
        <v>7.4</v>
      </c>
      <c r="C2860" t="str">
        <f>IF(acs2015_county_data[[#This Row],[Unemployment]]&gt;='Описательные характеристики'!$I$5,"да","нет")</f>
        <v>нет</v>
      </c>
    </row>
    <row r="2861" spans="1:3" x14ac:dyDescent="0.35">
      <c r="A2861" s="6">
        <v>14450</v>
      </c>
      <c r="B2861" s="10">
        <v>6.4</v>
      </c>
      <c r="C2861" t="str">
        <f>IF(acs2015_county_data[[#This Row],[Unemployment]]&gt;='Описательные характеристики'!$I$5,"да","нет")</f>
        <v>нет</v>
      </c>
    </row>
    <row r="2862" spans="1:3" x14ac:dyDescent="0.35">
      <c r="A2862" s="4">
        <v>19782</v>
      </c>
      <c r="B2862" s="9">
        <v>7.5</v>
      </c>
      <c r="C2862" t="str">
        <f>IF(acs2015_county_data[[#This Row],[Unemployment]]&gt;='Описательные характеристики'!$I$5,"да","нет")</f>
        <v>нет</v>
      </c>
    </row>
    <row r="2863" spans="1:3" x14ac:dyDescent="0.35">
      <c r="A2863" s="6">
        <v>34701</v>
      </c>
      <c r="B2863" s="10">
        <v>4.4000000000000004</v>
      </c>
      <c r="C2863" t="str">
        <f>IF(acs2015_county_data[[#This Row],[Unemployment]]&gt;='Описательные характеристики'!$I$5,"да","нет")</f>
        <v>нет</v>
      </c>
    </row>
    <row r="2864" spans="1:3" x14ac:dyDescent="0.35">
      <c r="A2864" s="4">
        <v>33634</v>
      </c>
      <c r="B2864" s="9">
        <v>6.7</v>
      </c>
      <c r="C2864" t="str">
        <f>IF(acs2015_county_data[[#This Row],[Unemployment]]&gt;='Описательные характеристики'!$I$5,"да","нет")</f>
        <v>нет</v>
      </c>
    </row>
    <row r="2865" spans="1:3" x14ac:dyDescent="0.35">
      <c r="A2865" s="6">
        <v>20159</v>
      </c>
      <c r="B2865" s="10">
        <v>10</v>
      </c>
      <c r="C2865" t="str">
        <f>IF(acs2015_county_data[[#This Row],[Unemployment]]&gt;='Описательные характеристики'!$I$5,"да","нет")</f>
        <v>да</v>
      </c>
    </row>
    <row r="2866" spans="1:3" x14ac:dyDescent="0.35">
      <c r="A2866" s="4">
        <v>26809</v>
      </c>
      <c r="B2866" s="9">
        <v>1.1000000000000001</v>
      </c>
      <c r="C2866" t="str">
        <f>IF(acs2015_county_data[[#This Row],[Unemployment]]&gt;='Описательные характеристики'!$I$5,"да","нет")</f>
        <v>нет</v>
      </c>
    </row>
    <row r="2867" spans="1:3" x14ac:dyDescent="0.35">
      <c r="A2867" s="6">
        <v>31460</v>
      </c>
      <c r="B2867" s="10">
        <v>8.3000000000000007</v>
      </c>
      <c r="C2867" t="str">
        <f>IF(acs2015_county_data[[#This Row],[Unemployment]]&gt;='Описательные характеристики'!$I$5,"да","нет")</f>
        <v>да</v>
      </c>
    </row>
    <row r="2868" spans="1:3" x14ac:dyDescent="0.35">
      <c r="A2868" s="4">
        <v>39802</v>
      </c>
      <c r="B2868" s="9">
        <v>5.0999999999999996</v>
      </c>
      <c r="C2868" t="str">
        <f>IF(acs2015_county_data[[#This Row],[Unemployment]]&gt;='Описательные характеристики'!$I$5,"да","нет")</f>
        <v>нет</v>
      </c>
    </row>
    <row r="2869" spans="1:3" x14ac:dyDescent="0.35">
      <c r="A2869" s="6">
        <v>25498</v>
      </c>
      <c r="B2869" s="10">
        <v>5.5</v>
      </c>
      <c r="C2869" t="str">
        <f>IF(acs2015_county_data[[#This Row],[Unemployment]]&gt;='Описательные характеристики'!$I$5,"да","нет")</f>
        <v>нет</v>
      </c>
    </row>
    <row r="2870" spans="1:3" x14ac:dyDescent="0.35">
      <c r="A2870" s="4">
        <v>34529</v>
      </c>
      <c r="B2870" s="9">
        <v>7.4</v>
      </c>
      <c r="C2870" t="str">
        <f>IF(acs2015_county_data[[#This Row],[Unemployment]]&gt;='Описательные характеристики'!$I$5,"да","нет")</f>
        <v>нет</v>
      </c>
    </row>
    <row r="2871" spans="1:3" x14ac:dyDescent="0.35">
      <c r="A2871" s="6">
        <v>28300</v>
      </c>
      <c r="B2871" s="10">
        <v>5.4</v>
      </c>
      <c r="C2871" t="str">
        <f>IF(acs2015_county_data[[#This Row],[Unemployment]]&gt;='Описательные характеристики'!$I$5,"да","нет")</f>
        <v>нет</v>
      </c>
    </row>
    <row r="2872" spans="1:3" x14ac:dyDescent="0.35">
      <c r="A2872" s="4">
        <v>31062</v>
      </c>
      <c r="B2872" s="9">
        <v>7.9</v>
      </c>
      <c r="C2872" t="str">
        <f>IF(acs2015_county_data[[#This Row],[Unemployment]]&gt;='Описательные характеристики'!$I$5,"да","нет")</f>
        <v>да</v>
      </c>
    </row>
    <row r="2873" spans="1:3" x14ac:dyDescent="0.35">
      <c r="A2873" s="6">
        <v>17899</v>
      </c>
      <c r="B2873" s="10">
        <v>12</v>
      </c>
      <c r="C2873" t="str">
        <f>IF(acs2015_county_data[[#This Row],[Unemployment]]&gt;='Описательные характеристики'!$I$5,"да","нет")</f>
        <v>да</v>
      </c>
    </row>
    <row r="2874" spans="1:3" x14ac:dyDescent="0.35">
      <c r="A2874" s="4">
        <v>47495</v>
      </c>
      <c r="B2874" s="9">
        <v>4</v>
      </c>
      <c r="C2874" t="str">
        <f>IF(acs2015_county_data[[#This Row],[Unemployment]]&gt;='Описательные характеристики'!$I$5,"да","нет")</f>
        <v>нет</v>
      </c>
    </row>
    <row r="2875" spans="1:3" x14ac:dyDescent="0.35">
      <c r="A2875" s="6">
        <v>28323</v>
      </c>
      <c r="B2875" s="10">
        <v>8.1</v>
      </c>
      <c r="C2875" t="str">
        <f>IF(acs2015_county_data[[#This Row],[Unemployment]]&gt;='Описательные характеристики'!$I$5,"да","нет")</f>
        <v>да</v>
      </c>
    </row>
    <row r="2876" spans="1:3" x14ac:dyDescent="0.35">
      <c r="A2876" s="4">
        <v>18428</v>
      </c>
      <c r="B2876" s="9">
        <v>7.3</v>
      </c>
      <c r="C2876" t="str">
        <f>IF(acs2015_county_data[[#This Row],[Unemployment]]&gt;='Описательные характеристики'!$I$5,"да","нет")</f>
        <v>нет</v>
      </c>
    </row>
    <row r="2877" spans="1:3" x14ac:dyDescent="0.35">
      <c r="A2877" s="6">
        <v>25349</v>
      </c>
      <c r="B2877" s="10">
        <v>6.6</v>
      </c>
      <c r="C2877" t="str">
        <f>IF(acs2015_county_data[[#This Row],[Unemployment]]&gt;='Описательные характеристики'!$I$5,"да","нет")</f>
        <v>нет</v>
      </c>
    </row>
    <row r="2878" spans="1:3" x14ac:dyDescent="0.35">
      <c r="A2878" s="4">
        <v>32397</v>
      </c>
      <c r="B2878" s="9">
        <v>3.3</v>
      </c>
      <c r="C2878" t="str">
        <f>IF(acs2015_county_data[[#This Row],[Unemployment]]&gt;='Описательные характеристики'!$I$5,"да","нет")</f>
        <v>нет</v>
      </c>
    </row>
    <row r="2879" spans="1:3" x14ac:dyDescent="0.35">
      <c r="A2879" s="6">
        <v>20618</v>
      </c>
      <c r="B2879" s="10">
        <v>6.9</v>
      </c>
      <c r="C2879" t="str">
        <f>IF(acs2015_county_data[[#This Row],[Unemployment]]&gt;='Описательные характеристики'!$I$5,"да","нет")</f>
        <v>нет</v>
      </c>
    </row>
    <row r="2880" spans="1:3" x14ac:dyDescent="0.35">
      <c r="A2880" s="4">
        <v>30297</v>
      </c>
      <c r="B2880" s="9">
        <v>6.3</v>
      </c>
      <c r="C2880" t="str">
        <f>IF(acs2015_county_data[[#This Row],[Unemployment]]&gt;='Описательные характеристики'!$I$5,"да","нет")</f>
        <v>нет</v>
      </c>
    </row>
    <row r="2881" spans="1:3" x14ac:dyDescent="0.35">
      <c r="A2881" s="6">
        <v>25368</v>
      </c>
      <c r="B2881" s="10">
        <v>5.6</v>
      </c>
      <c r="C2881" t="str">
        <f>IF(acs2015_county_data[[#This Row],[Unemployment]]&gt;='Описательные характеристики'!$I$5,"да","нет")</f>
        <v>нет</v>
      </c>
    </row>
    <row r="2882" spans="1:3" x14ac:dyDescent="0.35">
      <c r="A2882" s="4">
        <v>27528</v>
      </c>
      <c r="B2882" s="9">
        <v>5.7</v>
      </c>
      <c r="C2882" t="str">
        <f>IF(acs2015_county_data[[#This Row],[Unemployment]]&gt;='Описательные характеристики'!$I$5,"да","нет")</f>
        <v>нет</v>
      </c>
    </row>
    <row r="2883" spans="1:3" x14ac:dyDescent="0.35">
      <c r="A2883" s="6">
        <v>33689</v>
      </c>
      <c r="B2883" s="10">
        <v>6.1</v>
      </c>
      <c r="C2883" t="str">
        <f>IF(acs2015_county_data[[#This Row],[Unemployment]]&gt;='Описательные характеристики'!$I$5,"да","нет")</f>
        <v>нет</v>
      </c>
    </row>
    <row r="2884" spans="1:3" x14ac:dyDescent="0.35">
      <c r="A2884" s="4">
        <v>22490</v>
      </c>
      <c r="B2884" s="9">
        <v>9.5</v>
      </c>
      <c r="C2884" t="str">
        <f>IF(acs2015_county_data[[#This Row],[Unemployment]]&gt;='Описательные характеристики'!$I$5,"да","нет")</f>
        <v>да</v>
      </c>
    </row>
    <row r="2885" spans="1:3" x14ac:dyDescent="0.35">
      <c r="A2885" s="6">
        <v>31280</v>
      </c>
      <c r="B2885" s="10">
        <v>8.6999999999999993</v>
      </c>
      <c r="C2885" t="str">
        <f>IF(acs2015_county_data[[#This Row],[Unemployment]]&gt;='Описательные характеристики'!$I$5,"да","нет")</f>
        <v>да</v>
      </c>
    </row>
    <row r="2886" spans="1:3" x14ac:dyDescent="0.35">
      <c r="A2886" s="4">
        <v>18917</v>
      </c>
      <c r="B2886" s="9">
        <v>10.8</v>
      </c>
      <c r="C2886" t="str">
        <f>IF(acs2015_county_data[[#This Row],[Unemployment]]&gt;='Описательные характеристики'!$I$5,"да","нет")</f>
        <v>да</v>
      </c>
    </row>
    <row r="2887" spans="1:3" x14ac:dyDescent="0.35">
      <c r="A2887" s="6">
        <v>29748</v>
      </c>
      <c r="B2887" s="10">
        <v>7.9</v>
      </c>
      <c r="C2887" t="str">
        <f>IF(acs2015_county_data[[#This Row],[Unemployment]]&gt;='Описательные характеристики'!$I$5,"да","нет")</f>
        <v>да</v>
      </c>
    </row>
    <row r="2888" spans="1:3" x14ac:dyDescent="0.35">
      <c r="A2888" s="4">
        <v>22241</v>
      </c>
      <c r="B2888" s="9">
        <v>9.3000000000000007</v>
      </c>
      <c r="C2888" t="str">
        <f>IF(acs2015_county_data[[#This Row],[Unemployment]]&gt;='Описательные характеристики'!$I$5,"да","нет")</f>
        <v>да</v>
      </c>
    </row>
    <row r="2889" spans="1:3" x14ac:dyDescent="0.35">
      <c r="A2889" s="6">
        <v>19311</v>
      </c>
      <c r="B2889" s="10">
        <v>8.3000000000000007</v>
      </c>
      <c r="C2889" t="str">
        <f>IF(acs2015_county_data[[#This Row],[Unemployment]]&gt;='Описательные характеристики'!$I$5,"да","нет")</f>
        <v>да</v>
      </c>
    </row>
    <row r="2890" spans="1:3" x14ac:dyDescent="0.35">
      <c r="A2890" s="4">
        <v>21667</v>
      </c>
      <c r="B2890" s="9">
        <v>7.7</v>
      </c>
      <c r="C2890" t="str">
        <f>IF(acs2015_county_data[[#This Row],[Unemployment]]&gt;='Описательные характеристики'!$I$5,"да","нет")</f>
        <v>да</v>
      </c>
    </row>
    <row r="2891" spans="1:3" x14ac:dyDescent="0.35">
      <c r="A2891" s="6">
        <v>32110</v>
      </c>
      <c r="B2891" s="10">
        <v>4.9000000000000004</v>
      </c>
      <c r="C2891" t="str">
        <f>IF(acs2015_county_data[[#This Row],[Unemployment]]&gt;='Описательные характеристики'!$I$5,"да","нет")</f>
        <v>нет</v>
      </c>
    </row>
    <row r="2892" spans="1:3" x14ac:dyDescent="0.35">
      <c r="A2892" s="4">
        <v>17901</v>
      </c>
      <c r="B2892" s="9">
        <v>7</v>
      </c>
      <c r="C2892" t="str">
        <f>IF(acs2015_county_data[[#This Row],[Unemployment]]&gt;='Описательные характеристики'!$I$5,"да","нет")</f>
        <v>нет</v>
      </c>
    </row>
    <row r="2893" spans="1:3" x14ac:dyDescent="0.35">
      <c r="A2893" s="6">
        <v>24785</v>
      </c>
      <c r="B2893" s="10">
        <v>10.6</v>
      </c>
      <c r="C2893" t="str">
        <f>IF(acs2015_county_data[[#This Row],[Unemployment]]&gt;='Описательные характеристики'!$I$5,"да","нет")</f>
        <v>да</v>
      </c>
    </row>
    <row r="2894" spans="1:3" x14ac:dyDescent="0.35">
      <c r="A2894" s="4">
        <v>37215</v>
      </c>
      <c r="B2894" s="9">
        <v>5.4</v>
      </c>
      <c r="C2894" t="str">
        <f>IF(acs2015_county_data[[#This Row],[Unemployment]]&gt;='Описательные характеристики'!$I$5,"да","нет")</f>
        <v>нет</v>
      </c>
    </row>
    <row r="2895" spans="1:3" x14ac:dyDescent="0.35">
      <c r="A2895" s="6">
        <v>25556</v>
      </c>
      <c r="B2895" s="10">
        <v>7.4</v>
      </c>
      <c r="C2895" t="str">
        <f>IF(acs2015_county_data[[#This Row],[Unemployment]]&gt;='Описательные характеристики'!$I$5,"да","нет")</f>
        <v>нет</v>
      </c>
    </row>
    <row r="2896" spans="1:3" x14ac:dyDescent="0.35">
      <c r="A2896" s="4">
        <v>36567</v>
      </c>
      <c r="B2896" s="9">
        <v>2.9</v>
      </c>
      <c r="C2896" t="str">
        <f>IF(acs2015_county_data[[#This Row],[Unemployment]]&gt;='Описательные характеристики'!$I$5,"да","нет")</f>
        <v>нет</v>
      </c>
    </row>
    <row r="2897" spans="1:3" x14ac:dyDescent="0.35">
      <c r="A2897" s="6">
        <v>19407</v>
      </c>
      <c r="B2897" s="10">
        <v>8.6999999999999993</v>
      </c>
      <c r="C2897" t="str">
        <f>IF(acs2015_county_data[[#This Row],[Unemployment]]&gt;='Описательные характеристики'!$I$5,"да","нет")</f>
        <v>да</v>
      </c>
    </row>
    <row r="2898" spans="1:3" x14ac:dyDescent="0.35">
      <c r="A2898" s="4">
        <v>31370</v>
      </c>
      <c r="B2898" s="9">
        <v>5.0999999999999996</v>
      </c>
      <c r="C2898" t="str">
        <f>IF(acs2015_county_data[[#This Row],[Unemployment]]&gt;='Описательные характеристики'!$I$5,"да","нет")</f>
        <v>нет</v>
      </c>
    </row>
    <row r="2899" spans="1:3" x14ac:dyDescent="0.35">
      <c r="A2899" s="6">
        <v>26767</v>
      </c>
      <c r="B2899" s="10">
        <v>4.0999999999999996</v>
      </c>
      <c r="C2899" t="str">
        <f>IF(acs2015_county_data[[#This Row],[Unemployment]]&gt;='Описательные характеристики'!$I$5,"да","нет")</f>
        <v>нет</v>
      </c>
    </row>
    <row r="2900" spans="1:3" x14ac:dyDescent="0.35">
      <c r="A2900" s="4">
        <v>26472</v>
      </c>
      <c r="B2900" s="9">
        <v>5.4</v>
      </c>
      <c r="C2900" t="str">
        <f>IF(acs2015_county_data[[#This Row],[Unemployment]]&gt;='Описательные характеристики'!$I$5,"да","нет")</f>
        <v>нет</v>
      </c>
    </row>
    <row r="2901" spans="1:3" x14ac:dyDescent="0.35">
      <c r="A2901" s="6">
        <v>20053</v>
      </c>
      <c r="B2901" s="10">
        <v>8</v>
      </c>
      <c r="C2901" t="str">
        <f>IF(acs2015_county_data[[#This Row],[Unemployment]]&gt;='Описательные характеристики'!$I$5,"да","нет")</f>
        <v>да</v>
      </c>
    </row>
    <row r="2902" spans="1:3" x14ac:dyDescent="0.35">
      <c r="A2902" s="4">
        <v>21295</v>
      </c>
      <c r="B2902" s="9">
        <v>9.4</v>
      </c>
      <c r="C2902" t="str">
        <f>IF(acs2015_county_data[[#This Row],[Unemployment]]&gt;='Описательные характеристики'!$I$5,"да","нет")</f>
        <v>да</v>
      </c>
    </row>
    <row r="2903" spans="1:3" x14ac:dyDescent="0.35">
      <c r="A2903" s="6">
        <v>25253</v>
      </c>
      <c r="B2903" s="10">
        <v>6</v>
      </c>
      <c r="C2903" t="str">
        <f>IF(acs2015_county_data[[#This Row],[Unemployment]]&gt;='Описательные характеристики'!$I$5,"да","нет")</f>
        <v>нет</v>
      </c>
    </row>
    <row r="2904" spans="1:3" x14ac:dyDescent="0.35">
      <c r="A2904" s="4">
        <v>21927</v>
      </c>
      <c r="B2904" s="9">
        <v>6.4</v>
      </c>
      <c r="C2904" t="str">
        <f>IF(acs2015_county_data[[#This Row],[Unemployment]]&gt;='Описательные характеристики'!$I$5,"да","нет")</f>
        <v>нет</v>
      </c>
    </row>
    <row r="2905" spans="1:3" x14ac:dyDescent="0.35">
      <c r="A2905" s="6">
        <v>23259</v>
      </c>
      <c r="B2905" s="10">
        <v>7.2</v>
      </c>
      <c r="C2905" t="str">
        <f>IF(acs2015_county_data[[#This Row],[Unemployment]]&gt;='Описательные характеристики'!$I$5,"да","нет")</f>
        <v>нет</v>
      </c>
    </row>
    <row r="2906" spans="1:3" x14ac:dyDescent="0.35">
      <c r="A2906" s="4">
        <v>32105</v>
      </c>
      <c r="B2906" s="9">
        <v>6.2</v>
      </c>
      <c r="C2906" t="str">
        <f>IF(acs2015_county_data[[#This Row],[Unemployment]]&gt;='Описательные характеристики'!$I$5,"да","нет")</f>
        <v>нет</v>
      </c>
    </row>
    <row r="2907" spans="1:3" x14ac:dyDescent="0.35">
      <c r="A2907" s="6">
        <v>37198</v>
      </c>
      <c r="B2907" s="10">
        <v>5.5</v>
      </c>
      <c r="C2907" t="str">
        <f>IF(acs2015_county_data[[#This Row],[Unemployment]]&gt;='Описательные характеристики'!$I$5,"да","нет")</f>
        <v>нет</v>
      </c>
    </row>
    <row r="2908" spans="1:3" x14ac:dyDescent="0.35">
      <c r="A2908" s="4">
        <v>24660</v>
      </c>
      <c r="B2908" s="9">
        <v>10.7</v>
      </c>
      <c r="C2908" t="str">
        <f>IF(acs2015_county_data[[#This Row],[Unemployment]]&gt;='Описательные характеристики'!$I$5,"да","нет")</f>
        <v>да</v>
      </c>
    </row>
    <row r="2909" spans="1:3" x14ac:dyDescent="0.35">
      <c r="A2909" s="6">
        <v>15143</v>
      </c>
      <c r="B2909" s="10">
        <v>6.9</v>
      </c>
      <c r="C2909" t="str">
        <f>IF(acs2015_county_data[[#This Row],[Unemployment]]&gt;='Описательные характеристики'!$I$5,"да","нет")</f>
        <v>нет</v>
      </c>
    </row>
    <row r="2910" spans="1:3" x14ac:dyDescent="0.35">
      <c r="A2910" s="4">
        <v>22721</v>
      </c>
      <c r="B2910" s="9">
        <v>8</v>
      </c>
      <c r="C2910" t="str">
        <f>IF(acs2015_county_data[[#This Row],[Unemployment]]&gt;='Описательные характеристики'!$I$5,"да","нет")</f>
        <v>да</v>
      </c>
    </row>
    <row r="2911" spans="1:3" x14ac:dyDescent="0.35">
      <c r="A2911" s="6">
        <v>29522</v>
      </c>
      <c r="B2911" s="10">
        <v>7.2</v>
      </c>
      <c r="C2911" t="str">
        <f>IF(acs2015_county_data[[#This Row],[Unemployment]]&gt;='Описательные характеристики'!$I$5,"да","нет")</f>
        <v>нет</v>
      </c>
    </row>
    <row r="2912" spans="1:3" x14ac:dyDescent="0.35">
      <c r="A2912" s="4">
        <v>25351</v>
      </c>
      <c r="B2912" s="9">
        <v>6.9</v>
      </c>
      <c r="C2912" t="str">
        <f>IF(acs2015_county_data[[#This Row],[Unemployment]]&gt;='Описательные характеристики'!$I$5,"да","нет")</f>
        <v>нет</v>
      </c>
    </row>
    <row r="2913" spans="1:3" x14ac:dyDescent="0.35">
      <c r="A2913" s="6">
        <v>25992</v>
      </c>
      <c r="B2913" s="10">
        <v>9.6999999999999993</v>
      </c>
      <c r="C2913" t="str">
        <f>IF(acs2015_county_data[[#This Row],[Unemployment]]&gt;='Описательные характеристики'!$I$5,"да","нет")</f>
        <v>да</v>
      </c>
    </row>
    <row r="2914" spans="1:3" x14ac:dyDescent="0.35">
      <c r="A2914" s="4">
        <v>20321</v>
      </c>
      <c r="B2914" s="9">
        <v>11</v>
      </c>
      <c r="C2914" t="str">
        <f>IF(acs2015_county_data[[#This Row],[Unemployment]]&gt;='Описательные характеристики'!$I$5,"да","нет")</f>
        <v>да</v>
      </c>
    </row>
    <row r="2915" spans="1:3" x14ac:dyDescent="0.35">
      <c r="A2915" s="6">
        <v>23770</v>
      </c>
      <c r="B2915" s="10">
        <v>9.6</v>
      </c>
      <c r="C2915" t="str">
        <f>IF(acs2015_county_data[[#This Row],[Unemployment]]&gt;='Описательные характеристики'!$I$5,"да","нет")</f>
        <v>да</v>
      </c>
    </row>
    <row r="2916" spans="1:3" x14ac:dyDescent="0.35">
      <c r="A2916" s="4">
        <v>35876</v>
      </c>
      <c r="B2916" s="9">
        <v>5.8</v>
      </c>
      <c r="C2916" t="str">
        <f>IF(acs2015_county_data[[#This Row],[Unemployment]]&gt;='Описательные характеристики'!$I$5,"да","нет")</f>
        <v>нет</v>
      </c>
    </row>
    <row r="2917" spans="1:3" x14ac:dyDescent="0.35">
      <c r="A2917" s="6">
        <v>54861</v>
      </c>
      <c r="B2917" s="10">
        <v>4.5</v>
      </c>
      <c r="C2917" t="str">
        <f>IF(acs2015_county_data[[#This Row],[Unemployment]]&gt;='Описательные характеристики'!$I$5,"да","нет")</f>
        <v>нет</v>
      </c>
    </row>
    <row r="2918" spans="1:3" x14ac:dyDescent="0.35">
      <c r="A2918" s="4">
        <v>20777</v>
      </c>
      <c r="B2918" s="9">
        <v>10.7</v>
      </c>
      <c r="C2918" t="str">
        <f>IF(acs2015_county_data[[#This Row],[Unemployment]]&gt;='Описательные характеристики'!$I$5,"да","нет")</f>
        <v>да</v>
      </c>
    </row>
    <row r="2919" spans="1:3" x14ac:dyDescent="0.35">
      <c r="A2919" s="6">
        <v>15707</v>
      </c>
      <c r="B2919" s="10">
        <v>7.3</v>
      </c>
      <c r="C2919" t="str">
        <f>IF(acs2015_county_data[[#This Row],[Unemployment]]&gt;='Описательные характеристики'!$I$5,"да","нет")</f>
        <v>нет</v>
      </c>
    </row>
    <row r="2920" spans="1:3" x14ac:dyDescent="0.35">
      <c r="A2920" s="4">
        <v>30378</v>
      </c>
      <c r="B2920" s="9">
        <v>4.3</v>
      </c>
      <c r="C2920" t="str">
        <f>IF(acs2015_county_data[[#This Row],[Unemployment]]&gt;='Описательные характеристики'!$I$5,"да","нет")</f>
        <v>нет</v>
      </c>
    </row>
    <row r="2921" spans="1:3" x14ac:dyDescent="0.35">
      <c r="A2921" s="6">
        <v>29703</v>
      </c>
      <c r="B2921" s="10">
        <v>7.5</v>
      </c>
      <c r="C2921" t="str">
        <f>IF(acs2015_county_data[[#This Row],[Unemployment]]&gt;='Описательные характеристики'!$I$5,"да","нет")</f>
        <v>нет</v>
      </c>
    </row>
    <row r="2922" spans="1:3" x14ac:dyDescent="0.35">
      <c r="A2922" s="4">
        <v>27572</v>
      </c>
      <c r="B2922" s="9">
        <v>8.3000000000000007</v>
      </c>
      <c r="C2922" t="str">
        <f>IF(acs2015_county_data[[#This Row],[Unemployment]]&gt;='Описательные характеристики'!$I$5,"да","нет")</f>
        <v>да</v>
      </c>
    </row>
    <row r="2923" spans="1:3" x14ac:dyDescent="0.35">
      <c r="A2923" s="6">
        <v>20055</v>
      </c>
      <c r="B2923" s="10">
        <v>7.3</v>
      </c>
      <c r="C2923" t="str">
        <f>IF(acs2015_county_data[[#This Row],[Unemployment]]&gt;='Описательные характеристики'!$I$5,"да","нет")</f>
        <v>нет</v>
      </c>
    </row>
    <row r="2924" spans="1:3" x14ac:dyDescent="0.35">
      <c r="A2924" s="4">
        <v>20933</v>
      </c>
      <c r="B2924" s="9">
        <v>12.7</v>
      </c>
      <c r="C2924" t="str">
        <f>IF(acs2015_county_data[[#This Row],[Unemployment]]&gt;='Описательные характеристики'!$I$5,"да","нет")</f>
        <v>да</v>
      </c>
    </row>
    <row r="2925" spans="1:3" x14ac:dyDescent="0.35">
      <c r="A2925" s="6">
        <v>20417</v>
      </c>
      <c r="B2925" s="10">
        <v>19.100000000000001</v>
      </c>
      <c r="C2925" t="str">
        <f>IF(acs2015_county_data[[#This Row],[Unemployment]]&gt;='Описательные характеристики'!$I$5,"да","нет")</f>
        <v>да</v>
      </c>
    </row>
    <row r="2926" spans="1:3" x14ac:dyDescent="0.35">
      <c r="A2926" s="4">
        <v>45545</v>
      </c>
      <c r="B2926" s="9">
        <v>5.4</v>
      </c>
      <c r="C2926" t="str">
        <f>IF(acs2015_county_data[[#This Row],[Unemployment]]&gt;='Описательные характеристики'!$I$5,"да","нет")</f>
        <v>нет</v>
      </c>
    </row>
    <row r="2927" spans="1:3" x14ac:dyDescent="0.35">
      <c r="A2927" s="6">
        <v>65600</v>
      </c>
      <c r="B2927" s="10">
        <v>4.2</v>
      </c>
      <c r="C2927" t="str">
        <f>IF(acs2015_county_data[[#This Row],[Unemployment]]&gt;='Описательные характеристики'!$I$5,"да","нет")</f>
        <v>нет</v>
      </c>
    </row>
    <row r="2928" spans="1:3" x14ac:dyDescent="0.35">
      <c r="A2928" s="4">
        <v>21621</v>
      </c>
      <c r="B2928" s="9">
        <v>13.7</v>
      </c>
      <c r="C2928" t="str">
        <f>IF(acs2015_county_data[[#This Row],[Unemployment]]&gt;='Описательные характеристики'!$I$5,"да","нет")</f>
        <v>да</v>
      </c>
    </row>
    <row r="2929" spans="1:3" x14ac:dyDescent="0.35">
      <c r="A2929" s="6">
        <v>29090</v>
      </c>
      <c r="B2929" s="10">
        <v>8.9</v>
      </c>
      <c r="C2929" t="str">
        <f>IF(acs2015_county_data[[#This Row],[Unemployment]]&gt;='Описательные характеристики'!$I$5,"да","нет")</f>
        <v>да</v>
      </c>
    </row>
    <row r="2930" spans="1:3" x14ac:dyDescent="0.35">
      <c r="A2930" s="4">
        <v>21515</v>
      </c>
      <c r="B2930" s="9">
        <v>6.4</v>
      </c>
      <c r="C2930" t="str">
        <f>IF(acs2015_county_data[[#This Row],[Unemployment]]&gt;='Описательные характеристики'!$I$5,"да","нет")</f>
        <v>нет</v>
      </c>
    </row>
    <row r="2931" spans="1:3" x14ac:dyDescent="0.35">
      <c r="A2931" s="6">
        <v>25029</v>
      </c>
      <c r="B2931" s="10">
        <v>9.8000000000000007</v>
      </c>
      <c r="C2931" t="str">
        <f>IF(acs2015_county_data[[#This Row],[Unemployment]]&gt;='Описательные характеристики'!$I$5,"да","нет")</f>
        <v>да</v>
      </c>
    </row>
    <row r="2932" spans="1:3" x14ac:dyDescent="0.35">
      <c r="A2932" s="4">
        <v>18324</v>
      </c>
      <c r="B2932" s="9">
        <v>6.5</v>
      </c>
      <c r="C2932" t="str">
        <f>IF(acs2015_county_data[[#This Row],[Unemployment]]&gt;='Описательные характеристики'!$I$5,"да","нет")</f>
        <v>нет</v>
      </c>
    </row>
    <row r="2933" spans="1:3" x14ac:dyDescent="0.35">
      <c r="A2933" s="6">
        <v>20700</v>
      </c>
      <c r="B2933" s="10">
        <v>12.8</v>
      </c>
      <c r="C2933" t="str">
        <f>IF(acs2015_county_data[[#This Row],[Unemployment]]&gt;='Описательные характеристики'!$I$5,"да","нет")</f>
        <v>да</v>
      </c>
    </row>
    <row r="2934" spans="1:3" x14ac:dyDescent="0.35">
      <c r="A2934" s="4">
        <v>14792</v>
      </c>
      <c r="B2934" s="9">
        <v>2.7</v>
      </c>
      <c r="C2934" t="str">
        <f>IF(acs2015_county_data[[#This Row],[Unemployment]]&gt;='Описательные характеристики'!$I$5,"да","нет")</f>
        <v>нет</v>
      </c>
    </row>
    <row r="2935" spans="1:3" x14ac:dyDescent="0.35">
      <c r="A2935" s="6">
        <v>21650</v>
      </c>
      <c r="B2935" s="10">
        <v>8</v>
      </c>
      <c r="C2935" t="str">
        <f>IF(acs2015_county_data[[#This Row],[Unemployment]]&gt;='Описательные характеристики'!$I$5,"да","нет")</f>
        <v>да</v>
      </c>
    </row>
    <row r="2936" spans="1:3" x14ac:dyDescent="0.35">
      <c r="A2936" s="4">
        <v>29424</v>
      </c>
      <c r="B2936" s="9">
        <v>7.5</v>
      </c>
      <c r="C2936" t="str">
        <f>IF(acs2015_county_data[[#This Row],[Unemployment]]&gt;='Описательные характеристики'!$I$5,"да","нет")</f>
        <v>нет</v>
      </c>
    </row>
    <row r="2937" spans="1:3" x14ac:dyDescent="0.35">
      <c r="A2937" s="6">
        <v>28164</v>
      </c>
      <c r="B2937" s="10">
        <v>4.4000000000000004</v>
      </c>
      <c r="C2937" t="str">
        <f>IF(acs2015_county_data[[#This Row],[Unemployment]]&gt;='Описательные характеристики'!$I$5,"да","нет")</f>
        <v>нет</v>
      </c>
    </row>
    <row r="2938" spans="1:3" x14ac:dyDescent="0.35">
      <c r="A2938" s="4">
        <v>21899</v>
      </c>
      <c r="B2938" s="9">
        <v>11.5</v>
      </c>
      <c r="C2938" t="str">
        <f>IF(acs2015_county_data[[#This Row],[Unemployment]]&gt;='Описательные характеристики'!$I$5,"да","нет")</f>
        <v>да</v>
      </c>
    </row>
    <row r="2939" spans="1:3" x14ac:dyDescent="0.35">
      <c r="A2939" s="6">
        <v>25369</v>
      </c>
      <c r="B2939" s="10">
        <v>9.1</v>
      </c>
      <c r="C2939" t="str">
        <f>IF(acs2015_county_data[[#This Row],[Unemployment]]&gt;='Описательные характеристики'!$I$5,"да","нет")</f>
        <v>да</v>
      </c>
    </row>
    <row r="2940" spans="1:3" x14ac:dyDescent="0.35">
      <c r="A2940" s="4">
        <v>24657</v>
      </c>
      <c r="B2940" s="9">
        <v>10.9</v>
      </c>
      <c r="C2940" t="str">
        <f>IF(acs2015_county_data[[#This Row],[Unemployment]]&gt;='Описательные характеристики'!$I$5,"да","нет")</f>
        <v>да</v>
      </c>
    </row>
    <row r="2941" spans="1:3" x14ac:dyDescent="0.35">
      <c r="A2941" s="6">
        <v>19647</v>
      </c>
      <c r="B2941" s="10">
        <v>11.1</v>
      </c>
      <c r="C2941" t="str">
        <f>IF(acs2015_county_data[[#This Row],[Unemployment]]&gt;='Описательные характеристики'!$I$5,"да","нет")</f>
        <v>да</v>
      </c>
    </row>
    <row r="2942" spans="1:3" x14ac:dyDescent="0.35">
      <c r="A2942" s="4">
        <v>19149</v>
      </c>
      <c r="B2942" s="9">
        <v>13</v>
      </c>
      <c r="C2942" t="str">
        <f>IF(acs2015_county_data[[#This Row],[Unemployment]]&gt;='Описательные характеристики'!$I$5,"да","нет")</f>
        <v>да</v>
      </c>
    </row>
    <row r="2943" spans="1:3" x14ac:dyDescent="0.35">
      <c r="A2943" s="6">
        <v>38428</v>
      </c>
      <c r="B2943" s="10">
        <v>4.5</v>
      </c>
      <c r="C2943" t="str">
        <f>IF(acs2015_county_data[[#This Row],[Unemployment]]&gt;='Описательные характеристики'!$I$5,"да","нет")</f>
        <v>нет</v>
      </c>
    </row>
    <row r="2944" spans="1:3" x14ac:dyDescent="0.35">
      <c r="A2944" s="4">
        <v>23075</v>
      </c>
      <c r="B2944" s="9">
        <v>11.6</v>
      </c>
      <c r="C2944" t="str">
        <f>IF(acs2015_county_data[[#This Row],[Unemployment]]&gt;='Описательные характеристики'!$I$5,"да","нет")</f>
        <v>да</v>
      </c>
    </row>
    <row r="2945" spans="1:3" x14ac:dyDescent="0.35">
      <c r="A2945" s="6">
        <v>15556</v>
      </c>
      <c r="B2945" s="10">
        <v>8.8000000000000007</v>
      </c>
      <c r="C2945" t="str">
        <f>IF(acs2015_county_data[[#This Row],[Unemployment]]&gt;='Описательные характеристики'!$I$5,"да","нет")</f>
        <v>да</v>
      </c>
    </row>
    <row r="2946" spans="1:3" x14ac:dyDescent="0.35">
      <c r="A2946" s="4">
        <v>28023</v>
      </c>
      <c r="B2946" s="9">
        <v>10</v>
      </c>
      <c r="C2946" t="str">
        <f>IF(acs2015_county_data[[#This Row],[Unemployment]]&gt;='Описательные характеристики'!$I$5,"да","нет")</f>
        <v>да</v>
      </c>
    </row>
    <row r="2947" spans="1:3" x14ac:dyDescent="0.35">
      <c r="A2947" s="6">
        <v>23685</v>
      </c>
      <c r="B2947" s="10">
        <v>8.3000000000000007</v>
      </c>
      <c r="C2947" t="str">
        <f>IF(acs2015_county_data[[#This Row],[Unemployment]]&gt;='Описательные характеристики'!$I$5,"да","нет")</f>
        <v>да</v>
      </c>
    </row>
    <row r="2948" spans="1:3" x14ac:dyDescent="0.35">
      <c r="A2948" s="4">
        <v>27560</v>
      </c>
      <c r="B2948" s="9">
        <v>4.8</v>
      </c>
      <c r="C2948" t="str">
        <f>IF(acs2015_county_data[[#This Row],[Unemployment]]&gt;='Описательные характеристики'!$I$5,"да","нет")</f>
        <v>нет</v>
      </c>
    </row>
    <row r="2949" spans="1:3" x14ac:dyDescent="0.35">
      <c r="A2949" s="6">
        <v>25182</v>
      </c>
      <c r="B2949" s="10">
        <v>5.6</v>
      </c>
      <c r="C2949" t="str">
        <f>IF(acs2015_county_data[[#This Row],[Unemployment]]&gt;='Описательные характеристики'!$I$5,"да","нет")</f>
        <v>нет</v>
      </c>
    </row>
    <row r="2950" spans="1:3" x14ac:dyDescent="0.35">
      <c r="A2950" s="4">
        <v>29620</v>
      </c>
      <c r="B2950" s="9">
        <v>8</v>
      </c>
      <c r="C2950" t="str">
        <f>IF(acs2015_county_data[[#This Row],[Unemployment]]&gt;='Описательные характеристики'!$I$5,"да","нет")</f>
        <v>да</v>
      </c>
    </row>
    <row r="2951" spans="1:3" x14ac:dyDescent="0.35">
      <c r="A2951" s="6">
        <v>32269</v>
      </c>
      <c r="B2951" s="10">
        <v>6.1</v>
      </c>
      <c r="C2951" t="str">
        <f>IF(acs2015_county_data[[#This Row],[Unemployment]]&gt;='Описательные характеристики'!$I$5,"да","нет")</f>
        <v>нет</v>
      </c>
    </row>
    <row r="2952" spans="1:3" x14ac:dyDescent="0.35">
      <c r="A2952" s="4">
        <v>22156</v>
      </c>
      <c r="B2952" s="9">
        <v>4.9000000000000004</v>
      </c>
      <c r="C2952" t="str">
        <f>IF(acs2015_county_data[[#This Row],[Unemployment]]&gt;='Описательные характеристики'!$I$5,"да","нет")</f>
        <v>нет</v>
      </c>
    </row>
    <row r="2953" spans="1:3" x14ac:dyDescent="0.35">
      <c r="A2953" s="6">
        <v>24127</v>
      </c>
      <c r="B2953" s="10">
        <v>8.5</v>
      </c>
      <c r="C2953" t="str">
        <f>IF(acs2015_county_data[[#This Row],[Unemployment]]&gt;='Описательные характеристики'!$I$5,"да","нет")</f>
        <v>да</v>
      </c>
    </row>
    <row r="2954" spans="1:3" x14ac:dyDescent="0.35">
      <c r="A2954" s="4">
        <v>26182</v>
      </c>
      <c r="B2954" s="9">
        <v>6.7</v>
      </c>
      <c r="C2954" t="str">
        <f>IF(acs2015_county_data[[#This Row],[Unemployment]]&gt;='Описательные характеристики'!$I$5,"да","нет")</f>
        <v>нет</v>
      </c>
    </row>
    <row r="2955" spans="1:3" x14ac:dyDescent="0.35">
      <c r="A2955" s="6">
        <v>17564</v>
      </c>
      <c r="B2955" s="10">
        <v>9.6</v>
      </c>
      <c r="C2955" t="str">
        <f>IF(acs2015_county_data[[#This Row],[Unemployment]]&gt;='Описательные характеристики'!$I$5,"да","нет")</f>
        <v>да</v>
      </c>
    </row>
    <row r="2956" spans="1:3" x14ac:dyDescent="0.35">
      <c r="A2956" s="4">
        <v>25132</v>
      </c>
      <c r="B2956" s="9">
        <v>9.6</v>
      </c>
      <c r="C2956" t="str">
        <f>IF(acs2015_county_data[[#This Row],[Unemployment]]&gt;='Описательные характеристики'!$I$5,"да","нет")</f>
        <v>да</v>
      </c>
    </row>
    <row r="2957" spans="1:3" x14ac:dyDescent="0.35">
      <c r="A2957" s="6">
        <v>28758</v>
      </c>
      <c r="B2957" s="10">
        <v>6.9</v>
      </c>
      <c r="C2957" t="str">
        <f>IF(acs2015_county_data[[#This Row],[Unemployment]]&gt;='Описательные характеристики'!$I$5,"да","нет")</f>
        <v>нет</v>
      </c>
    </row>
    <row r="2958" spans="1:3" x14ac:dyDescent="0.35">
      <c r="A2958" s="4">
        <v>25564</v>
      </c>
      <c r="B2958" s="9">
        <v>7.5</v>
      </c>
      <c r="C2958" t="str">
        <f>IF(acs2015_county_data[[#This Row],[Unemployment]]&gt;='Описательные характеристики'!$I$5,"да","нет")</f>
        <v>нет</v>
      </c>
    </row>
    <row r="2959" spans="1:3" x14ac:dyDescent="0.35">
      <c r="A2959" s="6">
        <v>27000</v>
      </c>
      <c r="B2959" s="10">
        <v>9.9</v>
      </c>
      <c r="C2959" t="str">
        <f>IF(acs2015_county_data[[#This Row],[Unemployment]]&gt;='Описательные характеристики'!$I$5,"да","нет")</f>
        <v>да</v>
      </c>
    </row>
    <row r="2960" spans="1:3" x14ac:dyDescent="0.35">
      <c r="A2960" s="4">
        <v>28801</v>
      </c>
      <c r="B2960" s="9">
        <v>8.6</v>
      </c>
      <c r="C2960" t="str">
        <f>IF(acs2015_county_data[[#This Row],[Unemployment]]&gt;='Описательные характеристики'!$I$5,"да","нет")</f>
        <v>да</v>
      </c>
    </row>
    <row r="2961" spans="1:3" x14ac:dyDescent="0.35">
      <c r="A2961" s="6">
        <v>24400</v>
      </c>
      <c r="B2961" s="10">
        <v>10.4</v>
      </c>
      <c r="C2961" t="str">
        <f>IF(acs2015_county_data[[#This Row],[Unemployment]]&gt;='Описательные характеристики'!$I$5,"да","нет")</f>
        <v>да</v>
      </c>
    </row>
    <row r="2962" spans="1:3" x14ac:dyDescent="0.35">
      <c r="A2962" s="4">
        <v>24260</v>
      </c>
      <c r="B2962" s="9">
        <v>10.7</v>
      </c>
      <c r="C2962" t="str">
        <f>IF(acs2015_county_data[[#This Row],[Unemployment]]&gt;='Описательные характеристики'!$I$5,"да","нет")</f>
        <v>да</v>
      </c>
    </row>
    <row r="2963" spans="1:3" x14ac:dyDescent="0.35">
      <c r="A2963" s="6">
        <v>23598</v>
      </c>
      <c r="B2963" s="10">
        <v>6.5</v>
      </c>
      <c r="C2963" t="str">
        <f>IF(acs2015_county_data[[#This Row],[Unemployment]]&gt;='Описательные характеристики'!$I$5,"да","нет")</f>
        <v>нет</v>
      </c>
    </row>
    <row r="2964" spans="1:3" x14ac:dyDescent="0.35">
      <c r="A2964" s="4">
        <v>20602</v>
      </c>
      <c r="B2964" s="9">
        <v>12.2</v>
      </c>
      <c r="C2964" t="str">
        <f>IF(acs2015_county_data[[#This Row],[Unemployment]]&gt;='Описательные характеристики'!$I$5,"да","нет")</f>
        <v>да</v>
      </c>
    </row>
    <row r="2965" spans="1:3" x14ac:dyDescent="0.35">
      <c r="A2965" s="6">
        <v>20412</v>
      </c>
      <c r="B2965" s="10">
        <v>7.2</v>
      </c>
      <c r="C2965" t="str">
        <f>IF(acs2015_county_data[[#This Row],[Unemployment]]&gt;='Описательные характеристики'!$I$5,"да","нет")</f>
        <v>нет</v>
      </c>
    </row>
    <row r="2966" spans="1:3" x14ac:dyDescent="0.35">
      <c r="A2966" s="4">
        <v>22884</v>
      </c>
      <c r="B2966" s="9">
        <v>7.4</v>
      </c>
      <c r="C2966" t="str">
        <f>IF(acs2015_county_data[[#This Row],[Unemployment]]&gt;='Описательные характеристики'!$I$5,"да","нет")</f>
        <v>нет</v>
      </c>
    </row>
    <row r="2967" spans="1:3" x14ac:dyDescent="0.35">
      <c r="A2967" s="6">
        <v>20251</v>
      </c>
      <c r="B2967" s="10">
        <v>10.1</v>
      </c>
      <c r="C2967" t="str">
        <f>IF(acs2015_county_data[[#This Row],[Unemployment]]&gt;='Описательные характеристики'!$I$5,"да","нет")</f>
        <v>да</v>
      </c>
    </row>
    <row r="2968" spans="1:3" x14ac:dyDescent="0.35">
      <c r="A2968" s="4">
        <v>22387</v>
      </c>
      <c r="B2968" s="9">
        <v>14.3</v>
      </c>
      <c r="C2968" t="str">
        <f>IF(acs2015_county_data[[#This Row],[Unemployment]]&gt;='Описательные характеристики'!$I$5,"да","нет")</f>
        <v>да</v>
      </c>
    </row>
    <row r="2969" spans="1:3" x14ac:dyDescent="0.35">
      <c r="A2969" s="6">
        <v>31836</v>
      </c>
      <c r="B2969" s="10">
        <v>9</v>
      </c>
      <c r="C2969" t="str">
        <f>IF(acs2015_county_data[[#This Row],[Unemployment]]&gt;='Описательные характеристики'!$I$5,"да","нет")</f>
        <v>да</v>
      </c>
    </row>
    <row r="2970" spans="1:3" x14ac:dyDescent="0.35">
      <c r="A2970" s="4">
        <v>28593</v>
      </c>
      <c r="B2970" s="9">
        <v>9.5</v>
      </c>
      <c r="C2970" t="str">
        <f>IF(acs2015_county_data[[#This Row],[Unemployment]]&gt;='Описательные характеристики'!$I$5,"да","нет")</f>
        <v>да</v>
      </c>
    </row>
    <row r="2971" spans="1:3" x14ac:dyDescent="0.35">
      <c r="A2971" s="6">
        <v>41664</v>
      </c>
      <c r="B2971" s="10">
        <v>6.3</v>
      </c>
      <c r="C2971" t="str">
        <f>IF(acs2015_county_data[[#This Row],[Unemployment]]&gt;='Описательные характеристики'!$I$5,"да","нет")</f>
        <v>нет</v>
      </c>
    </row>
    <row r="2972" spans="1:3" x14ac:dyDescent="0.35">
      <c r="A2972" s="4">
        <v>32063</v>
      </c>
      <c r="B2972" s="9">
        <v>8</v>
      </c>
      <c r="C2972" t="str">
        <f>IF(acs2015_county_data[[#This Row],[Unemployment]]&gt;='Описательные характеристики'!$I$5,"да","нет")</f>
        <v>да</v>
      </c>
    </row>
    <row r="2973" spans="1:3" x14ac:dyDescent="0.35">
      <c r="A2973" s="6">
        <v>24014</v>
      </c>
      <c r="B2973" s="10">
        <v>7.8</v>
      </c>
      <c r="C2973" t="str">
        <f>IF(acs2015_county_data[[#This Row],[Unemployment]]&gt;='Описательные характеристики'!$I$5,"да","нет")</f>
        <v>да</v>
      </c>
    </row>
    <row r="2974" spans="1:3" x14ac:dyDescent="0.35">
      <c r="A2974" s="4">
        <v>22456</v>
      </c>
      <c r="B2974" s="9">
        <v>7</v>
      </c>
      <c r="C2974" t="str">
        <f>IF(acs2015_county_data[[#This Row],[Unemployment]]&gt;='Описательные характеристики'!$I$5,"да","нет")</f>
        <v>нет</v>
      </c>
    </row>
    <row r="2975" spans="1:3" x14ac:dyDescent="0.35">
      <c r="A2975" s="6">
        <v>22480</v>
      </c>
      <c r="B2975" s="10">
        <v>12.1</v>
      </c>
      <c r="C2975" t="str">
        <f>IF(acs2015_county_data[[#This Row],[Unemployment]]&gt;='Описательные характеристики'!$I$5,"да","нет")</f>
        <v>да</v>
      </c>
    </row>
    <row r="2976" spans="1:3" x14ac:dyDescent="0.35">
      <c r="A2976" s="4">
        <v>24951</v>
      </c>
      <c r="B2976" s="9">
        <v>4.8</v>
      </c>
      <c r="C2976" t="str">
        <f>IF(acs2015_county_data[[#This Row],[Unemployment]]&gt;='Описательные характеристики'!$I$5,"да","нет")</f>
        <v>нет</v>
      </c>
    </row>
    <row r="2977" spans="1:3" x14ac:dyDescent="0.35">
      <c r="A2977" s="6">
        <v>25015</v>
      </c>
      <c r="B2977" s="10">
        <v>12.9</v>
      </c>
      <c r="C2977" t="str">
        <f>IF(acs2015_county_data[[#This Row],[Unemployment]]&gt;='Описательные характеристики'!$I$5,"да","нет")</f>
        <v>да</v>
      </c>
    </row>
    <row r="2978" spans="1:3" x14ac:dyDescent="0.35">
      <c r="A2978" s="4">
        <v>22460</v>
      </c>
      <c r="B2978" s="9">
        <v>8.9</v>
      </c>
      <c r="C2978" t="str">
        <f>IF(acs2015_county_data[[#This Row],[Unemployment]]&gt;='Описательные характеристики'!$I$5,"да","нет")</f>
        <v>да</v>
      </c>
    </row>
    <row r="2979" spans="1:3" x14ac:dyDescent="0.35">
      <c r="A2979" s="6">
        <v>21923</v>
      </c>
      <c r="B2979" s="10">
        <v>8.9</v>
      </c>
      <c r="C2979" t="str">
        <f>IF(acs2015_county_data[[#This Row],[Unemployment]]&gt;='Описательные характеристики'!$I$5,"да","нет")</f>
        <v>да</v>
      </c>
    </row>
    <row r="2980" spans="1:3" x14ac:dyDescent="0.35">
      <c r="A2980" s="4">
        <v>22008</v>
      </c>
      <c r="B2980" s="9">
        <v>10.3</v>
      </c>
      <c r="C2980" t="str">
        <f>IF(acs2015_county_data[[#This Row],[Unemployment]]&gt;='Описательные характеристики'!$I$5,"да","нет")</f>
        <v>да</v>
      </c>
    </row>
    <row r="2981" spans="1:3" x14ac:dyDescent="0.35">
      <c r="A2981" s="6">
        <v>28824</v>
      </c>
      <c r="B2981" s="10">
        <v>9.1999999999999993</v>
      </c>
      <c r="C2981" t="str">
        <f>IF(acs2015_county_data[[#This Row],[Unemployment]]&gt;='Описательные характеристики'!$I$5,"да","нет")</f>
        <v>да</v>
      </c>
    </row>
    <row r="2982" spans="1:3" x14ac:dyDescent="0.35">
      <c r="A2982" s="4">
        <v>39266</v>
      </c>
      <c r="B2982" s="9">
        <v>5.9</v>
      </c>
      <c r="C2982" t="str">
        <f>IF(acs2015_county_data[[#This Row],[Unemployment]]&gt;='Описательные характеристики'!$I$5,"да","нет")</f>
        <v>нет</v>
      </c>
    </row>
    <row r="2983" spans="1:3" x14ac:dyDescent="0.35">
      <c r="A2983" s="6">
        <v>27794</v>
      </c>
      <c r="B2983" s="10">
        <v>8.1999999999999993</v>
      </c>
      <c r="C2983" t="str">
        <f>IF(acs2015_county_data[[#This Row],[Unemployment]]&gt;='Описательные характеристики'!$I$5,"да","нет")</f>
        <v>да</v>
      </c>
    </row>
    <row r="2984" spans="1:3" x14ac:dyDescent="0.35">
      <c r="A2984" s="4">
        <v>29878</v>
      </c>
      <c r="B2984" s="9">
        <v>8.3000000000000007</v>
      </c>
      <c r="C2984" t="str">
        <f>IF(acs2015_county_data[[#This Row],[Unemployment]]&gt;='Описательные характеристики'!$I$5,"да","нет")</f>
        <v>да</v>
      </c>
    </row>
    <row r="2985" spans="1:3" x14ac:dyDescent="0.35">
      <c r="A2985" s="6">
        <v>32542</v>
      </c>
      <c r="B2985" s="10">
        <v>7.5</v>
      </c>
      <c r="C2985" t="str">
        <f>IF(acs2015_county_data[[#This Row],[Unemployment]]&gt;='Описательные характеристики'!$I$5,"да","нет")</f>
        <v>нет</v>
      </c>
    </row>
    <row r="2986" spans="1:3" x14ac:dyDescent="0.35">
      <c r="A2986" s="4">
        <v>26093</v>
      </c>
      <c r="B2986" s="9">
        <v>8.4</v>
      </c>
      <c r="C2986" t="str">
        <f>IF(acs2015_county_data[[#This Row],[Unemployment]]&gt;='Описательные характеристики'!$I$5,"да","нет")</f>
        <v>да</v>
      </c>
    </row>
    <row r="2987" spans="1:3" x14ac:dyDescent="0.35">
      <c r="A2987" s="6">
        <v>22221</v>
      </c>
      <c r="B2987" s="10">
        <v>9.4</v>
      </c>
      <c r="C2987" t="str">
        <f>IF(acs2015_county_data[[#This Row],[Unemployment]]&gt;='Описательные характеристики'!$I$5,"да","нет")</f>
        <v>да</v>
      </c>
    </row>
    <row r="2988" spans="1:3" x14ac:dyDescent="0.35">
      <c r="A2988" s="4">
        <v>29741</v>
      </c>
      <c r="B2988" s="9">
        <v>8.5</v>
      </c>
      <c r="C2988" t="str">
        <f>IF(acs2015_county_data[[#This Row],[Unemployment]]&gt;='Описательные характеристики'!$I$5,"да","нет")</f>
        <v>да</v>
      </c>
    </row>
    <row r="2989" spans="1:3" x14ac:dyDescent="0.35">
      <c r="A2989" s="6">
        <v>24483</v>
      </c>
      <c r="B2989" s="10">
        <v>10.6</v>
      </c>
      <c r="C2989" t="str">
        <f>IF(acs2015_county_data[[#This Row],[Unemployment]]&gt;='Описательные характеристики'!$I$5,"да","нет")</f>
        <v>да</v>
      </c>
    </row>
    <row r="2990" spans="1:3" x14ac:dyDescent="0.35">
      <c r="A2990" s="4">
        <v>23520</v>
      </c>
      <c r="B2990" s="9">
        <v>6.4</v>
      </c>
      <c r="C2990" t="str">
        <f>IF(acs2015_county_data[[#This Row],[Unemployment]]&gt;='Описательные характеристики'!$I$5,"да","нет")</f>
        <v>нет</v>
      </c>
    </row>
    <row r="2991" spans="1:3" x14ac:dyDescent="0.35">
      <c r="A2991" s="6">
        <v>27223</v>
      </c>
      <c r="B2991" s="10">
        <v>8.1999999999999993</v>
      </c>
      <c r="C2991" t="str">
        <f>IF(acs2015_county_data[[#This Row],[Unemployment]]&gt;='Описательные характеристики'!$I$5,"да","нет")</f>
        <v>да</v>
      </c>
    </row>
    <row r="2992" spans="1:3" x14ac:dyDescent="0.35">
      <c r="A2992" s="4">
        <v>21188</v>
      </c>
      <c r="B2992" s="9">
        <v>8.8000000000000007</v>
      </c>
      <c r="C2992" t="str">
        <f>IF(acs2015_county_data[[#This Row],[Unemployment]]&gt;='Описательные характеристики'!$I$5,"да","нет")</f>
        <v>да</v>
      </c>
    </row>
    <row r="2993" spans="1:3" x14ac:dyDescent="0.35">
      <c r="A2993" s="6">
        <v>19793</v>
      </c>
      <c r="B2993" s="10">
        <v>9</v>
      </c>
      <c r="C2993" t="str">
        <f>IF(acs2015_county_data[[#This Row],[Unemployment]]&gt;='Описательные характеристики'!$I$5,"да","нет")</f>
        <v>да</v>
      </c>
    </row>
    <row r="2994" spans="1:3" x14ac:dyDescent="0.35">
      <c r="A2994" s="4">
        <v>18039</v>
      </c>
      <c r="B2994" s="9">
        <v>9</v>
      </c>
      <c r="C2994" t="str">
        <f>IF(acs2015_county_data[[#This Row],[Unemployment]]&gt;='Описательные характеристики'!$I$5,"да","нет")</f>
        <v>да</v>
      </c>
    </row>
    <row r="2995" spans="1:3" x14ac:dyDescent="0.35">
      <c r="A2995" s="6">
        <v>26469</v>
      </c>
      <c r="B2995" s="10">
        <v>9.6999999999999993</v>
      </c>
      <c r="C2995" t="str">
        <f>IF(acs2015_county_data[[#This Row],[Unemployment]]&gt;='Описательные характеристики'!$I$5,"да","нет")</f>
        <v>да</v>
      </c>
    </row>
    <row r="2996" spans="1:3" x14ac:dyDescent="0.35">
      <c r="A2996" s="4">
        <v>21387</v>
      </c>
      <c r="B2996" s="9">
        <v>9.1999999999999993</v>
      </c>
      <c r="C2996" t="str">
        <f>IF(acs2015_county_data[[#This Row],[Unemployment]]&gt;='Описательные характеристики'!$I$5,"да","нет")</f>
        <v>да</v>
      </c>
    </row>
    <row r="2997" spans="1:3" x14ac:dyDescent="0.35">
      <c r="A2997" s="6">
        <v>19409</v>
      </c>
      <c r="B2997" s="10">
        <v>14.4</v>
      </c>
      <c r="C2997" t="str">
        <f>IF(acs2015_county_data[[#This Row],[Unemployment]]&gt;='Описательные характеристики'!$I$5,"да","нет")</f>
        <v>да</v>
      </c>
    </row>
    <row r="2998" spans="1:3" x14ac:dyDescent="0.35">
      <c r="A2998" s="4">
        <v>23819</v>
      </c>
      <c r="B2998" s="9">
        <v>6.4</v>
      </c>
      <c r="C2998" t="str">
        <f>IF(acs2015_county_data[[#This Row],[Unemployment]]&gt;='Описательные характеристики'!$I$5,"да","нет")</f>
        <v>нет</v>
      </c>
    </row>
    <row r="2999" spans="1:3" x14ac:dyDescent="0.35">
      <c r="A2999" s="6">
        <v>23908</v>
      </c>
      <c r="B2999" s="10">
        <v>6.8</v>
      </c>
      <c r="C2999" t="str">
        <f>IF(acs2015_county_data[[#This Row],[Unemployment]]&gt;='Описательные характеристики'!$I$5,"да","нет")</f>
        <v>нет</v>
      </c>
    </row>
    <row r="3000" spans="1:3" x14ac:dyDescent="0.35">
      <c r="A3000" s="4">
        <v>19635</v>
      </c>
      <c r="B3000" s="9">
        <v>18.100000000000001</v>
      </c>
      <c r="C3000" t="str">
        <f>IF(acs2015_county_data[[#This Row],[Unemployment]]&gt;='Описательные характеристики'!$I$5,"да","нет")</f>
        <v>да</v>
      </c>
    </row>
    <row r="3001" spans="1:3" x14ac:dyDescent="0.35">
      <c r="A3001" s="6">
        <v>16827</v>
      </c>
      <c r="B3001" s="10">
        <v>12.3</v>
      </c>
      <c r="C3001" t="str">
        <f>IF(acs2015_county_data[[#This Row],[Unemployment]]&gt;='Описательные характеристики'!$I$5,"да","нет")</f>
        <v>да</v>
      </c>
    </row>
    <row r="3002" spans="1:3" x14ac:dyDescent="0.35">
      <c r="A3002" s="4">
        <v>19992</v>
      </c>
      <c r="B3002" s="9">
        <v>6.5</v>
      </c>
      <c r="C3002" t="str">
        <f>IF(acs2015_county_data[[#This Row],[Unemployment]]&gt;='Описательные характеристики'!$I$5,"да","нет")</f>
        <v>нет</v>
      </c>
    </row>
    <row r="3003" spans="1:3" x14ac:dyDescent="0.35">
      <c r="A3003" s="6">
        <v>19232</v>
      </c>
      <c r="B3003" s="10">
        <v>9.1999999999999993</v>
      </c>
      <c r="C3003" t="str">
        <f>IF(acs2015_county_data[[#This Row],[Unemployment]]&gt;='Описательные характеристики'!$I$5,"да","нет")</f>
        <v>да</v>
      </c>
    </row>
    <row r="3004" spans="1:3" x14ac:dyDescent="0.35">
      <c r="A3004" s="4">
        <v>17115</v>
      </c>
      <c r="B3004" s="9">
        <v>9.4</v>
      </c>
      <c r="C3004" t="str">
        <f>IF(acs2015_county_data[[#This Row],[Unemployment]]&gt;='Описательные характеристики'!$I$5,"да","нет")</f>
        <v>да</v>
      </c>
    </row>
    <row r="3005" spans="1:3" x14ac:dyDescent="0.35">
      <c r="A3005" s="6">
        <v>20052</v>
      </c>
      <c r="B3005" s="10">
        <v>6.7</v>
      </c>
      <c r="C3005" t="str">
        <f>IF(acs2015_county_data[[#This Row],[Unemployment]]&gt;='Описательные характеристики'!$I$5,"да","нет")</f>
        <v>нет</v>
      </c>
    </row>
    <row r="3006" spans="1:3" x14ac:dyDescent="0.35">
      <c r="A3006" s="4">
        <v>22340</v>
      </c>
      <c r="B3006" s="9">
        <v>7.2</v>
      </c>
      <c r="C3006" t="str">
        <f>IF(acs2015_county_data[[#This Row],[Unemployment]]&gt;='Описательные характеристики'!$I$5,"да","нет")</f>
        <v>нет</v>
      </c>
    </row>
    <row r="3007" spans="1:3" x14ac:dyDescent="0.35">
      <c r="A3007" s="6">
        <v>18477</v>
      </c>
      <c r="B3007" s="10">
        <v>8.1</v>
      </c>
      <c r="C3007" t="str">
        <f>IF(acs2015_county_data[[#This Row],[Unemployment]]&gt;='Описательные характеристики'!$I$5,"да","нет")</f>
        <v>да</v>
      </c>
    </row>
    <row r="3008" spans="1:3" x14ac:dyDescent="0.35">
      <c r="A3008" s="4">
        <v>23845</v>
      </c>
      <c r="B3008" s="9">
        <v>7.2</v>
      </c>
      <c r="C3008" t="str">
        <f>IF(acs2015_county_data[[#This Row],[Unemployment]]&gt;='Описательные характеристики'!$I$5,"да","нет")</f>
        <v>нет</v>
      </c>
    </row>
    <row r="3009" spans="1:3" x14ac:dyDescent="0.35">
      <c r="A3009" s="6">
        <v>22195</v>
      </c>
      <c r="B3009" s="10">
        <v>7.9</v>
      </c>
      <c r="C3009" t="str">
        <f>IF(acs2015_county_data[[#This Row],[Unemployment]]&gt;='Описательные характеристики'!$I$5,"да","нет")</f>
        <v>да</v>
      </c>
    </row>
    <row r="3010" spans="1:3" x14ac:dyDescent="0.35">
      <c r="A3010" s="4">
        <v>24415</v>
      </c>
      <c r="B3010" s="9">
        <v>7.4</v>
      </c>
      <c r="C3010" t="str">
        <f>IF(acs2015_county_data[[#This Row],[Unemployment]]&gt;='Описательные характеристики'!$I$5,"да","нет")</f>
        <v>нет</v>
      </c>
    </row>
    <row r="3011" spans="1:3" x14ac:dyDescent="0.35">
      <c r="A3011" s="6">
        <v>23090</v>
      </c>
      <c r="B3011" s="10">
        <v>6.8</v>
      </c>
      <c r="C3011" t="str">
        <f>IF(acs2015_county_data[[#This Row],[Unemployment]]&gt;='Описательные характеристики'!$I$5,"да","нет")</f>
        <v>нет</v>
      </c>
    </row>
    <row r="3012" spans="1:3" x14ac:dyDescent="0.35">
      <c r="A3012" s="4">
        <v>30912</v>
      </c>
      <c r="B3012" s="9">
        <v>8.4</v>
      </c>
      <c r="C3012" t="str">
        <f>IF(acs2015_county_data[[#This Row],[Unemployment]]&gt;='Описательные характеристики'!$I$5,"да","нет")</f>
        <v>да</v>
      </c>
    </row>
    <row r="3013" spans="1:3" x14ac:dyDescent="0.35">
      <c r="A3013" s="6">
        <v>27642</v>
      </c>
      <c r="B3013" s="10">
        <v>7</v>
      </c>
      <c r="C3013" t="str">
        <f>IF(acs2015_county_data[[#This Row],[Unemployment]]&gt;='Описательные характеристики'!$I$5,"да","нет")</f>
        <v>нет</v>
      </c>
    </row>
    <row r="3014" spans="1:3" x14ac:dyDescent="0.35">
      <c r="A3014" s="4">
        <v>21067</v>
      </c>
      <c r="B3014" s="9">
        <v>7.2</v>
      </c>
      <c r="C3014" t="str">
        <f>IF(acs2015_county_data[[#This Row],[Unemployment]]&gt;='Описательные характеристики'!$I$5,"да","нет")</f>
        <v>нет</v>
      </c>
    </row>
    <row r="3015" spans="1:3" x14ac:dyDescent="0.35">
      <c r="A3015" s="6">
        <v>19114</v>
      </c>
      <c r="B3015" s="10">
        <v>10.1</v>
      </c>
      <c r="C3015" t="str">
        <f>IF(acs2015_county_data[[#This Row],[Unemployment]]&gt;='Описательные характеристики'!$I$5,"да","нет")</f>
        <v>да</v>
      </c>
    </row>
    <row r="3016" spans="1:3" x14ac:dyDescent="0.35">
      <c r="A3016" s="4">
        <v>20477</v>
      </c>
      <c r="B3016" s="9">
        <v>10.9</v>
      </c>
      <c r="C3016" t="str">
        <f>IF(acs2015_county_data[[#This Row],[Unemployment]]&gt;='Описательные характеристики'!$I$5,"да","нет")</f>
        <v>да</v>
      </c>
    </row>
    <row r="3017" spans="1:3" x14ac:dyDescent="0.35">
      <c r="A3017" s="6">
        <v>14874</v>
      </c>
      <c r="B3017" s="10">
        <v>13.3</v>
      </c>
      <c r="C3017" t="str">
        <f>IF(acs2015_county_data[[#This Row],[Unemployment]]&gt;='Описательные характеристики'!$I$5,"да","нет")</f>
        <v>да</v>
      </c>
    </row>
    <row r="3018" spans="1:3" x14ac:dyDescent="0.35">
      <c r="A3018" s="4">
        <v>23807</v>
      </c>
      <c r="B3018" s="9">
        <v>4.9000000000000004</v>
      </c>
      <c r="C3018" t="str">
        <f>IF(acs2015_county_data[[#This Row],[Unemployment]]&gt;='Описательные характеристики'!$I$5,"да","нет")</f>
        <v>нет</v>
      </c>
    </row>
    <row r="3019" spans="1:3" x14ac:dyDescent="0.35">
      <c r="A3019" s="6">
        <v>23543</v>
      </c>
      <c r="B3019" s="10">
        <v>7</v>
      </c>
      <c r="C3019" t="str">
        <f>IF(acs2015_county_data[[#This Row],[Unemployment]]&gt;='Описательные характеристики'!$I$5,"да","нет")</f>
        <v>нет</v>
      </c>
    </row>
    <row r="3020" spans="1:3" x14ac:dyDescent="0.35">
      <c r="A3020" s="4">
        <v>19694</v>
      </c>
      <c r="B3020" s="9">
        <v>10.3</v>
      </c>
      <c r="C3020" t="str">
        <f>IF(acs2015_county_data[[#This Row],[Unemployment]]&gt;='Описательные характеристики'!$I$5,"да","нет")</f>
        <v>да</v>
      </c>
    </row>
    <row r="3021" spans="1:3" x14ac:dyDescent="0.35">
      <c r="A3021" s="6">
        <v>20942</v>
      </c>
      <c r="B3021" s="10">
        <v>5.0999999999999996</v>
      </c>
      <c r="C3021" t="str">
        <f>IF(acs2015_county_data[[#This Row],[Unemployment]]&gt;='Описательные характеристики'!$I$5,"да","нет")</f>
        <v>нет</v>
      </c>
    </row>
    <row r="3022" spans="1:3" x14ac:dyDescent="0.35">
      <c r="A3022" s="4">
        <v>19111</v>
      </c>
      <c r="B3022" s="9">
        <v>8.8000000000000007</v>
      </c>
      <c r="C3022" t="str">
        <f>IF(acs2015_county_data[[#This Row],[Unemployment]]&gt;='Описательные характеристики'!$I$5,"да","нет")</f>
        <v>да</v>
      </c>
    </row>
    <row r="3023" spans="1:3" x14ac:dyDescent="0.35">
      <c r="A3023" s="6">
        <v>20417</v>
      </c>
      <c r="B3023" s="10">
        <v>14.1</v>
      </c>
      <c r="C3023" t="str">
        <f>IF(acs2015_county_data[[#This Row],[Unemployment]]&gt;='Описательные характеристики'!$I$5,"да","нет")</f>
        <v>да</v>
      </c>
    </row>
    <row r="3024" spans="1:3" x14ac:dyDescent="0.35">
      <c r="A3024" s="4">
        <v>26314</v>
      </c>
      <c r="B3024" s="9">
        <v>5.8</v>
      </c>
      <c r="C3024" t="str">
        <f>IF(acs2015_county_data[[#This Row],[Unemployment]]&gt;='Описательные характеристики'!$I$5,"да","нет")</f>
        <v>нет</v>
      </c>
    </row>
    <row r="3025" spans="1:3" x14ac:dyDescent="0.35">
      <c r="A3025" s="6">
        <v>20678</v>
      </c>
      <c r="B3025" s="10">
        <v>7.3</v>
      </c>
      <c r="C3025" t="str">
        <f>IF(acs2015_county_data[[#This Row],[Unemployment]]&gt;='Описательные характеристики'!$I$5,"да","нет")</f>
        <v>нет</v>
      </c>
    </row>
    <row r="3026" spans="1:3" x14ac:dyDescent="0.35">
      <c r="A3026" s="4">
        <v>23456</v>
      </c>
      <c r="B3026" s="9">
        <v>12.3</v>
      </c>
      <c r="C3026" t="str">
        <f>IF(acs2015_county_data[[#This Row],[Unemployment]]&gt;='Описательные характеристики'!$I$5,"да","нет")</f>
        <v>да</v>
      </c>
    </row>
    <row r="3027" spans="1:3" x14ac:dyDescent="0.35">
      <c r="A3027" s="6">
        <v>23404</v>
      </c>
      <c r="B3027" s="10">
        <v>8.4</v>
      </c>
      <c r="C3027" t="str">
        <f>IF(acs2015_county_data[[#This Row],[Unemployment]]&gt;='Описательные характеристики'!$I$5,"да","нет")</f>
        <v>да</v>
      </c>
    </row>
    <row r="3028" spans="1:3" x14ac:dyDescent="0.35">
      <c r="A3028" s="4">
        <v>27053</v>
      </c>
      <c r="B3028" s="9">
        <v>5.5</v>
      </c>
      <c r="C3028" t="str">
        <f>IF(acs2015_county_data[[#This Row],[Unemployment]]&gt;='Описательные характеристики'!$I$5,"да","нет")</f>
        <v>нет</v>
      </c>
    </row>
    <row r="3029" spans="1:3" x14ac:dyDescent="0.35">
      <c r="A3029" s="6">
        <v>21979</v>
      </c>
      <c r="B3029" s="10">
        <v>4.9000000000000004</v>
      </c>
      <c r="C3029" t="str">
        <f>IF(acs2015_county_data[[#This Row],[Unemployment]]&gt;='Описательные характеристики'!$I$5,"да","нет")</f>
        <v>нет</v>
      </c>
    </row>
    <row r="3030" spans="1:3" x14ac:dyDescent="0.35">
      <c r="A3030" s="4">
        <v>23291</v>
      </c>
      <c r="B3030" s="9">
        <v>8.1999999999999993</v>
      </c>
      <c r="C3030" t="str">
        <f>IF(acs2015_county_data[[#This Row],[Unemployment]]&gt;='Описательные характеристики'!$I$5,"да","нет")</f>
        <v>да</v>
      </c>
    </row>
    <row r="3031" spans="1:3" x14ac:dyDescent="0.35">
      <c r="A3031" s="6">
        <v>21847</v>
      </c>
      <c r="B3031" s="10">
        <v>5.7</v>
      </c>
      <c r="C3031" t="str">
        <f>IF(acs2015_county_data[[#This Row],[Unemployment]]&gt;='Описательные характеристики'!$I$5,"да","нет")</f>
        <v>нет</v>
      </c>
    </row>
    <row r="3032" spans="1:3" x14ac:dyDescent="0.35">
      <c r="A3032" s="4">
        <v>21097</v>
      </c>
      <c r="B3032" s="9">
        <v>7</v>
      </c>
      <c r="C3032" t="str">
        <f>IF(acs2015_county_data[[#This Row],[Unemployment]]&gt;='Описательные характеристики'!$I$5,"да","нет")</f>
        <v>нет</v>
      </c>
    </row>
    <row r="3033" spans="1:3" x14ac:dyDescent="0.35">
      <c r="A3033" s="6">
        <v>29412</v>
      </c>
      <c r="B3033" s="10">
        <v>3.7</v>
      </c>
      <c r="C3033" t="str">
        <f>IF(acs2015_county_data[[#This Row],[Unemployment]]&gt;='Описательные характеристики'!$I$5,"да","нет")</f>
        <v>нет</v>
      </c>
    </row>
    <row r="3034" spans="1:3" x14ac:dyDescent="0.35">
      <c r="A3034" s="4">
        <v>22405</v>
      </c>
      <c r="B3034" s="9">
        <v>6.6</v>
      </c>
      <c r="C3034" t="str">
        <f>IF(acs2015_county_data[[#This Row],[Unemployment]]&gt;='Описательные характеристики'!$I$5,"да","нет")</f>
        <v>нет</v>
      </c>
    </row>
    <row r="3035" spans="1:3" x14ac:dyDescent="0.35">
      <c r="A3035" s="6">
        <v>21139</v>
      </c>
      <c r="B3035" s="10">
        <v>6.7</v>
      </c>
      <c r="C3035" t="str">
        <f>IF(acs2015_county_data[[#This Row],[Unemployment]]&gt;='Описательные характеристики'!$I$5,"да","нет")</f>
        <v>нет</v>
      </c>
    </row>
    <row r="3036" spans="1:3" x14ac:dyDescent="0.35">
      <c r="A3036" s="4">
        <v>19632</v>
      </c>
      <c r="B3036" s="9">
        <v>10.6</v>
      </c>
      <c r="C3036" t="str">
        <f>IF(acs2015_county_data[[#This Row],[Unemployment]]&gt;='Описательные характеристики'!$I$5,"да","нет")</f>
        <v>да</v>
      </c>
    </row>
    <row r="3037" spans="1:3" x14ac:dyDescent="0.35">
      <c r="A3037" s="6">
        <v>18957</v>
      </c>
      <c r="B3037" s="10">
        <v>8.9</v>
      </c>
      <c r="C3037" t="str">
        <f>IF(acs2015_county_data[[#This Row],[Unemployment]]&gt;='Описательные характеристики'!$I$5,"да","нет")</f>
        <v>да</v>
      </c>
    </row>
    <row r="3038" spans="1:3" x14ac:dyDescent="0.35">
      <c r="A3038" s="4">
        <v>20347</v>
      </c>
      <c r="B3038" s="9">
        <v>10</v>
      </c>
      <c r="C3038" t="str">
        <f>IF(acs2015_county_data[[#This Row],[Unemployment]]&gt;='Описательные характеристики'!$I$5,"да","нет")</f>
        <v>да</v>
      </c>
    </row>
    <row r="3039" spans="1:3" x14ac:dyDescent="0.35">
      <c r="A3039" s="6">
        <v>22799</v>
      </c>
      <c r="B3039" s="10">
        <v>9.5</v>
      </c>
      <c r="C3039" t="str">
        <f>IF(acs2015_county_data[[#This Row],[Unemployment]]&gt;='Описательные характеристики'!$I$5,"да","нет")</f>
        <v>да</v>
      </c>
    </row>
    <row r="3040" spans="1:3" x14ac:dyDescent="0.35">
      <c r="A3040" s="4">
        <v>22321</v>
      </c>
      <c r="B3040" s="9">
        <v>7.6</v>
      </c>
      <c r="C3040" t="str">
        <f>IF(acs2015_county_data[[#This Row],[Unemployment]]&gt;='Описательные характеристики'!$I$5,"да","нет")</f>
        <v>да</v>
      </c>
    </row>
    <row r="3041" spans="1:3" x14ac:dyDescent="0.35">
      <c r="A3041" s="6">
        <v>21018</v>
      </c>
      <c r="B3041" s="10">
        <v>10.9</v>
      </c>
      <c r="C3041" t="str">
        <f>IF(acs2015_county_data[[#This Row],[Unemployment]]&gt;='Описательные характеристики'!$I$5,"да","нет")</f>
        <v>да</v>
      </c>
    </row>
    <row r="3042" spans="1:3" x14ac:dyDescent="0.35">
      <c r="A3042" s="4">
        <v>20230</v>
      </c>
      <c r="B3042" s="9">
        <v>8</v>
      </c>
      <c r="C3042" t="str">
        <f>IF(acs2015_county_data[[#This Row],[Unemployment]]&gt;='Описательные характеристики'!$I$5,"да","нет")</f>
        <v>да</v>
      </c>
    </row>
    <row r="3043" spans="1:3" x14ac:dyDescent="0.35">
      <c r="A3043" s="6">
        <v>19867</v>
      </c>
      <c r="B3043" s="10">
        <v>9.9</v>
      </c>
      <c r="C3043" t="str">
        <f>IF(acs2015_county_data[[#This Row],[Unemployment]]&gt;='Описательные характеристики'!$I$5,"да","нет")</f>
        <v>да</v>
      </c>
    </row>
    <row r="3044" spans="1:3" x14ac:dyDescent="0.35">
      <c r="A3044" s="4">
        <v>17864</v>
      </c>
      <c r="B3044" s="9">
        <v>14.8</v>
      </c>
      <c r="C3044" t="str">
        <f>IF(acs2015_county_data[[#This Row],[Unemployment]]&gt;='Описательные характеристики'!$I$5,"да","нет")</f>
        <v>да</v>
      </c>
    </row>
    <row r="3045" spans="1:3" x14ac:dyDescent="0.35">
      <c r="A3045" s="6">
        <v>21619</v>
      </c>
      <c r="B3045" s="10">
        <v>8.1</v>
      </c>
      <c r="C3045" t="str">
        <f>IF(acs2015_county_data[[#This Row],[Unemployment]]&gt;='Описательные характеристики'!$I$5,"да","нет")</f>
        <v>да</v>
      </c>
    </row>
    <row r="3046" spans="1:3" x14ac:dyDescent="0.35">
      <c r="A3046" s="4">
        <v>22125</v>
      </c>
      <c r="B3046" s="9">
        <v>8.4</v>
      </c>
      <c r="C3046" t="str">
        <f>IF(acs2015_county_data[[#This Row],[Unemployment]]&gt;='Описательные характеристики'!$I$5,"да","нет")</f>
        <v>да</v>
      </c>
    </row>
    <row r="3047" spans="1:3" x14ac:dyDescent="0.35">
      <c r="A3047" s="6">
        <v>24364</v>
      </c>
      <c r="B3047" s="10">
        <v>8.6</v>
      </c>
      <c r="C3047" t="str">
        <f>IF(acs2015_county_data[[#This Row],[Unemployment]]&gt;='Описательные характеристики'!$I$5,"да","нет")</f>
        <v>да</v>
      </c>
    </row>
    <row r="3048" spans="1:3" x14ac:dyDescent="0.35">
      <c r="A3048" s="4">
        <v>19009</v>
      </c>
      <c r="B3048" s="9">
        <v>10.1</v>
      </c>
      <c r="C3048" t="str">
        <f>IF(acs2015_county_data[[#This Row],[Unemployment]]&gt;='Описательные характеристики'!$I$5,"да","нет")</f>
        <v>да</v>
      </c>
    </row>
    <row r="3049" spans="1:3" x14ac:dyDescent="0.35">
      <c r="A3049" s="6">
        <v>22783</v>
      </c>
      <c r="B3049" s="10">
        <v>10.1</v>
      </c>
      <c r="C3049" t="str">
        <f>IF(acs2015_county_data[[#This Row],[Unemployment]]&gt;='Описательные характеристики'!$I$5,"да","нет")</f>
        <v>да</v>
      </c>
    </row>
    <row r="3050" spans="1:3" x14ac:dyDescent="0.35">
      <c r="A3050" s="4">
        <v>22196</v>
      </c>
      <c r="B3050" s="9">
        <v>7.9</v>
      </c>
      <c r="C3050" t="str">
        <f>IF(acs2015_county_data[[#This Row],[Unemployment]]&gt;='Описательные характеристики'!$I$5,"да","нет")</f>
        <v>да</v>
      </c>
    </row>
    <row r="3051" spans="1:3" x14ac:dyDescent="0.35">
      <c r="A3051" s="6">
        <v>23852</v>
      </c>
      <c r="B3051" s="10">
        <v>6</v>
      </c>
      <c r="C3051" t="str">
        <f>IF(acs2015_county_data[[#This Row],[Unemployment]]&gt;='Описательные характеристики'!$I$5,"да","нет")</f>
        <v>нет</v>
      </c>
    </row>
    <row r="3052" spans="1:3" x14ac:dyDescent="0.35">
      <c r="A3052" s="4">
        <v>26485</v>
      </c>
      <c r="B3052" s="9">
        <v>7.2</v>
      </c>
      <c r="C3052" t="str">
        <f>IF(acs2015_county_data[[#This Row],[Unemployment]]&gt;='Описательные характеристики'!$I$5,"да","нет")</f>
        <v>нет</v>
      </c>
    </row>
    <row r="3053" spans="1:3" x14ac:dyDescent="0.35">
      <c r="A3053" s="6">
        <v>27876</v>
      </c>
      <c r="B3053" s="10">
        <v>6.1</v>
      </c>
      <c r="C3053" t="str">
        <f>IF(acs2015_county_data[[#This Row],[Unemployment]]&gt;='Описательные характеристики'!$I$5,"да","нет")</f>
        <v>нет</v>
      </c>
    </row>
    <row r="3054" spans="1:3" x14ac:dyDescent="0.35">
      <c r="A3054" s="4">
        <v>26170</v>
      </c>
      <c r="B3054" s="9">
        <v>3.7</v>
      </c>
      <c r="C3054" t="str">
        <f>IF(acs2015_county_data[[#This Row],[Unemployment]]&gt;='Описательные характеристики'!$I$5,"да","нет")</f>
        <v>нет</v>
      </c>
    </row>
    <row r="3055" spans="1:3" x14ac:dyDescent="0.35">
      <c r="A3055" s="6">
        <v>23963</v>
      </c>
      <c r="B3055" s="10">
        <v>7.5</v>
      </c>
      <c r="C3055" t="str">
        <f>IF(acs2015_county_data[[#This Row],[Unemployment]]&gt;='Описательные характеристики'!$I$5,"да","нет")</f>
        <v>нет</v>
      </c>
    </row>
    <row r="3056" spans="1:3" x14ac:dyDescent="0.35">
      <c r="A3056" s="4">
        <v>29479</v>
      </c>
      <c r="B3056" s="9">
        <v>3.1</v>
      </c>
      <c r="C3056" t="str">
        <f>IF(acs2015_county_data[[#This Row],[Unemployment]]&gt;='Описательные характеристики'!$I$5,"да","нет")</f>
        <v>нет</v>
      </c>
    </row>
    <row r="3057" spans="1:3" x14ac:dyDescent="0.35">
      <c r="A3057" s="6">
        <v>25651</v>
      </c>
      <c r="B3057" s="10">
        <v>5.0999999999999996</v>
      </c>
      <c r="C3057" t="str">
        <f>IF(acs2015_county_data[[#This Row],[Unemployment]]&gt;='Описательные характеристики'!$I$5,"да","нет")</f>
        <v>нет</v>
      </c>
    </row>
    <row r="3058" spans="1:3" x14ac:dyDescent="0.35">
      <c r="A3058" s="4">
        <v>21699</v>
      </c>
      <c r="B3058" s="9">
        <v>4.8</v>
      </c>
      <c r="C3058" t="str">
        <f>IF(acs2015_county_data[[#This Row],[Unemployment]]&gt;='Описательные характеристики'!$I$5,"да","нет")</f>
        <v>нет</v>
      </c>
    </row>
    <row r="3059" spans="1:3" x14ac:dyDescent="0.35">
      <c r="A3059" s="6">
        <v>28967</v>
      </c>
      <c r="B3059" s="10">
        <v>5.8</v>
      </c>
      <c r="C3059" t="str">
        <f>IF(acs2015_county_data[[#This Row],[Unemployment]]&gt;='Описательные характеристики'!$I$5,"да","нет")</f>
        <v>нет</v>
      </c>
    </row>
    <row r="3060" spans="1:3" x14ac:dyDescent="0.35">
      <c r="A3060" s="4">
        <v>23020</v>
      </c>
      <c r="B3060" s="9">
        <v>6.5</v>
      </c>
      <c r="C3060" t="str">
        <f>IF(acs2015_county_data[[#This Row],[Unemployment]]&gt;='Описательные характеристики'!$I$5,"да","нет")</f>
        <v>нет</v>
      </c>
    </row>
    <row r="3061" spans="1:3" x14ac:dyDescent="0.35">
      <c r="A3061" s="6">
        <v>34562</v>
      </c>
      <c r="B3061" s="10">
        <v>4.9000000000000004</v>
      </c>
      <c r="C3061" t="str">
        <f>IF(acs2015_county_data[[#This Row],[Unemployment]]&gt;='Описательные характеристики'!$I$5,"да","нет")</f>
        <v>нет</v>
      </c>
    </row>
    <row r="3062" spans="1:3" x14ac:dyDescent="0.35">
      <c r="A3062" s="4">
        <v>25372</v>
      </c>
      <c r="B3062" s="9">
        <v>6</v>
      </c>
      <c r="C3062" t="str">
        <f>IF(acs2015_county_data[[#This Row],[Unemployment]]&gt;='Описательные характеристики'!$I$5,"да","нет")</f>
        <v>нет</v>
      </c>
    </row>
    <row r="3063" spans="1:3" x14ac:dyDescent="0.35">
      <c r="A3063" s="6">
        <v>30920</v>
      </c>
      <c r="B3063" s="10">
        <v>6.2</v>
      </c>
      <c r="C3063" t="str">
        <f>IF(acs2015_county_data[[#This Row],[Unemployment]]&gt;='Описательные характеристики'!$I$5,"да","нет")</f>
        <v>нет</v>
      </c>
    </row>
    <row r="3064" spans="1:3" x14ac:dyDescent="0.35">
      <c r="A3064" s="4">
        <v>25191</v>
      </c>
      <c r="B3064" s="9">
        <v>7</v>
      </c>
      <c r="C3064" t="str">
        <f>IF(acs2015_county_data[[#This Row],[Unemployment]]&gt;='Описательные характеристики'!$I$5,"да","нет")</f>
        <v>нет</v>
      </c>
    </row>
    <row r="3065" spans="1:3" x14ac:dyDescent="0.35">
      <c r="A3065" s="6">
        <v>24098</v>
      </c>
      <c r="B3065" s="10">
        <v>6.1</v>
      </c>
      <c r="C3065" t="str">
        <f>IF(acs2015_county_data[[#This Row],[Unemployment]]&gt;='Описательные характеристики'!$I$5,"да","нет")</f>
        <v>нет</v>
      </c>
    </row>
    <row r="3066" spans="1:3" x14ac:dyDescent="0.35">
      <c r="A3066" s="4">
        <v>26034</v>
      </c>
      <c r="B3066" s="9">
        <v>5.8</v>
      </c>
      <c r="C3066" t="str">
        <f>IF(acs2015_county_data[[#This Row],[Unemployment]]&gt;='Описательные характеристики'!$I$5,"да","нет")</f>
        <v>нет</v>
      </c>
    </row>
    <row r="3067" spans="1:3" x14ac:dyDescent="0.35">
      <c r="A3067" s="6">
        <v>25142</v>
      </c>
      <c r="B3067" s="10">
        <v>7.2</v>
      </c>
      <c r="C3067" t="str">
        <f>IF(acs2015_county_data[[#This Row],[Unemployment]]&gt;='Описательные характеристики'!$I$5,"да","нет")</f>
        <v>нет</v>
      </c>
    </row>
    <row r="3068" spans="1:3" x14ac:dyDescent="0.35">
      <c r="A3068" s="4">
        <v>27474</v>
      </c>
      <c r="B3068" s="9">
        <v>5.3</v>
      </c>
      <c r="C3068" t="str">
        <f>IF(acs2015_county_data[[#This Row],[Unemployment]]&gt;='Описательные характеристики'!$I$5,"да","нет")</f>
        <v>нет</v>
      </c>
    </row>
    <row r="3069" spans="1:3" x14ac:dyDescent="0.35">
      <c r="A3069" s="6">
        <v>21623</v>
      </c>
      <c r="B3069" s="10">
        <v>10.1</v>
      </c>
      <c r="C3069" t="str">
        <f>IF(acs2015_county_data[[#This Row],[Unemployment]]&gt;='Описательные характеристики'!$I$5,"да","нет")</f>
        <v>да</v>
      </c>
    </row>
    <row r="3070" spans="1:3" x14ac:dyDescent="0.35">
      <c r="A3070" s="4">
        <v>22937</v>
      </c>
      <c r="B3070" s="9">
        <v>4.5999999999999996</v>
      </c>
      <c r="C3070" t="str">
        <f>IF(acs2015_county_data[[#This Row],[Unemployment]]&gt;='Описательные характеристики'!$I$5,"да","нет")</f>
        <v>нет</v>
      </c>
    </row>
    <row r="3071" spans="1:3" x14ac:dyDescent="0.35">
      <c r="A3071" s="6">
        <v>28187</v>
      </c>
      <c r="B3071" s="10">
        <v>3.5</v>
      </c>
      <c r="C3071" t="str">
        <f>IF(acs2015_county_data[[#This Row],[Unemployment]]&gt;='Описательные характеристики'!$I$5,"да","нет")</f>
        <v>нет</v>
      </c>
    </row>
    <row r="3072" spans="1:3" x14ac:dyDescent="0.35">
      <c r="A3072" s="4">
        <v>25466</v>
      </c>
      <c r="B3072" s="9">
        <v>5.7</v>
      </c>
      <c r="C3072" t="str">
        <f>IF(acs2015_county_data[[#This Row],[Unemployment]]&gt;='Описательные характеристики'!$I$5,"да","нет")</f>
        <v>нет</v>
      </c>
    </row>
    <row r="3073" spans="1:3" x14ac:dyDescent="0.35">
      <c r="A3073" s="6">
        <v>27664</v>
      </c>
      <c r="B3073" s="10">
        <v>4.7</v>
      </c>
      <c r="C3073" t="str">
        <f>IF(acs2015_county_data[[#This Row],[Unemployment]]&gt;='Описательные характеристики'!$I$5,"да","нет")</f>
        <v>нет</v>
      </c>
    </row>
    <row r="3074" spans="1:3" x14ac:dyDescent="0.35">
      <c r="A3074" s="4">
        <v>25435</v>
      </c>
      <c r="B3074" s="9">
        <v>7</v>
      </c>
      <c r="C3074" t="str">
        <f>IF(acs2015_county_data[[#This Row],[Unemployment]]&gt;='Описательные характеристики'!$I$5,"да","нет")</f>
        <v>нет</v>
      </c>
    </row>
    <row r="3075" spans="1:3" x14ac:dyDescent="0.35">
      <c r="A3075" s="6">
        <v>23299</v>
      </c>
      <c r="B3075" s="10">
        <v>5.6</v>
      </c>
      <c r="C3075" t="str">
        <f>IF(acs2015_county_data[[#This Row],[Unemployment]]&gt;='Описательные характеристики'!$I$5,"да","нет")</f>
        <v>нет</v>
      </c>
    </row>
    <row r="3076" spans="1:3" x14ac:dyDescent="0.35">
      <c r="A3076" s="4">
        <v>26935</v>
      </c>
      <c r="B3076" s="9">
        <v>5.5</v>
      </c>
      <c r="C3076" t="str">
        <f>IF(acs2015_county_data[[#This Row],[Unemployment]]&gt;='Описательные характеристики'!$I$5,"да","нет")</f>
        <v>нет</v>
      </c>
    </row>
    <row r="3077" spans="1:3" x14ac:dyDescent="0.35">
      <c r="A3077" s="6">
        <v>22363</v>
      </c>
      <c r="B3077" s="10">
        <v>7.1</v>
      </c>
      <c r="C3077" t="str">
        <f>IF(acs2015_county_data[[#This Row],[Unemployment]]&gt;='Описательные характеристики'!$I$5,"да","нет")</f>
        <v>нет</v>
      </c>
    </row>
    <row r="3078" spans="1:3" x14ac:dyDescent="0.35">
      <c r="A3078" s="4">
        <v>26514</v>
      </c>
      <c r="B3078" s="9">
        <v>9.6999999999999993</v>
      </c>
      <c r="C3078" t="str">
        <f>IF(acs2015_county_data[[#This Row],[Unemployment]]&gt;='Описательные характеристики'!$I$5,"да","нет")</f>
        <v>да</v>
      </c>
    </row>
    <row r="3079" spans="1:3" x14ac:dyDescent="0.35">
      <c r="A3079" s="6">
        <v>26655</v>
      </c>
      <c r="B3079" s="10">
        <v>4.7</v>
      </c>
      <c r="C3079" t="str">
        <f>IF(acs2015_county_data[[#This Row],[Unemployment]]&gt;='Описательные характеристики'!$I$5,"да","нет")</f>
        <v>нет</v>
      </c>
    </row>
    <row r="3080" spans="1:3" x14ac:dyDescent="0.35">
      <c r="A3080" s="4">
        <v>27550</v>
      </c>
      <c r="B3080" s="9">
        <v>5.4</v>
      </c>
      <c r="C3080" t="str">
        <f>IF(acs2015_county_data[[#This Row],[Unemployment]]&gt;='Описательные характеристики'!$I$5,"да","нет")</f>
        <v>нет</v>
      </c>
    </row>
    <row r="3081" spans="1:3" x14ac:dyDescent="0.35">
      <c r="A3081" s="6">
        <v>25258</v>
      </c>
      <c r="B3081" s="10">
        <v>3.6</v>
      </c>
      <c r="C3081" t="str">
        <f>IF(acs2015_county_data[[#This Row],[Unemployment]]&gt;='Описательные характеристики'!$I$5,"да","нет")</f>
        <v>нет</v>
      </c>
    </row>
    <row r="3082" spans="1:3" x14ac:dyDescent="0.35">
      <c r="A3082" s="4">
        <v>23857</v>
      </c>
      <c r="B3082" s="9">
        <v>8.1999999999999993</v>
      </c>
      <c r="C3082" t="str">
        <f>IF(acs2015_county_data[[#This Row],[Unemployment]]&gt;='Описательные характеристики'!$I$5,"да","нет")</f>
        <v>да</v>
      </c>
    </row>
    <row r="3083" spans="1:3" x14ac:dyDescent="0.35">
      <c r="A3083" s="6">
        <v>25856</v>
      </c>
      <c r="B3083" s="10">
        <v>6.1</v>
      </c>
      <c r="C3083" t="str">
        <f>IF(acs2015_county_data[[#This Row],[Unemployment]]&gt;='Описательные характеристики'!$I$5,"да","нет")</f>
        <v>нет</v>
      </c>
    </row>
    <row r="3084" spans="1:3" x14ac:dyDescent="0.35">
      <c r="A3084" s="4">
        <v>26096</v>
      </c>
      <c r="B3084" s="9">
        <v>5.7</v>
      </c>
      <c r="C3084" t="str">
        <f>IF(acs2015_county_data[[#This Row],[Unemployment]]&gt;='Описательные характеристики'!$I$5,"да","нет")</f>
        <v>нет</v>
      </c>
    </row>
    <row r="3085" spans="1:3" x14ac:dyDescent="0.35">
      <c r="A3085" s="6">
        <v>28457</v>
      </c>
      <c r="B3085" s="10">
        <v>5.7</v>
      </c>
      <c r="C3085" t="str">
        <f>IF(acs2015_county_data[[#This Row],[Unemployment]]&gt;='Описательные характеристики'!$I$5,"да","нет")</f>
        <v>нет</v>
      </c>
    </row>
    <row r="3086" spans="1:3" x14ac:dyDescent="0.35">
      <c r="A3086" s="4">
        <v>24450</v>
      </c>
      <c r="B3086" s="9">
        <v>7.5</v>
      </c>
      <c r="C3086" t="str">
        <f>IF(acs2015_county_data[[#This Row],[Unemployment]]&gt;='Описательные характеристики'!$I$5,"да","нет")</f>
        <v>нет</v>
      </c>
    </row>
    <row r="3087" spans="1:3" x14ac:dyDescent="0.35">
      <c r="A3087" s="6">
        <v>24054</v>
      </c>
      <c r="B3087" s="10">
        <v>7.6</v>
      </c>
      <c r="C3087" t="str">
        <f>IF(acs2015_county_data[[#This Row],[Unemployment]]&gt;='Описательные характеристики'!$I$5,"да","нет")</f>
        <v>да</v>
      </c>
    </row>
    <row r="3088" spans="1:3" x14ac:dyDescent="0.35">
      <c r="A3088" s="4">
        <v>14482</v>
      </c>
      <c r="B3088" s="9">
        <v>14.8</v>
      </c>
      <c r="C3088" t="str">
        <f>IF(acs2015_county_data[[#This Row],[Unemployment]]&gt;='Описательные характеристики'!$I$5,"да","нет")</f>
        <v>да</v>
      </c>
    </row>
    <row r="3089" spans="1:3" x14ac:dyDescent="0.35">
      <c r="A3089" s="6">
        <v>24984</v>
      </c>
      <c r="B3089" s="10">
        <v>9.3000000000000007</v>
      </c>
      <c r="C3089" t="str">
        <f>IF(acs2015_county_data[[#This Row],[Unemployment]]&gt;='Описательные характеристики'!$I$5,"да","нет")</f>
        <v>да</v>
      </c>
    </row>
    <row r="3090" spans="1:3" x14ac:dyDescent="0.35">
      <c r="A3090" s="4">
        <v>23709</v>
      </c>
      <c r="B3090" s="9">
        <v>6.5</v>
      </c>
      <c r="C3090" t="str">
        <f>IF(acs2015_county_data[[#This Row],[Unemployment]]&gt;='Описательные характеристики'!$I$5,"да","нет")</f>
        <v>нет</v>
      </c>
    </row>
    <row r="3091" spans="1:3" x14ac:dyDescent="0.35">
      <c r="A3091" s="6">
        <v>26914</v>
      </c>
      <c r="B3091" s="10">
        <v>5.5</v>
      </c>
      <c r="C3091" t="str">
        <f>IF(acs2015_county_data[[#This Row],[Unemployment]]&gt;='Описательные характеристики'!$I$5,"да","нет")</f>
        <v>нет</v>
      </c>
    </row>
    <row r="3092" spans="1:3" x14ac:dyDescent="0.35">
      <c r="A3092" s="4">
        <v>26432</v>
      </c>
      <c r="B3092" s="9">
        <v>6.3</v>
      </c>
      <c r="C3092" t="str">
        <f>IF(acs2015_county_data[[#This Row],[Unemployment]]&gt;='Описательные характеристики'!$I$5,"да","нет")</f>
        <v>нет</v>
      </c>
    </row>
    <row r="3093" spans="1:3" x14ac:dyDescent="0.35">
      <c r="A3093" s="6">
        <v>28679</v>
      </c>
      <c r="B3093" s="10">
        <v>3.9</v>
      </c>
      <c r="C3093" t="str">
        <f>IF(acs2015_county_data[[#This Row],[Unemployment]]&gt;='Описательные характеристики'!$I$5,"да","нет")</f>
        <v>нет</v>
      </c>
    </row>
    <row r="3094" spans="1:3" x14ac:dyDescent="0.35">
      <c r="A3094" s="4">
        <v>43543</v>
      </c>
      <c r="B3094" s="9">
        <v>4.5</v>
      </c>
      <c r="C3094" t="str">
        <f>IF(acs2015_county_data[[#This Row],[Unemployment]]&gt;='Описательные характеристики'!$I$5,"да","нет")</f>
        <v>нет</v>
      </c>
    </row>
    <row r="3095" spans="1:3" x14ac:dyDescent="0.35">
      <c r="A3095" s="6">
        <v>24951</v>
      </c>
      <c r="B3095" s="10">
        <v>4.5999999999999996</v>
      </c>
      <c r="C3095" t="str">
        <f>IF(acs2015_county_data[[#This Row],[Unemployment]]&gt;='Описательные характеристики'!$I$5,"да","нет")</f>
        <v>нет</v>
      </c>
    </row>
    <row r="3096" spans="1:3" x14ac:dyDescent="0.35">
      <c r="A3096" s="4">
        <v>29068</v>
      </c>
      <c r="B3096" s="9">
        <v>3.6</v>
      </c>
      <c r="C3096" t="str">
        <f>IF(acs2015_county_data[[#This Row],[Unemployment]]&gt;='Описательные характеристики'!$I$5,"да","нет")</f>
        <v>нет</v>
      </c>
    </row>
    <row r="3097" spans="1:3" x14ac:dyDescent="0.35">
      <c r="A3097" s="6">
        <v>26450</v>
      </c>
      <c r="B3097" s="10">
        <v>6.8</v>
      </c>
      <c r="C3097" t="str">
        <f>IF(acs2015_county_data[[#This Row],[Unemployment]]&gt;='Описательные характеристики'!$I$5,"да","нет")</f>
        <v>нет</v>
      </c>
    </row>
    <row r="3098" spans="1:3" x14ac:dyDescent="0.35">
      <c r="A3098" s="4">
        <v>26071</v>
      </c>
      <c r="B3098" s="9">
        <v>7.2</v>
      </c>
      <c r="C3098" t="str">
        <f>IF(acs2015_county_data[[#This Row],[Unemployment]]&gt;='Описательные характеристики'!$I$5,"да","нет")</f>
        <v>нет</v>
      </c>
    </row>
    <row r="3099" spans="1:3" x14ac:dyDescent="0.35">
      <c r="A3099" s="6">
        <v>25055</v>
      </c>
      <c r="B3099" s="10">
        <v>4.5999999999999996</v>
      </c>
      <c r="C3099" t="str">
        <f>IF(acs2015_county_data[[#This Row],[Unemployment]]&gt;='Описательные характеристики'!$I$5,"да","нет")</f>
        <v>нет</v>
      </c>
    </row>
    <row r="3100" spans="1:3" x14ac:dyDescent="0.35">
      <c r="A3100" s="4">
        <v>27895</v>
      </c>
      <c r="B3100" s="9">
        <v>8.4</v>
      </c>
      <c r="C3100" t="str">
        <f>IF(acs2015_county_data[[#This Row],[Unemployment]]&gt;='Описательные характеристики'!$I$5,"да","нет")</f>
        <v>да</v>
      </c>
    </row>
    <row r="3101" spans="1:3" x14ac:dyDescent="0.35">
      <c r="A3101" s="6">
        <v>23765</v>
      </c>
      <c r="B3101" s="10">
        <v>4.8</v>
      </c>
      <c r="C3101" t="str">
        <f>IF(acs2015_county_data[[#This Row],[Unemployment]]&gt;='Описательные характеристики'!$I$5,"да","нет")</f>
        <v>нет</v>
      </c>
    </row>
    <row r="3102" spans="1:3" x14ac:dyDescent="0.35">
      <c r="A3102" s="4">
        <v>25219</v>
      </c>
      <c r="B3102" s="9">
        <v>8.5</v>
      </c>
      <c r="C3102" t="str">
        <f>IF(acs2015_county_data[[#This Row],[Unemployment]]&gt;='Описательные характеристики'!$I$5,"да","нет")</f>
        <v>да</v>
      </c>
    </row>
    <row r="3103" spans="1:3" x14ac:dyDescent="0.35">
      <c r="A3103" s="6">
        <v>21975</v>
      </c>
      <c r="B3103" s="10">
        <v>5.9</v>
      </c>
      <c r="C3103" t="str">
        <f>IF(acs2015_county_data[[#This Row],[Unemployment]]&gt;='Описательные характеристики'!$I$5,"да","нет")</f>
        <v>нет</v>
      </c>
    </row>
    <row r="3104" spans="1:3" x14ac:dyDescent="0.35">
      <c r="A3104" s="4">
        <v>32955</v>
      </c>
      <c r="B3104" s="9">
        <v>4.5999999999999996</v>
      </c>
      <c r="C3104" t="str">
        <f>IF(acs2015_county_data[[#This Row],[Unemployment]]&gt;='Описательные характеристики'!$I$5,"да","нет")</f>
        <v>нет</v>
      </c>
    </row>
    <row r="3105" spans="1:3" x14ac:dyDescent="0.35">
      <c r="A3105" s="6">
        <v>26335</v>
      </c>
      <c r="B3105" s="10">
        <v>5.5</v>
      </c>
      <c r="C3105" t="str">
        <f>IF(acs2015_county_data[[#This Row],[Unemployment]]&gt;='Описательные характеристики'!$I$5,"да","нет")</f>
        <v>нет</v>
      </c>
    </row>
    <row r="3106" spans="1:3" x14ac:dyDescent="0.35">
      <c r="A3106" s="4">
        <v>25284</v>
      </c>
      <c r="B3106" s="9">
        <v>9.8000000000000007</v>
      </c>
      <c r="C3106" t="str">
        <f>IF(acs2015_county_data[[#This Row],[Unemployment]]&gt;='Описательные характеристики'!$I$5,"да","нет")</f>
        <v>да</v>
      </c>
    </row>
    <row r="3107" spans="1:3" x14ac:dyDescent="0.35">
      <c r="A3107" s="6">
        <v>24638</v>
      </c>
      <c r="B3107" s="10">
        <v>5.4</v>
      </c>
      <c r="C3107" t="str">
        <f>IF(acs2015_county_data[[#This Row],[Unemployment]]&gt;='Описательные характеристики'!$I$5,"да","нет")</f>
        <v>нет</v>
      </c>
    </row>
    <row r="3108" spans="1:3" x14ac:dyDescent="0.35">
      <c r="A3108" s="4">
        <v>27034</v>
      </c>
      <c r="B3108" s="9">
        <v>5.8</v>
      </c>
      <c r="C3108" t="str">
        <f>IF(acs2015_county_data[[#This Row],[Unemployment]]&gt;='Описательные характеристики'!$I$5,"да","нет")</f>
        <v>нет</v>
      </c>
    </row>
    <row r="3109" spans="1:3" x14ac:dyDescent="0.35">
      <c r="A3109" s="6">
        <v>24300</v>
      </c>
      <c r="B3109" s="10">
        <v>5.5</v>
      </c>
      <c r="C3109" t="str">
        <f>IF(acs2015_county_data[[#This Row],[Unemployment]]&gt;='Описательные характеристики'!$I$5,"да","нет")</f>
        <v>нет</v>
      </c>
    </row>
    <row r="3110" spans="1:3" x14ac:dyDescent="0.35">
      <c r="A3110" s="4">
        <v>25502</v>
      </c>
      <c r="B3110" s="9">
        <v>3.6</v>
      </c>
      <c r="C3110" t="str">
        <f>IF(acs2015_county_data[[#This Row],[Unemployment]]&gt;='Описательные характеристики'!$I$5,"да","нет")</f>
        <v>нет</v>
      </c>
    </row>
    <row r="3111" spans="1:3" x14ac:dyDescent="0.35">
      <c r="A3111" s="6">
        <v>23985</v>
      </c>
      <c r="B3111" s="10">
        <v>4</v>
      </c>
      <c r="C3111" t="str">
        <f>IF(acs2015_county_data[[#This Row],[Unemployment]]&gt;='Описательные характеристики'!$I$5,"да","нет")</f>
        <v>нет</v>
      </c>
    </row>
    <row r="3112" spans="1:3" x14ac:dyDescent="0.35">
      <c r="A3112" s="4">
        <v>26304</v>
      </c>
      <c r="B3112" s="9">
        <v>8</v>
      </c>
      <c r="C3112" t="str">
        <f>IF(acs2015_county_data[[#This Row],[Unemployment]]&gt;='Описательные характеристики'!$I$5,"да","нет")</f>
        <v>да</v>
      </c>
    </row>
    <row r="3113" spans="1:3" x14ac:dyDescent="0.35">
      <c r="A3113" s="6">
        <v>27410</v>
      </c>
      <c r="B3113" s="10">
        <v>7.2</v>
      </c>
      <c r="C3113" t="str">
        <f>IF(acs2015_county_data[[#This Row],[Unemployment]]&gt;='Описательные характеристики'!$I$5,"да","нет")</f>
        <v>нет</v>
      </c>
    </row>
    <row r="3114" spans="1:3" x14ac:dyDescent="0.35">
      <c r="A3114" s="4">
        <v>25575</v>
      </c>
      <c r="B3114" s="9">
        <v>6.6</v>
      </c>
      <c r="C3114" t="str">
        <f>IF(acs2015_county_data[[#This Row],[Unemployment]]&gt;='Описательные характеристики'!$I$5,"да","нет")</f>
        <v>нет</v>
      </c>
    </row>
    <row r="3115" spans="1:3" x14ac:dyDescent="0.35">
      <c r="A3115" s="6">
        <v>33744</v>
      </c>
      <c r="B3115" s="10">
        <v>4.5</v>
      </c>
      <c r="C3115" t="str">
        <f>IF(acs2015_county_data[[#This Row],[Unemployment]]&gt;='Описательные характеристики'!$I$5,"да","нет")</f>
        <v>нет</v>
      </c>
    </row>
    <row r="3116" spans="1:3" x14ac:dyDescent="0.35">
      <c r="A3116" s="4">
        <v>38684</v>
      </c>
      <c r="B3116" s="9">
        <v>4.2</v>
      </c>
      <c r="C3116" t="str">
        <f>IF(acs2015_county_data[[#This Row],[Unemployment]]&gt;='Описательные характеристики'!$I$5,"да","нет")</f>
        <v>нет</v>
      </c>
    </row>
    <row r="3117" spans="1:3" x14ac:dyDescent="0.35">
      <c r="A3117" s="6">
        <v>27257</v>
      </c>
      <c r="B3117" s="10">
        <v>5.7</v>
      </c>
      <c r="C3117" t="str">
        <f>IF(acs2015_county_data[[#This Row],[Unemployment]]&gt;='Описательные характеристики'!$I$5,"да","нет")</f>
        <v>нет</v>
      </c>
    </row>
    <row r="3118" spans="1:3" x14ac:dyDescent="0.35">
      <c r="A3118" s="4">
        <v>23977</v>
      </c>
      <c r="B3118" s="9">
        <v>7.2</v>
      </c>
      <c r="C3118" t="str">
        <f>IF(acs2015_county_data[[#This Row],[Unemployment]]&gt;='Описательные характеристики'!$I$5,"да","нет")</f>
        <v>нет</v>
      </c>
    </row>
    <row r="3119" spans="1:3" x14ac:dyDescent="0.35">
      <c r="A3119" s="6">
        <v>27770</v>
      </c>
      <c r="B3119" s="10">
        <v>4.7</v>
      </c>
      <c r="C3119" t="str">
        <f>IF(acs2015_county_data[[#This Row],[Unemployment]]&gt;='Описательные характеристики'!$I$5,"да","нет")</f>
        <v>нет</v>
      </c>
    </row>
    <row r="3120" spans="1:3" x14ac:dyDescent="0.35">
      <c r="A3120" s="4">
        <v>26516</v>
      </c>
      <c r="B3120" s="9">
        <v>6.6</v>
      </c>
      <c r="C3120" t="str">
        <f>IF(acs2015_county_data[[#This Row],[Unemployment]]&gt;='Описательные характеристики'!$I$5,"да","нет")</f>
        <v>нет</v>
      </c>
    </row>
    <row r="3121" spans="1:3" x14ac:dyDescent="0.35">
      <c r="A3121" s="6">
        <v>24946</v>
      </c>
      <c r="B3121" s="10">
        <v>4.7</v>
      </c>
      <c r="C3121" t="str">
        <f>IF(acs2015_county_data[[#This Row],[Unemployment]]&gt;='Описательные характеристики'!$I$5,"да","нет")</f>
        <v>нет</v>
      </c>
    </row>
    <row r="3122" spans="1:3" x14ac:dyDescent="0.35">
      <c r="A3122" s="4">
        <v>23812</v>
      </c>
      <c r="B3122" s="9">
        <v>4.4000000000000004</v>
      </c>
      <c r="C3122" t="str">
        <f>IF(acs2015_county_data[[#This Row],[Unemployment]]&gt;='Описательные характеристики'!$I$5,"да","нет")</f>
        <v>нет</v>
      </c>
    </row>
    <row r="3123" spans="1:3" x14ac:dyDescent="0.35">
      <c r="A3123" s="6">
        <v>33925</v>
      </c>
      <c r="B3123" s="10">
        <v>4</v>
      </c>
      <c r="C3123" t="str">
        <f>IF(acs2015_county_data[[#This Row],[Unemployment]]&gt;='Описательные характеристики'!$I$5,"да","нет")</f>
        <v>нет</v>
      </c>
    </row>
    <row r="3124" spans="1:3" x14ac:dyDescent="0.35">
      <c r="A3124" s="4">
        <v>26706</v>
      </c>
      <c r="B3124" s="9">
        <v>4.3</v>
      </c>
      <c r="C3124" t="str">
        <f>IF(acs2015_county_data[[#This Row],[Unemployment]]&gt;='Описательные характеристики'!$I$5,"да","нет")</f>
        <v>нет</v>
      </c>
    </row>
    <row r="3125" spans="1:3" x14ac:dyDescent="0.35">
      <c r="A3125" s="6">
        <v>30249</v>
      </c>
      <c r="B3125" s="10">
        <v>5.0999999999999996</v>
      </c>
      <c r="C3125" t="str">
        <f>IF(acs2015_county_data[[#This Row],[Unemployment]]&gt;='Описательные характеристики'!$I$5,"да","нет")</f>
        <v>нет</v>
      </c>
    </row>
    <row r="3126" spans="1:3" x14ac:dyDescent="0.35">
      <c r="A3126" s="4">
        <v>32083</v>
      </c>
      <c r="B3126" s="9">
        <v>4.0999999999999996</v>
      </c>
      <c r="C3126" t="str">
        <f>IF(acs2015_county_data[[#This Row],[Unemployment]]&gt;='Описательные характеристики'!$I$5,"да","нет")</f>
        <v>нет</v>
      </c>
    </row>
    <row r="3127" spans="1:3" x14ac:dyDescent="0.35">
      <c r="A3127" s="6">
        <v>25293</v>
      </c>
      <c r="B3127" s="10">
        <v>7.8</v>
      </c>
      <c r="C3127" t="str">
        <f>IF(acs2015_county_data[[#This Row],[Unemployment]]&gt;='Описательные характеристики'!$I$5,"да","нет")</f>
        <v>да</v>
      </c>
    </row>
    <row r="3128" spans="1:3" x14ac:dyDescent="0.35">
      <c r="A3128" s="4">
        <v>25105</v>
      </c>
      <c r="B3128" s="9">
        <v>6.8</v>
      </c>
      <c r="C3128" t="str">
        <f>IF(acs2015_county_data[[#This Row],[Unemployment]]&gt;='Описательные характеристики'!$I$5,"да","нет")</f>
        <v>нет</v>
      </c>
    </row>
    <row r="3129" spans="1:3" x14ac:dyDescent="0.35">
      <c r="A3129" s="6">
        <v>27259</v>
      </c>
      <c r="B3129" s="10">
        <v>3.3</v>
      </c>
      <c r="C3129" t="str">
        <f>IF(acs2015_county_data[[#This Row],[Unemployment]]&gt;='Описательные характеристики'!$I$5,"да","нет")</f>
        <v>нет</v>
      </c>
    </row>
    <row r="3130" spans="1:3" x14ac:dyDescent="0.35">
      <c r="A3130" s="4">
        <v>30144</v>
      </c>
      <c r="B3130" s="9">
        <v>3.6</v>
      </c>
      <c r="C3130" t="str">
        <f>IF(acs2015_county_data[[#This Row],[Unemployment]]&gt;='Описательные характеристики'!$I$5,"да","нет")</f>
        <v>нет</v>
      </c>
    </row>
    <row r="3131" spans="1:3" x14ac:dyDescent="0.35">
      <c r="A3131" s="6">
        <v>30047</v>
      </c>
      <c r="B3131" s="10">
        <v>5</v>
      </c>
      <c r="C3131" t="str">
        <f>IF(acs2015_county_data[[#This Row],[Unemployment]]&gt;='Описательные характеристики'!$I$5,"да","нет")</f>
        <v>нет</v>
      </c>
    </row>
    <row r="3132" spans="1:3" x14ac:dyDescent="0.35">
      <c r="A3132" s="4">
        <v>29915</v>
      </c>
      <c r="B3132" s="9">
        <v>6.4</v>
      </c>
      <c r="C3132" t="str">
        <f>IF(acs2015_county_data[[#This Row],[Unemployment]]&gt;='Описательные характеристики'!$I$5,"да","нет")</f>
        <v>нет</v>
      </c>
    </row>
    <row r="3133" spans="1:3" x14ac:dyDescent="0.35">
      <c r="A3133" s="6">
        <v>30783</v>
      </c>
      <c r="B3133" s="10">
        <v>5.0999999999999996</v>
      </c>
      <c r="C3133" t="str">
        <f>IF(acs2015_county_data[[#This Row],[Unemployment]]&gt;='Описательные характеристики'!$I$5,"да","нет")</f>
        <v>нет</v>
      </c>
    </row>
    <row r="3134" spans="1:3" x14ac:dyDescent="0.35">
      <c r="A3134" s="4">
        <v>25272</v>
      </c>
      <c r="B3134" s="9">
        <v>1.6</v>
      </c>
      <c r="C3134" t="str">
        <f>IF(acs2015_county_data[[#This Row],[Unemployment]]&gt;='Описательные характеристики'!$I$5,"да","нет")</f>
        <v>нет</v>
      </c>
    </row>
    <row r="3135" spans="1:3" x14ac:dyDescent="0.35">
      <c r="A3135" s="6">
        <v>29411</v>
      </c>
      <c r="B3135" s="10">
        <v>3.8</v>
      </c>
      <c r="C3135" t="str">
        <f>IF(acs2015_county_data[[#This Row],[Unemployment]]&gt;='Описательные характеристики'!$I$5,"да","нет")</f>
        <v>нет</v>
      </c>
    </row>
    <row r="3136" spans="1:3" x14ac:dyDescent="0.35">
      <c r="A3136" s="4">
        <v>25899</v>
      </c>
      <c r="B3136" s="9">
        <v>2.4</v>
      </c>
      <c r="C3136" t="str">
        <f>IF(acs2015_county_data[[#This Row],[Unemployment]]&gt;='Описательные характеристики'!$I$5,"да","нет")</f>
        <v>нет</v>
      </c>
    </row>
    <row r="3137" spans="1:3" x14ac:dyDescent="0.35">
      <c r="A3137" s="6">
        <v>29892</v>
      </c>
      <c r="B3137" s="10">
        <v>3.4</v>
      </c>
      <c r="C3137" t="str">
        <f>IF(acs2015_county_data[[#This Row],[Unemployment]]&gt;='Описательные характеристики'!$I$5,"да","нет")</f>
        <v>нет</v>
      </c>
    </row>
    <row r="3138" spans="1:3" x14ac:dyDescent="0.35">
      <c r="A3138" s="4">
        <v>33193</v>
      </c>
      <c r="B3138" s="9">
        <v>5.4</v>
      </c>
      <c r="C3138" t="str">
        <f>IF(acs2015_county_data[[#This Row],[Unemployment]]&gt;='Описательные характеристики'!$I$5,"да","нет")</f>
        <v>нет</v>
      </c>
    </row>
    <row r="3139" spans="1:3" x14ac:dyDescent="0.35">
      <c r="A3139" s="6">
        <v>30568</v>
      </c>
      <c r="B3139" s="10">
        <v>5.4</v>
      </c>
      <c r="C3139" t="str">
        <f>IF(acs2015_county_data[[#This Row],[Unemployment]]&gt;='Описательные характеристики'!$I$5,"да","нет")</f>
        <v>нет</v>
      </c>
    </row>
    <row r="3140" spans="1:3" x14ac:dyDescent="0.35">
      <c r="A3140" s="4">
        <v>44231</v>
      </c>
      <c r="B3140" s="9">
        <v>2.6</v>
      </c>
      <c r="C3140" t="str">
        <f>IF(acs2015_county_data[[#This Row],[Unemployment]]&gt;='Описательные характеристики'!$I$5,"да","нет")</f>
        <v>нет</v>
      </c>
    </row>
    <row r="3141" spans="1:3" x14ac:dyDescent="0.35">
      <c r="A3141" s="6">
        <v>25772</v>
      </c>
      <c r="B3141" s="10">
        <v>4.4000000000000004</v>
      </c>
      <c r="C3141" t="str">
        <f>IF(acs2015_county_data[[#This Row],[Unemployment]]&gt;='Описательные характеристики'!$I$5,"да","нет")</f>
        <v>нет</v>
      </c>
    </row>
    <row r="3142" spans="1:3" x14ac:dyDescent="0.35">
      <c r="A3142" s="4">
        <v>27394</v>
      </c>
      <c r="B3142" s="9">
        <v>6.8</v>
      </c>
      <c r="C3142" t="str">
        <f>IF(acs2015_county_data[[#This Row],[Unemployment]]&gt;='Описательные характеристики'!$I$5,"да","нет")</f>
        <v>нет</v>
      </c>
    </row>
    <row r="3143" spans="1:3" x14ac:dyDescent="0.35">
      <c r="A3143" s="6">
        <v>30245</v>
      </c>
      <c r="B3143" s="10">
        <v>5.2</v>
      </c>
      <c r="C3143" t="str">
        <f>IF(acs2015_county_data[[#This Row],[Unemployment]]&gt;='Описательные характеристики'!$I$5,"да","нет")</f>
        <v>нет</v>
      </c>
    </row>
    <row r="3144" spans="1:3" x14ac:dyDescent="0.35">
      <c r="A3144" s="4">
        <v>7270</v>
      </c>
      <c r="B3144" s="9">
        <v>36.5</v>
      </c>
      <c r="C3144" t="str">
        <f>IF(acs2015_county_data[[#This Row],[Unemployment]]&gt;='Описательные характеристики'!$I$5,"да","нет")</f>
        <v>да</v>
      </c>
    </row>
    <row r="3145" spans="1:3" x14ac:dyDescent="0.35">
      <c r="A3145" s="6">
        <v>8465</v>
      </c>
      <c r="B3145" s="10">
        <v>25.1</v>
      </c>
      <c r="C3145" t="str">
        <f>IF(acs2015_county_data[[#This Row],[Unemployment]]&gt;='Описательные характеристики'!$I$5,"да","нет")</f>
        <v>да</v>
      </c>
    </row>
    <row r="3146" spans="1:3" x14ac:dyDescent="0.35">
      <c r="A3146" s="4">
        <v>10297</v>
      </c>
      <c r="B3146" s="9">
        <v>23.2</v>
      </c>
      <c r="C3146" t="str">
        <f>IF(acs2015_county_data[[#This Row],[Unemployment]]&gt;='Описательные характеристики'!$I$5,"да","нет")</f>
        <v>да</v>
      </c>
    </row>
    <row r="3147" spans="1:3" x14ac:dyDescent="0.35">
      <c r="A3147" s="6">
        <v>8441</v>
      </c>
      <c r="B3147" s="10">
        <v>24.6</v>
      </c>
      <c r="C3147" t="str">
        <f>IF(acs2015_county_data[[#This Row],[Unemployment]]&gt;='Описательные характеристики'!$I$5,"да","нет")</f>
        <v>да</v>
      </c>
    </row>
    <row r="3148" spans="1:3" x14ac:dyDescent="0.35">
      <c r="A3148" s="4">
        <v>8867</v>
      </c>
      <c r="B3148" s="9">
        <v>6</v>
      </c>
      <c r="C3148" t="str">
        <f>IF(acs2015_county_data[[#This Row],[Unemployment]]&gt;='Описательные характеристики'!$I$5,"да","нет")</f>
        <v>нет</v>
      </c>
    </row>
    <row r="3149" spans="1:3" x14ac:dyDescent="0.35">
      <c r="A3149" s="6">
        <v>8536</v>
      </c>
      <c r="B3149" s="10">
        <v>15</v>
      </c>
      <c r="C3149" t="str">
        <f>IF(acs2015_county_data[[#This Row],[Unemployment]]&gt;='Описательные характеристики'!$I$5,"да","нет")</f>
        <v>да</v>
      </c>
    </row>
    <row r="3150" spans="1:3" x14ac:dyDescent="0.35">
      <c r="A3150" s="4">
        <v>9461</v>
      </c>
      <c r="B3150" s="9">
        <v>17.7</v>
      </c>
      <c r="C3150" t="str">
        <f>IF(acs2015_county_data[[#This Row],[Unemployment]]&gt;='Описательные характеристики'!$I$5,"да","нет")</f>
        <v>да</v>
      </c>
    </row>
    <row r="3151" spans="1:3" x14ac:dyDescent="0.35">
      <c r="A3151" s="6">
        <v>7562</v>
      </c>
      <c r="B3151" s="10">
        <v>22.9</v>
      </c>
      <c r="C3151" t="str">
        <f>IF(acs2015_county_data[[#This Row],[Unemployment]]&gt;='Описательные характеристики'!$I$5,"да","нет")</f>
        <v>да</v>
      </c>
    </row>
    <row r="3152" spans="1:3" x14ac:dyDescent="0.35">
      <c r="A3152" s="4">
        <v>7849</v>
      </c>
      <c r="B3152" s="9">
        <v>17.100000000000001</v>
      </c>
      <c r="C3152" t="str">
        <f>IF(acs2015_county_data[[#This Row],[Unemployment]]&gt;='Описательные характеристики'!$I$5,"да","нет")</f>
        <v>да</v>
      </c>
    </row>
    <row r="3153" spans="1:3" x14ac:dyDescent="0.35">
      <c r="A3153" s="6">
        <v>7361</v>
      </c>
      <c r="B3153" s="10">
        <v>6.8</v>
      </c>
      <c r="C3153" t="str">
        <f>IF(acs2015_county_data[[#This Row],[Unemployment]]&gt;='Описательные характеристики'!$I$5,"да","нет")</f>
        <v>нет</v>
      </c>
    </row>
    <row r="3154" spans="1:3" x14ac:dyDescent="0.35">
      <c r="A3154" s="4">
        <v>13068</v>
      </c>
      <c r="B3154" s="9">
        <v>16.100000000000001</v>
      </c>
      <c r="C3154" t="str">
        <f>IF(acs2015_county_data[[#This Row],[Unemployment]]&gt;='Описательные характеристики'!$I$5,"да","нет")</f>
        <v>да</v>
      </c>
    </row>
    <row r="3155" spans="1:3" x14ac:dyDescent="0.35">
      <c r="A3155" s="6">
        <v>9500</v>
      </c>
      <c r="B3155" s="10">
        <v>11.8</v>
      </c>
      <c r="C3155" t="str">
        <f>IF(acs2015_county_data[[#This Row],[Unemployment]]&gt;='Описательные характеристики'!$I$5,"да","нет")</f>
        <v>да</v>
      </c>
    </row>
    <row r="3156" spans="1:3" x14ac:dyDescent="0.35">
      <c r="A3156" s="4">
        <v>13486</v>
      </c>
      <c r="B3156" s="9">
        <v>15.9</v>
      </c>
      <c r="C3156" t="str">
        <f>IF(acs2015_county_data[[#This Row],[Unemployment]]&gt;='Описательные характеристики'!$I$5,"да","нет")</f>
        <v>да</v>
      </c>
    </row>
    <row r="3157" spans="1:3" x14ac:dyDescent="0.35">
      <c r="A3157" s="6">
        <v>9234</v>
      </c>
      <c r="B3157" s="10">
        <v>21.4</v>
      </c>
      <c r="C3157" t="str">
        <f>IF(acs2015_county_data[[#This Row],[Unemployment]]&gt;='Описательные характеристики'!$I$5,"да","нет")</f>
        <v>да</v>
      </c>
    </row>
    <row r="3158" spans="1:3" x14ac:dyDescent="0.35">
      <c r="A3158" s="4">
        <v>10621</v>
      </c>
      <c r="B3158" s="9">
        <v>22.6</v>
      </c>
      <c r="C3158" t="str">
        <f>IF(acs2015_county_data[[#This Row],[Unemployment]]&gt;='Описательные характеристики'!$I$5,"да","нет")</f>
        <v>да</v>
      </c>
    </row>
    <row r="3159" spans="1:3" x14ac:dyDescent="0.35">
      <c r="A3159" s="6">
        <v>15185</v>
      </c>
      <c r="B3159" s="10">
        <v>14.5</v>
      </c>
      <c r="C3159" t="str">
        <f>IF(acs2015_county_data[[#This Row],[Unemployment]]&gt;='Описательные характеристики'!$I$5,"да","нет")</f>
        <v>да</v>
      </c>
    </row>
    <row r="3160" spans="1:3" x14ac:dyDescent="0.35">
      <c r="A3160" s="4">
        <v>10820</v>
      </c>
      <c r="B3160" s="9">
        <v>30.8</v>
      </c>
      <c r="C3160" t="str">
        <f>IF(acs2015_county_data[[#This Row],[Unemployment]]&gt;='Описательные характеристики'!$I$5,"да","нет")</f>
        <v>да</v>
      </c>
    </row>
    <row r="3161" spans="1:3" x14ac:dyDescent="0.35">
      <c r="A3161" s="6">
        <v>12453</v>
      </c>
      <c r="B3161" s="10">
        <v>12.8</v>
      </c>
      <c r="C3161" t="str">
        <f>IF(acs2015_county_data[[#This Row],[Unemployment]]&gt;='Описательные характеристики'!$I$5,"да","нет")</f>
        <v>да</v>
      </c>
    </row>
    <row r="3162" spans="1:3" x14ac:dyDescent="0.35">
      <c r="A3162" s="4">
        <v>10269</v>
      </c>
      <c r="B3162" s="9">
        <v>12.2</v>
      </c>
      <c r="C3162" t="str">
        <f>IF(acs2015_county_data[[#This Row],[Unemployment]]&gt;='Описательные характеристики'!$I$5,"да","нет")</f>
        <v>да</v>
      </c>
    </row>
    <row r="3163" spans="1:3" x14ac:dyDescent="0.35">
      <c r="A3163" s="6">
        <v>6774</v>
      </c>
      <c r="B3163" s="10">
        <v>17.7</v>
      </c>
      <c r="C3163" t="str">
        <f>IF(acs2015_county_data[[#This Row],[Unemployment]]&gt;='Описательные характеристики'!$I$5,"да","нет")</f>
        <v>да</v>
      </c>
    </row>
    <row r="3164" spans="1:3" x14ac:dyDescent="0.35">
      <c r="A3164" s="4">
        <v>11678</v>
      </c>
      <c r="B3164" s="9">
        <v>13.7</v>
      </c>
      <c r="C3164" t="str">
        <f>IF(acs2015_county_data[[#This Row],[Unemployment]]&gt;='Описательные характеристики'!$I$5,"да","нет")</f>
        <v>да</v>
      </c>
    </row>
    <row r="3165" spans="1:3" x14ac:dyDescent="0.35">
      <c r="A3165" s="6">
        <v>9634</v>
      </c>
      <c r="B3165" s="10">
        <v>11.5</v>
      </c>
      <c r="C3165" t="str">
        <f>IF(acs2015_county_data[[#This Row],[Unemployment]]&gt;='Описательные характеристики'!$I$5,"да","нет")</f>
        <v>да</v>
      </c>
    </row>
    <row r="3166" spans="1:3" x14ac:dyDescent="0.35">
      <c r="A3166" s="4">
        <v>7076</v>
      </c>
      <c r="B3166" s="9">
        <v>20.6</v>
      </c>
      <c r="C3166" t="str">
        <f>IF(acs2015_county_data[[#This Row],[Unemployment]]&gt;='Описательные характеристики'!$I$5,"да","нет")</f>
        <v>да</v>
      </c>
    </row>
    <row r="3167" spans="1:3" x14ac:dyDescent="0.35">
      <c r="A3167" s="6">
        <v>7459</v>
      </c>
      <c r="B3167" s="10">
        <v>23.1</v>
      </c>
      <c r="C3167" t="str">
        <f>IF(acs2015_county_data[[#This Row],[Unemployment]]&gt;='Описательные характеристики'!$I$5,"да","нет")</f>
        <v>да</v>
      </c>
    </row>
    <row r="3168" spans="1:3" x14ac:dyDescent="0.35">
      <c r="A3168" s="4">
        <v>9333</v>
      </c>
      <c r="B3168" s="9">
        <v>3.2</v>
      </c>
      <c r="C3168" t="str">
        <f>IF(acs2015_county_data[[#This Row],[Unemployment]]&gt;='Описательные характеристики'!$I$5,"да","нет")</f>
        <v>нет</v>
      </c>
    </row>
    <row r="3169" spans="1:3" x14ac:dyDescent="0.35">
      <c r="A3169" s="6">
        <v>14412</v>
      </c>
      <c r="B3169" s="10">
        <v>19.399999999999999</v>
      </c>
      <c r="C3169" t="str">
        <f>IF(acs2015_county_data[[#This Row],[Unemployment]]&gt;='Описательные характеристики'!$I$5,"да","нет")</f>
        <v>да</v>
      </c>
    </row>
    <row r="3170" spans="1:3" x14ac:dyDescent="0.35">
      <c r="A3170" s="4">
        <v>10609</v>
      </c>
      <c r="B3170" s="9">
        <v>25.1</v>
      </c>
      <c r="C3170" t="str">
        <f>IF(acs2015_county_data[[#This Row],[Unemployment]]&gt;='Описательные характеристики'!$I$5,"да","нет")</f>
        <v>да</v>
      </c>
    </row>
    <row r="3171" spans="1:3" x14ac:dyDescent="0.35">
      <c r="A3171" s="6">
        <v>7263</v>
      </c>
      <c r="B3171" s="10">
        <v>15.7</v>
      </c>
      <c r="C3171" t="str">
        <f>IF(acs2015_county_data[[#This Row],[Unemployment]]&gt;='Описательные характеристики'!$I$5,"да","нет")</f>
        <v>да</v>
      </c>
    </row>
    <row r="3172" spans="1:3" x14ac:dyDescent="0.35">
      <c r="A3172" s="4">
        <v>7245</v>
      </c>
      <c r="B3172" s="9">
        <v>27.2</v>
      </c>
      <c r="C3172" t="str">
        <f>IF(acs2015_county_data[[#This Row],[Unemployment]]&gt;='Описательные характеристики'!$I$5,"да","нет")</f>
        <v>да</v>
      </c>
    </row>
    <row r="3173" spans="1:3" x14ac:dyDescent="0.35">
      <c r="A3173" s="6">
        <v>8831</v>
      </c>
      <c r="B3173" s="10">
        <v>17.399999999999999</v>
      </c>
      <c r="C3173" t="str">
        <f>IF(acs2015_county_data[[#This Row],[Unemployment]]&gt;='Описательные характеристики'!$I$5,"да","нет")</f>
        <v>да</v>
      </c>
    </row>
    <row r="3174" spans="1:3" x14ac:dyDescent="0.35">
      <c r="A3174" s="4">
        <v>7811</v>
      </c>
      <c r="B3174" s="9">
        <v>22.5</v>
      </c>
      <c r="C3174" t="str">
        <f>IF(acs2015_county_data[[#This Row],[Unemployment]]&gt;='Описательные характеристики'!$I$5,"да","нет")</f>
        <v>да</v>
      </c>
    </row>
    <row r="3175" spans="1:3" x14ac:dyDescent="0.35">
      <c r="A3175" s="6">
        <v>23166</v>
      </c>
      <c r="B3175" s="10">
        <v>12.4</v>
      </c>
      <c r="C3175" t="str">
        <f>IF(acs2015_county_data[[#This Row],[Unemployment]]&gt;='Описательные характеристики'!$I$5,"да","нет")</f>
        <v>да</v>
      </c>
    </row>
    <row r="3176" spans="1:3" x14ac:dyDescent="0.35">
      <c r="A3176" s="4">
        <v>15111</v>
      </c>
      <c r="B3176" s="9">
        <v>13.4</v>
      </c>
      <c r="C3176" t="str">
        <f>IF(acs2015_county_data[[#This Row],[Unemployment]]&gt;='Описательные характеристики'!$I$5,"да","нет")</f>
        <v>да</v>
      </c>
    </row>
    <row r="3177" spans="1:3" x14ac:dyDescent="0.35">
      <c r="A3177" s="6">
        <v>9876</v>
      </c>
      <c r="B3177" s="10">
        <v>13.3</v>
      </c>
      <c r="C3177" t="str">
        <f>IF(acs2015_county_data[[#This Row],[Unemployment]]&gt;='Описательные характеристики'!$I$5,"да","нет")</f>
        <v>да</v>
      </c>
    </row>
    <row r="3178" spans="1:3" x14ac:dyDescent="0.35">
      <c r="A3178" s="4">
        <v>11096</v>
      </c>
      <c r="B3178" s="9">
        <v>22.6</v>
      </c>
      <c r="C3178" t="str">
        <f>IF(acs2015_county_data[[#This Row],[Unemployment]]&gt;='Описательные характеристики'!$I$5,"да","нет")</f>
        <v>да</v>
      </c>
    </row>
    <row r="3179" spans="1:3" x14ac:dyDescent="0.35">
      <c r="A3179" s="6">
        <v>10678</v>
      </c>
      <c r="B3179" s="10">
        <v>13.8</v>
      </c>
      <c r="C3179" t="str">
        <f>IF(acs2015_county_data[[#This Row],[Unemployment]]&gt;='Описательные характеристики'!$I$5,"да","нет")</f>
        <v>да</v>
      </c>
    </row>
    <row r="3180" spans="1:3" x14ac:dyDescent="0.35">
      <c r="A3180" s="4">
        <v>8371</v>
      </c>
      <c r="B3180" s="9">
        <v>20.3</v>
      </c>
      <c r="C3180" t="str">
        <f>IF(acs2015_county_data[[#This Row],[Unemployment]]&gt;='Описательные характеристики'!$I$5,"да","нет")</f>
        <v>да</v>
      </c>
    </row>
    <row r="3181" spans="1:3" x14ac:dyDescent="0.35">
      <c r="A3181" s="6">
        <v>7242</v>
      </c>
      <c r="B3181" s="10">
        <v>31.7</v>
      </c>
      <c r="C3181" t="str">
        <f>IF(acs2015_county_data[[#This Row],[Unemployment]]&gt;='Описательные характеристики'!$I$5,"да","нет")</f>
        <v>да</v>
      </c>
    </row>
    <row r="3182" spans="1:3" x14ac:dyDescent="0.35">
      <c r="A3182" s="4">
        <v>9328</v>
      </c>
      <c r="B3182" s="9">
        <v>17.2</v>
      </c>
      <c r="C3182" t="str">
        <f>IF(acs2015_county_data[[#This Row],[Unemployment]]&gt;='Описательные характеристики'!$I$5,"да","нет")</f>
        <v>да</v>
      </c>
    </row>
    <row r="3183" spans="1:3" x14ac:dyDescent="0.35">
      <c r="A3183" s="6">
        <v>9446</v>
      </c>
      <c r="B3183" s="10">
        <v>24</v>
      </c>
      <c r="C3183" t="str">
        <f>IF(acs2015_county_data[[#This Row],[Unemployment]]&gt;='Описательные характеристики'!$I$5,"да","нет")</f>
        <v>да</v>
      </c>
    </row>
    <row r="3184" spans="1:3" x14ac:dyDescent="0.35">
      <c r="A3184" s="4">
        <v>6974</v>
      </c>
      <c r="B3184" s="9">
        <v>17.600000000000001</v>
      </c>
      <c r="C3184" t="str">
        <f>IF(acs2015_county_data[[#This Row],[Unemployment]]&gt;='Описательные характеристики'!$I$5,"да","нет")</f>
        <v>да</v>
      </c>
    </row>
    <row r="3185" spans="1:3" x14ac:dyDescent="0.35">
      <c r="A3185" s="6">
        <v>7598</v>
      </c>
      <c r="B3185" s="10">
        <v>35.200000000000003</v>
      </c>
      <c r="C3185" t="str">
        <f>IF(acs2015_county_data[[#This Row],[Unemployment]]&gt;='Описательные характеристики'!$I$5,"да","нет")</f>
        <v>да</v>
      </c>
    </row>
    <row r="3186" spans="1:3" x14ac:dyDescent="0.35">
      <c r="A3186" s="4">
        <v>6792</v>
      </c>
      <c r="B3186" s="9">
        <v>4.5999999999999996</v>
      </c>
      <c r="C3186" t="str">
        <f>IF(acs2015_county_data[[#This Row],[Unemployment]]&gt;='Описательные характеристики'!$I$5,"да","нет")</f>
        <v>нет</v>
      </c>
    </row>
    <row r="3187" spans="1:3" x14ac:dyDescent="0.35">
      <c r="A3187" s="6">
        <v>9833</v>
      </c>
      <c r="B3187" s="10">
        <v>22.5</v>
      </c>
      <c r="C3187" t="str">
        <f>IF(acs2015_county_data[[#This Row],[Unemployment]]&gt;='Описательные характеристики'!$I$5,"да","нет")</f>
        <v>да</v>
      </c>
    </row>
    <row r="3188" spans="1:3" x14ac:dyDescent="0.35">
      <c r="A3188" s="4">
        <v>8665</v>
      </c>
      <c r="B3188" s="9">
        <v>26.2</v>
      </c>
      <c r="C3188" t="str">
        <f>IF(acs2015_county_data[[#This Row],[Unemployment]]&gt;='Описательные характеристики'!$I$5,"да","нет")</f>
        <v>да</v>
      </c>
    </row>
    <row r="3189" spans="1:3" x14ac:dyDescent="0.35">
      <c r="A3189" s="6">
        <v>10284</v>
      </c>
      <c r="B3189" s="10">
        <v>28.5</v>
      </c>
      <c r="C3189" t="str">
        <f>IF(acs2015_county_data[[#This Row],[Unemployment]]&gt;='Описательные характеристики'!$I$5,"да","нет")</f>
        <v>да</v>
      </c>
    </row>
    <row r="3190" spans="1:3" x14ac:dyDescent="0.35">
      <c r="A3190" s="4">
        <v>10190</v>
      </c>
      <c r="B3190" s="9">
        <v>18.899999999999999</v>
      </c>
      <c r="C3190" t="str">
        <f>IF(acs2015_county_data[[#This Row],[Unemployment]]&gt;='Описательные характеристики'!$I$5,"да","нет")</f>
        <v>да</v>
      </c>
    </row>
    <row r="3191" spans="1:3" x14ac:dyDescent="0.35">
      <c r="A3191" s="6">
        <v>5878</v>
      </c>
      <c r="B3191" s="10">
        <v>10.7</v>
      </c>
      <c r="C3191" t="str">
        <f>IF(acs2015_county_data[[#This Row],[Unemployment]]&gt;='Описательные характеристики'!$I$5,"да","нет")</f>
        <v>да</v>
      </c>
    </row>
    <row r="3192" spans="1:3" x14ac:dyDescent="0.35">
      <c r="A3192" s="4">
        <v>8374</v>
      </c>
      <c r="B3192" s="9">
        <v>27.9</v>
      </c>
      <c r="C3192" t="str">
        <f>IF(acs2015_county_data[[#This Row],[Unemployment]]&gt;='Описательные характеристики'!$I$5,"да","нет")</f>
        <v>да</v>
      </c>
    </row>
    <row r="3193" spans="1:3" x14ac:dyDescent="0.35">
      <c r="A3193" s="6">
        <v>9930</v>
      </c>
      <c r="B3193" s="10">
        <v>22.9</v>
      </c>
      <c r="C3193" t="str">
        <f>IF(acs2015_county_data[[#This Row],[Unemployment]]&gt;='Описательные характеристики'!$I$5,"да","нет")</f>
        <v>да</v>
      </c>
    </row>
    <row r="3194" spans="1:3" x14ac:dyDescent="0.35">
      <c r="A3194" s="4">
        <v>7685</v>
      </c>
      <c r="B3194" s="9">
        <v>23</v>
      </c>
      <c r="C3194" t="str">
        <f>IF(acs2015_county_data[[#This Row],[Unemployment]]&gt;='Описательные характеристики'!$I$5,"да","нет")</f>
        <v>да</v>
      </c>
    </row>
    <row r="3195" spans="1:3" x14ac:dyDescent="0.35">
      <c r="A3195" s="6">
        <v>7465</v>
      </c>
      <c r="B3195" s="10">
        <v>24.7</v>
      </c>
      <c r="C3195" t="str">
        <f>IF(acs2015_county_data[[#This Row],[Unemployment]]&gt;='Описательные характеристики'!$I$5,"да","нет")</f>
        <v>да</v>
      </c>
    </row>
    <row r="3196" spans="1:3" x14ac:dyDescent="0.35">
      <c r="A3196" s="4">
        <v>9749</v>
      </c>
      <c r="B3196" s="9">
        <v>10.9</v>
      </c>
      <c r="C3196" t="str">
        <f>IF(acs2015_county_data[[#This Row],[Unemployment]]&gt;='Описательные характеристики'!$I$5,"да","нет")</f>
        <v>да</v>
      </c>
    </row>
    <row r="3197" spans="1:3" x14ac:dyDescent="0.35">
      <c r="A3197" s="6">
        <v>9347</v>
      </c>
      <c r="B3197" s="10">
        <v>21.9</v>
      </c>
      <c r="C3197" t="str">
        <f>IF(acs2015_county_data[[#This Row],[Unemployment]]&gt;='Описательные характеристики'!$I$5,"да","нет")</f>
        <v>да</v>
      </c>
    </row>
    <row r="3198" spans="1:3" x14ac:dyDescent="0.35">
      <c r="A3198" s="4">
        <v>6792</v>
      </c>
      <c r="B3198" s="9">
        <v>31.2</v>
      </c>
      <c r="C3198" t="str">
        <f>IF(acs2015_county_data[[#This Row],[Unemployment]]&gt;='Описательные характеристики'!$I$5,"да","нет")</f>
        <v>да</v>
      </c>
    </row>
    <row r="3199" spans="1:3" x14ac:dyDescent="0.35">
      <c r="A3199" s="6">
        <v>7643</v>
      </c>
      <c r="B3199" s="10">
        <v>27.5</v>
      </c>
      <c r="C3199" t="str">
        <f>IF(acs2015_county_data[[#This Row],[Unemployment]]&gt;='Описательные характеристики'!$I$5,"да","нет")</f>
        <v>да</v>
      </c>
    </row>
    <row r="3200" spans="1:3" x14ac:dyDescent="0.35">
      <c r="A3200" s="4">
        <v>7299</v>
      </c>
      <c r="B3200" s="9">
        <v>26.1</v>
      </c>
      <c r="C3200" t="str">
        <f>IF(acs2015_county_data[[#This Row],[Unemployment]]&gt;='Описательные характеристики'!$I$5,"да","нет")</f>
        <v>да</v>
      </c>
    </row>
    <row r="3201" spans="1:3" x14ac:dyDescent="0.35">
      <c r="A3201" s="6">
        <v>10562</v>
      </c>
      <c r="B3201" s="10">
        <v>20</v>
      </c>
      <c r="C3201" t="str">
        <f>IF(acs2015_county_data[[#This Row],[Unemployment]]&gt;='Описательные характеристики'!$I$5,"да","нет")</f>
        <v>да</v>
      </c>
    </row>
    <row r="3202" spans="1:3" x14ac:dyDescent="0.35">
      <c r="A3202" s="4">
        <v>8649</v>
      </c>
      <c r="B3202" s="9">
        <v>16.100000000000001</v>
      </c>
      <c r="C3202" t="str">
        <f>IF(acs2015_county_data[[#This Row],[Unemployment]]&gt;='Описательные характеристики'!$I$5,"да","нет")</f>
        <v>да</v>
      </c>
    </row>
    <row r="3203" spans="1:3" x14ac:dyDescent="0.35">
      <c r="A3203" s="6">
        <v>9412</v>
      </c>
      <c r="B3203" s="10">
        <v>17.600000000000001</v>
      </c>
      <c r="C3203" t="str">
        <f>IF(acs2015_county_data[[#This Row],[Unemployment]]&gt;='Описательные характеристики'!$I$5,"да","нет")</f>
        <v>да</v>
      </c>
    </row>
    <row r="3204" spans="1:3" x14ac:dyDescent="0.35">
      <c r="A3204" s="4">
        <v>10363</v>
      </c>
      <c r="B3204" s="9">
        <v>23.9</v>
      </c>
      <c r="C3204" t="str">
        <f>IF(acs2015_county_data[[#This Row],[Unemployment]]&gt;='Описательные характеристики'!$I$5,"да","нет")</f>
        <v>да</v>
      </c>
    </row>
    <row r="3205" spans="1:3" x14ac:dyDescent="0.35">
      <c r="A3205" s="6">
        <v>7943</v>
      </c>
      <c r="B3205" s="10">
        <v>24.3</v>
      </c>
      <c r="C3205" t="str">
        <f>IF(acs2015_county_data[[#This Row],[Unemployment]]&gt;='Описательные характеристики'!$I$5,"да","нет")</f>
        <v>да</v>
      </c>
    </row>
    <row r="3206" spans="1:3" x14ac:dyDescent="0.35">
      <c r="A3206" s="4">
        <v>8286</v>
      </c>
      <c r="B3206" s="9">
        <v>12.1</v>
      </c>
      <c r="C3206" t="str">
        <f>IF(acs2015_county_data[[#This Row],[Unemployment]]&gt;='Описательные характеристики'!$I$5,"да","нет")</f>
        <v>да</v>
      </c>
    </row>
    <row r="3207" spans="1:3" x14ac:dyDescent="0.35">
      <c r="A3207" s="6">
        <v>9399</v>
      </c>
      <c r="B3207" s="10">
        <v>6.8</v>
      </c>
      <c r="C3207" t="str">
        <f>IF(acs2015_county_data[[#This Row],[Unemployment]]&gt;='Описательные характеристики'!$I$5,"да","нет")</f>
        <v>нет</v>
      </c>
    </row>
    <row r="3208" spans="1:3" x14ac:dyDescent="0.35">
      <c r="A3208" s="4">
        <v>16691</v>
      </c>
      <c r="B3208" s="9">
        <v>15.8</v>
      </c>
      <c r="C3208" t="str">
        <f>IF(acs2015_county_data[[#This Row],[Unemployment]]&gt;='Описательные характеристики'!$I$5,"да","нет")</f>
        <v>да</v>
      </c>
    </row>
    <row r="3209" spans="1:3" x14ac:dyDescent="0.35">
      <c r="A3209" s="6">
        <v>10021</v>
      </c>
      <c r="B3209" s="10">
        <v>15.8</v>
      </c>
      <c r="C3209" t="str">
        <f>IF(acs2015_county_data[[#This Row],[Unemployment]]&gt;='Описательные характеристики'!$I$5,"да","нет")</f>
        <v>да</v>
      </c>
    </row>
    <row r="3210" spans="1:3" x14ac:dyDescent="0.35">
      <c r="A3210" s="4">
        <v>7519</v>
      </c>
      <c r="B3210" s="9">
        <v>29.4</v>
      </c>
      <c r="C3210" t="str">
        <f>IF(acs2015_county_data[[#This Row],[Unemployment]]&gt;='Описательные характеристики'!$I$5,"да","нет")</f>
        <v>да</v>
      </c>
    </row>
    <row r="3211" spans="1:3" x14ac:dyDescent="0.35">
      <c r="A3211" s="6">
        <v>9199</v>
      </c>
      <c r="B3211" s="10">
        <v>12.2</v>
      </c>
      <c r="C3211" t="str">
        <f>IF(acs2015_county_data[[#This Row],[Unemployment]]&gt;='Описательные характеристики'!$I$5,"да","нет")</f>
        <v>да</v>
      </c>
    </row>
    <row r="3212" spans="1:3" x14ac:dyDescent="0.35">
      <c r="A3212" s="4">
        <v>13689</v>
      </c>
      <c r="B3212" s="9">
        <v>15.7</v>
      </c>
      <c r="C3212" t="str">
        <f>IF(acs2015_county_data[[#This Row],[Unemployment]]&gt;='Описательные характеристики'!$I$5,"да","нет")</f>
        <v>да</v>
      </c>
    </row>
    <row r="3213" spans="1:3" x14ac:dyDescent="0.35">
      <c r="A3213" s="6">
        <v>11673</v>
      </c>
      <c r="B3213" s="10">
        <v>19</v>
      </c>
      <c r="C3213" t="str">
        <f>IF(acs2015_county_data[[#This Row],[Unemployment]]&gt;='Описательные характеристики'!$I$5,"да","нет")</f>
        <v>да</v>
      </c>
    </row>
    <row r="3214" spans="1:3" x14ac:dyDescent="0.35">
      <c r="A3214" s="4">
        <v>15409</v>
      </c>
      <c r="B3214" s="9">
        <v>7.9</v>
      </c>
      <c r="C3214" t="str">
        <f>IF(acs2015_county_data[[#This Row],[Unemployment]]&gt;='Описательные характеристики'!$I$5,"да","нет")</f>
        <v>да</v>
      </c>
    </row>
    <row r="3215" spans="1:3" x14ac:dyDescent="0.35">
      <c r="A3215" s="6">
        <v>7717</v>
      </c>
      <c r="B3215" s="10">
        <v>28.8</v>
      </c>
      <c r="C3215" t="str">
        <f>IF(acs2015_county_data[[#This Row],[Unemployment]]&gt;='Описательные характеристики'!$I$5,"да","нет")</f>
        <v>да</v>
      </c>
    </row>
    <row r="3216" spans="1:3" x14ac:dyDescent="0.35">
      <c r="A3216" s="4">
        <v>9918</v>
      </c>
      <c r="B3216" s="9">
        <v>21.7</v>
      </c>
      <c r="C3216" t="str">
        <f>IF(acs2015_county_data[[#This Row],[Unemployment]]&gt;='Описательные характеристики'!$I$5,"да","нет")</f>
        <v>да</v>
      </c>
    </row>
    <row r="3217" spans="1:3" x14ac:dyDescent="0.35">
      <c r="A3217" s="6">
        <v>9102</v>
      </c>
      <c r="B3217" s="10">
        <v>15.2</v>
      </c>
      <c r="C3217" t="str">
        <f>IF(acs2015_county_data[[#This Row],[Unemployment]]&gt;='Описательные характеристики'!$I$5,"да","нет")</f>
        <v>да</v>
      </c>
    </row>
    <row r="3218" spans="1:3" x14ac:dyDescent="0.35">
      <c r="A3218" s="4">
        <v>8821</v>
      </c>
      <c r="B3218" s="9">
        <v>12.2</v>
      </c>
      <c r="C3218" t="str">
        <f>IF(acs2015_county_data[[#This Row],[Unemployment]]&gt;='Описательные характеристики'!$I$5,"да","нет")</f>
        <v>да</v>
      </c>
    </row>
    <row r="3219" spans="1:3" x14ac:dyDescent="0.35">
      <c r="A3219" s="6">
        <v>8420</v>
      </c>
      <c r="B3219" s="10">
        <v>25.9</v>
      </c>
      <c r="C3219" t="str">
        <f>IF(acs2015_county_data[[#This Row],[Unemployment]]&gt;='Описательные характеристики'!$I$5,"да","нет")</f>
        <v>да</v>
      </c>
    </row>
    <row r="3220" spans="1:3" x14ac:dyDescent="0.35">
      <c r="A3220" s="4">
        <v>7960</v>
      </c>
      <c r="B3220" s="9">
        <v>24.3</v>
      </c>
      <c r="C3220" t="str">
        <f>IF(acs2015_county_data[[#This Row],[Unemployment]]&gt;='Описательные характеристики'!$I$5,"да","нет")</f>
        <v>да</v>
      </c>
    </row>
    <row r="3221" spans="1:3" x14ac:dyDescent="0.35">
      <c r="A3221" s="6">
        <v>7743</v>
      </c>
      <c r="B3221" s="10">
        <v>27.1</v>
      </c>
      <c r="C3221" t="str">
        <f>IF(acs2015_county_data[[#This Row],[Unemployment]]&gt;='Описательные характеристики'!$I$5,"да","нет")</f>
        <v>да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8071-9221-49C7-B132-FBA9939805D7}">
  <dimension ref="A1:B53"/>
  <sheetViews>
    <sheetView zoomScale="85" zoomScaleNormal="85" workbookViewId="0">
      <selection activeCell="I59" sqref="I59"/>
    </sheetView>
  </sheetViews>
  <sheetFormatPr defaultRowHeight="14.5" x14ac:dyDescent="0.35"/>
  <sheetData>
    <row r="1" spans="1:2" x14ac:dyDescent="0.35">
      <c r="A1" t="s">
        <v>1</v>
      </c>
      <c r="B1" t="s">
        <v>1994</v>
      </c>
    </row>
    <row r="2" spans="1:2" x14ac:dyDescent="0.35">
      <c r="A2" t="s">
        <v>304</v>
      </c>
      <c r="B2">
        <f t="shared" ref="B2:B33" ca="1" si="0">COUNTIF($B$2:$B$3221, A2)</f>
        <v>1</v>
      </c>
    </row>
    <row r="3" spans="1:2" x14ac:dyDescent="0.35">
      <c r="A3" t="s">
        <v>300</v>
      </c>
      <c r="B3">
        <f t="shared" ca="1" si="0"/>
        <v>3</v>
      </c>
    </row>
    <row r="4" spans="1:2" x14ac:dyDescent="0.35">
      <c r="A4" t="s">
        <v>464</v>
      </c>
      <c r="B4">
        <f t="shared" ca="1" si="0"/>
        <v>5</v>
      </c>
    </row>
    <row r="5" spans="1:2" x14ac:dyDescent="0.35">
      <c r="A5" t="s">
        <v>1440</v>
      </c>
      <c r="B5">
        <f t="shared" ca="1" si="0"/>
        <v>5</v>
      </c>
    </row>
    <row r="6" spans="1:2" x14ac:dyDescent="0.35">
      <c r="A6" t="s">
        <v>291</v>
      </c>
      <c r="B6">
        <f t="shared" ca="1" si="0"/>
        <v>8</v>
      </c>
    </row>
    <row r="7" spans="1:2" x14ac:dyDescent="0.35">
      <c r="A7" t="s">
        <v>1143</v>
      </c>
      <c r="B7">
        <f t="shared" ca="1" si="0"/>
        <v>10</v>
      </c>
    </row>
    <row r="8" spans="1:2" x14ac:dyDescent="0.35">
      <c r="A8" t="s">
        <v>843</v>
      </c>
      <c r="B8">
        <f t="shared" ca="1" si="0"/>
        <v>14</v>
      </c>
    </row>
    <row r="9" spans="1:2" x14ac:dyDescent="0.35">
      <c r="A9" t="s">
        <v>1713</v>
      </c>
      <c r="B9">
        <f t="shared" ca="1" si="0"/>
        <v>14</v>
      </c>
    </row>
    <row r="10" spans="1:2" x14ac:dyDescent="0.35">
      <c r="A10" t="s">
        <v>108</v>
      </c>
      <c r="B10">
        <f t="shared" ca="1" si="0"/>
        <v>15</v>
      </c>
    </row>
    <row r="11" spans="1:2" x14ac:dyDescent="0.35">
      <c r="A11" t="s">
        <v>814</v>
      </c>
      <c r="B11">
        <f t="shared" ca="1" si="0"/>
        <v>16</v>
      </c>
    </row>
    <row r="12" spans="1:2" x14ac:dyDescent="0.35">
      <c r="A12" t="s">
        <v>159</v>
      </c>
      <c r="B12">
        <f t="shared" ca="1" si="0"/>
        <v>17</v>
      </c>
    </row>
    <row r="13" spans="1:2" x14ac:dyDescent="0.35">
      <c r="A13" t="s">
        <v>1151</v>
      </c>
      <c r="B13">
        <f t="shared" ca="1" si="0"/>
        <v>21</v>
      </c>
    </row>
    <row r="14" spans="1:2" x14ac:dyDescent="0.35">
      <c r="A14" t="s">
        <v>1216</v>
      </c>
      <c r="B14">
        <f t="shared" ca="1" si="0"/>
        <v>23</v>
      </c>
    </row>
    <row r="15" spans="1:2" x14ac:dyDescent="0.35">
      <c r="A15" t="s">
        <v>825</v>
      </c>
      <c r="B15">
        <f t="shared" ca="1" si="0"/>
        <v>24</v>
      </c>
    </row>
    <row r="16" spans="1:2" x14ac:dyDescent="0.35">
      <c r="A16" t="s">
        <v>78</v>
      </c>
      <c r="B16">
        <f t="shared" ca="1" si="0"/>
        <v>29</v>
      </c>
    </row>
    <row r="17" spans="1:2" x14ac:dyDescent="0.35">
      <c r="A17" t="s">
        <v>1697</v>
      </c>
      <c r="B17">
        <f t="shared" ca="1" si="0"/>
        <v>29</v>
      </c>
    </row>
    <row r="18" spans="1:2" x14ac:dyDescent="0.35">
      <c r="A18" t="s">
        <v>1163</v>
      </c>
      <c r="B18">
        <f t="shared" ca="1" si="0"/>
        <v>33</v>
      </c>
    </row>
    <row r="19" spans="1:2" x14ac:dyDescent="0.35">
      <c r="A19" t="s">
        <v>1036</v>
      </c>
      <c r="B19">
        <f t="shared" ca="1" si="0"/>
        <v>36</v>
      </c>
    </row>
    <row r="20" spans="1:2" x14ac:dyDescent="0.35">
      <c r="A20" t="s">
        <v>75</v>
      </c>
      <c r="B20">
        <f t="shared" ca="1" si="0"/>
        <v>39</v>
      </c>
    </row>
    <row r="21" spans="1:2" x14ac:dyDescent="0.35">
      <c r="A21" t="s">
        <v>469</v>
      </c>
      <c r="B21">
        <f t="shared" ca="1" si="0"/>
        <v>44</v>
      </c>
    </row>
    <row r="22" spans="1:2" x14ac:dyDescent="0.35">
      <c r="A22" t="s">
        <v>1443</v>
      </c>
      <c r="B22">
        <f t="shared" ca="1" si="0"/>
        <v>46</v>
      </c>
    </row>
    <row r="23" spans="1:2" x14ac:dyDescent="0.35">
      <c r="A23" t="s">
        <v>1283</v>
      </c>
      <c r="B23">
        <f t="shared" ca="1" si="0"/>
        <v>53</v>
      </c>
    </row>
    <row r="24" spans="1:2" x14ac:dyDescent="0.35">
      <c r="A24" t="s">
        <v>1827</v>
      </c>
      <c r="B24">
        <f t="shared" ca="1" si="0"/>
        <v>55</v>
      </c>
    </row>
    <row r="25" spans="1:2" x14ac:dyDescent="0.35">
      <c r="A25" t="s">
        <v>1053</v>
      </c>
      <c r="B25">
        <f t="shared" ca="1" si="0"/>
        <v>56</v>
      </c>
    </row>
    <row r="26" spans="1:2" x14ac:dyDescent="0.35">
      <c r="A26" t="s">
        <v>179</v>
      </c>
      <c r="B26">
        <f t="shared" ca="1" si="0"/>
        <v>58</v>
      </c>
    </row>
    <row r="27" spans="1:2" x14ac:dyDescent="0.35">
      <c r="A27" t="s">
        <v>1188</v>
      </c>
      <c r="B27">
        <f t="shared" ca="1" si="0"/>
        <v>62</v>
      </c>
    </row>
    <row r="28" spans="1:2" x14ac:dyDescent="0.35">
      <c r="A28" t="s">
        <v>236</v>
      </c>
      <c r="B28">
        <f t="shared" ca="1" si="0"/>
        <v>64</v>
      </c>
    </row>
    <row r="29" spans="1:2" x14ac:dyDescent="0.35">
      <c r="A29" t="s">
        <v>766</v>
      </c>
      <c r="B29">
        <f t="shared" ca="1" si="0"/>
        <v>64</v>
      </c>
    </row>
    <row r="30" spans="1:2" x14ac:dyDescent="0.35">
      <c r="A30" t="s">
        <v>1471</v>
      </c>
      <c r="B30">
        <f t="shared" ca="1" si="0"/>
        <v>66</v>
      </c>
    </row>
    <row r="31" spans="1:2" x14ac:dyDescent="0.35">
      <c r="A31" t="s">
        <v>14</v>
      </c>
      <c r="B31">
        <f t="shared" ca="1" si="0"/>
        <v>67</v>
      </c>
    </row>
    <row r="32" spans="1:2" x14ac:dyDescent="0.35">
      <c r="A32" t="s">
        <v>305</v>
      </c>
      <c r="B32">
        <f t="shared" ca="1" si="0"/>
        <v>67</v>
      </c>
    </row>
    <row r="33" spans="1:2" x14ac:dyDescent="0.35">
      <c r="A33" t="s">
        <v>1408</v>
      </c>
      <c r="B33">
        <f t="shared" ca="1" si="0"/>
        <v>67</v>
      </c>
    </row>
    <row r="34" spans="1:2" x14ac:dyDescent="0.35">
      <c r="A34" t="s">
        <v>1845</v>
      </c>
      <c r="B34">
        <f t="shared" ref="B34:B53" ca="1" si="1">COUNTIF($B$2:$B$3221, A34)</f>
        <v>72</v>
      </c>
    </row>
    <row r="35" spans="1:2" x14ac:dyDescent="0.35">
      <c r="A35" t="s">
        <v>124</v>
      </c>
      <c r="B35">
        <f t="shared" ca="1" si="1"/>
        <v>75</v>
      </c>
    </row>
    <row r="36" spans="1:2" x14ac:dyDescent="0.35">
      <c r="A36" t="s">
        <v>1351</v>
      </c>
      <c r="B36">
        <f t="shared" ca="1" si="1"/>
        <v>77</v>
      </c>
    </row>
    <row r="37" spans="1:2" x14ac:dyDescent="0.35">
      <c r="A37" t="s">
        <v>1892</v>
      </c>
      <c r="B37">
        <f t="shared" ca="1" si="1"/>
        <v>78</v>
      </c>
    </row>
    <row r="38" spans="1:2" x14ac:dyDescent="0.35">
      <c r="A38" t="s">
        <v>157</v>
      </c>
      <c r="B38">
        <f t="shared" ca="1" si="1"/>
        <v>82</v>
      </c>
    </row>
    <row r="39" spans="1:2" x14ac:dyDescent="0.35">
      <c r="A39" t="s">
        <v>854</v>
      </c>
      <c r="B39">
        <f t="shared" ca="1" si="1"/>
        <v>83</v>
      </c>
    </row>
    <row r="40" spans="1:2" x14ac:dyDescent="0.35">
      <c r="A40" t="s">
        <v>916</v>
      </c>
      <c r="B40">
        <f t="shared" ca="1" si="1"/>
        <v>87</v>
      </c>
    </row>
    <row r="41" spans="1:2" x14ac:dyDescent="0.35">
      <c r="A41" t="s">
        <v>578</v>
      </c>
      <c r="B41">
        <f t="shared" ca="1" si="1"/>
        <v>88</v>
      </c>
    </row>
    <row r="42" spans="1:2" x14ac:dyDescent="0.35">
      <c r="A42" t="s">
        <v>558</v>
      </c>
      <c r="B42">
        <f t="shared" ca="1" si="1"/>
        <v>92</v>
      </c>
    </row>
    <row r="43" spans="1:2" x14ac:dyDescent="0.35">
      <c r="A43" t="s">
        <v>1091</v>
      </c>
      <c r="B43">
        <f t="shared" ca="1" si="1"/>
        <v>93</v>
      </c>
    </row>
    <row r="44" spans="1:2" x14ac:dyDescent="0.35">
      <c r="A44" t="s">
        <v>1510</v>
      </c>
      <c r="B44">
        <f t="shared" ca="1" si="1"/>
        <v>95</v>
      </c>
    </row>
    <row r="45" spans="1:2" x14ac:dyDescent="0.35">
      <c r="A45" t="s">
        <v>598</v>
      </c>
      <c r="B45">
        <f t="shared" ca="1" si="1"/>
        <v>99</v>
      </c>
    </row>
    <row r="46" spans="1:2" x14ac:dyDescent="0.35">
      <c r="A46" t="s">
        <v>1218</v>
      </c>
      <c r="B46">
        <f t="shared" ca="1" si="1"/>
        <v>100</v>
      </c>
    </row>
    <row r="47" spans="1:2" x14ac:dyDescent="0.35">
      <c r="A47" t="s">
        <v>503</v>
      </c>
      <c r="B47">
        <f t="shared" ca="1" si="1"/>
        <v>102</v>
      </c>
    </row>
    <row r="48" spans="1:2" x14ac:dyDescent="0.35">
      <c r="A48" t="s">
        <v>643</v>
      </c>
      <c r="B48">
        <f t="shared" ca="1" si="1"/>
        <v>105</v>
      </c>
    </row>
    <row r="49" spans="1:2" x14ac:dyDescent="0.35">
      <c r="A49" t="s">
        <v>1013</v>
      </c>
      <c r="B49">
        <f t="shared" ca="1" si="1"/>
        <v>115</v>
      </c>
    </row>
    <row r="50" spans="1:2" x14ac:dyDescent="0.35">
      <c r="A50" t="s">
        <v>710</v>
      </c>
      <c r="B50">
        <f t="shared" ca="1" si="1"/>
        <v>120</v>
      </c>
    </row>
    <row r="51" spans="1:2" x14ac:dyDescent="0.35">
      <c r="A51" t="s">
        <v>1722</v>
      </c>
      <c r="B51">
        <f t="shared" ca="1" si="1"/>
        <v>133</v>
      </c>
    </row>
    <row r="52" spans="1:2" x14ac:dyDescent="0.35">
      <c r="A52" t="s">
        <v>354</v>
      </c>
      <c r="B52">
        <f t="shared" ca="1" si="1"/>
        <v>159</v>
      </c>
    </row>
    <row r="53" spans="1:2" x14ac:dyDescent="0.35">
      <c r="A53" t="s">
        <v>1051</v>
      </c>
      <c r="B53">
        <f t="shared" ca="1" si="1"/>
        <v>254</v>
      </c>
    </row>
  </sheetData>
  <sortState xmlns:xlrd2="http://schemas.microsoft.com/office/spreadsheetml/2017/richdata2" ref="A2:B53">
    <sortCondition ref="B2:B53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B79CE9-E103-4749-AAA1-E04C1FE966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acs2015_county_data</vt:lpstr>
      <vt:lpstr>Описательные характеристики</vt:lpstr>
      <vt:lpstr>Визуализация</vt:lpstr>
      <vt:lpstr>Качественные признаки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 Nikonorova</dc:creator>
  <cp:lastModifiedBy>Sofya Nikonorova</cp:lastModifiedBy>
  <dcterms:created xsi:type="dcterms:W3CDTF">2015-06-05T18:19:34Z</dcterms:created>
  <dcterms:modified xsi:type="dcterms:W3CDTF">2025-10-15T06:33:31Z</dcterms:modified>
</cp:coreProperties>
</file>